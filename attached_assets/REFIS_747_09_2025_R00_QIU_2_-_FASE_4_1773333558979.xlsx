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ml.chartshapes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ml.chartshapes+xml"/>
  <Override PartName="/xl/charts/chart6.xml" ContentType="application/vnd.openxmlformats-officedocument.drawingml.chart+xml"/>
  <Override PartName="/xl/drawings/drawing7.xml" ContentType="application/vnd.openxmlformats-officedocument.drawingml.chartshapes+xml"/>
  <Override PartName="/xl/charts/chart7.xml" ContentType="application/vnd.openxmlformats-officedocument.drawingml.chart+xml"/>
  <Override PartName="/xl/drawings/drawing8.xml" ContentType="application/vnd.openxmlformats-officedocument.drawingml.chartshapes+xml"/>
  <Override PartName="/xl/charts/chart8.xml" ContentType="application/vnd.openxmlformats-officedocument.drawingml.chart+xml"/>
  <Override PartName="/xl/drawings/drawing9.xml" ContentType="application/vnd.openxmlformats-officedocument.drawingml.chartshapes+xml"/>
  <Override PartName="/xl/charts/chart9.xml" ContentType="application/vnd.openxmlformats-officedocument.drawingml.chart+xml"/>
  <Override PartName="/xl/drawings/drawing10.xml" ContentType="application/vnd.openxmlformats-officedocument.drawingml.chartshapes+xml"/>
  <Override PartName="/xl/charts/chart10.xml" ContentType="application/vnd.openxmlformats-officedocument.drawingml.chart+xml"/>
  <Override PartName="/xl/drawings/drawing11.xml" ContentType="application/vnd.openxmlformats-officedocument.drawingml.chartshapes+xml"/>
  <Override PartName="/xl/charts/chart11.xml" ContentType="application/vnd.openxmlformats-officedocument.drawingml.chart+xml"/>
  <Override PartName="/xl/drawings/drawing12.xml" ContentType="application/vnd.openxmlformats-officedocument.drawingml.chartshapes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O:\001 - ORÇAMENTOS\002 - EM EXECUÇÃO\001 - OBRAS - SÃO PAULO\ORÇ_747_09_2025_R00_HOTEL QIU 2 - FASE 4\010 - RELATÓRIOS E ATAS\002 - REFIS\00\"/>
    </mc:Choice>
  </mc:AlternateContent>
  <xr:revisionPtr revIDLastSave="0" documentId="13_ncr:1_{E476DDCD-ECE3-43DF-B2BA-8B81CB195981}" xr6:coauthVersionLast="47" xr6:coauthVersionMax="47" xr10:uidLastSave="{00000000-0000-0000-0000-000000000000}"/>
  <bookViews>
    <workbookView xWindow="28680" yWindow="-120" windowWidth="29040" windowHeight="15720" tabRatio="613" xr2:uid="{9693A767-37C4-471F-8C8D-97A9B39C742A}"/>
  </bookViews>
  <sheets>
    <sheet name="REFIS" sheetId="1" r:id="rId1"/>
    <sheet name="DADOS" sheetId="2" r:id="rId2"/>
    <sheet name="PMO PREV" sheetId="3" state="hidden" r:id="rId3"/>
    <sheet name="PMO REAL" sheetId="4" state="hidden" r:id="rId4"/>
  </sheets>
  <definedNames>
    <definedName name="_xlnm.Print_Area" localSheetId="2">'PMO PREV'!$B$2:$CH$61</definedName>
    <definedName name="_xlnm.Print_Area" localSheetId="3">'PMO REAL'!$B$2:$US$58</definedName>
    <definedName name="_xlnm.Print_Area" localSheetId="0">REFIS!$A$1:$R$88</definedName>
    <definedName name="_xlnm.Print_Titles" localSheetId="2">'PMO PREV'!$1:$8</definedName>
    <definedName name="_xlnm.Print_Titles" localSheetId="3">'PMO REAL'!$1:$9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R103" i="2" l="1"/>
  <c r="W7" i="2" l="1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6" i="2"/>
  <c r="W5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6" i="2"/>
  <c r="U5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6" i="2"/>
  <c r="S5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6" i="2"/>
  <c r="Q5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6" i="2"/>
  <c r="O5" i="2"/>
  <c r="M6" i="2" a="1"/>
  <c r="M6" i="2" s="1"/>
  <c r="M99" i="2"/>
  <c r="M98" i="2"/>
  <c r="M97" i="2"/>
  <c r="M96" i="2"/>
  <c r="M95" i="2"/>
  <c r="M94" i="2"/>
  <c r="M93" i="2"/>
  <c r="M92" i="2"/>
  <c r="M91" i="2"/>
  <c r="M90" i="2"/>
  <c r="M89" i="2"/>
  <c r="M88" i="2"/>
  <c r="M87" i="2"/>
  <c r="M86" i="2"/>
  <c r="M85" i="2"/>
  <c r="M84" i="2"/>
  <c r="M83" i="2"/>
  <c r="M82" i="2"/>
  <c r="M81" i="2"/>
  <c r="M80" i="2"/>
  <c r="M79" i="2"/>
  <c r="M78" i="2"/>
  <c r="M77" i="2"/>
  <c r="M76" i="2"/>
  <c r="M75" i="2"/>
  <c r="M74" i="2"/>
  <c r="M73" i="2"/>
  <c r="M72" i="2"/>
  <c r="M71" i="2"/>
  <c r="M70" i="2"/>
  <c r="M69" i="2"/>
  <c r="M68" i="2"/>
  <c r="M67" i="2"/>
  <c r="M66" i="2"/>
  <c r="M65" i="2"/>
  <c r="M64" i="2"/>
  <c r="M63" i="2"/>
  <c r="M62" i="2"/>
  <c r="M61" i="2"/>
  <c r="M60" i="2"/>
  <c r="M59" i="2"/>
  <c r="M58" i="2"/>
  <c r="M57" i="2"/>
  <c r="M56" i="2"/>
  <c r="M55" i="2"/>
  <c r="M54" i="2"/>
  <c r="M53" i="2"/>
  <c r="M52" i="2"/>
  <c r="M51" i="2"/>
  <c r="M50" i="2"/>
  <c r="M49" i="2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5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6" i="2"/>
  <c r="K5" i="2"/>
  <c r="I12" i="2" l="1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7" i="2"/>
  <c r="I8" i="2"/>
  <c r="I9" i="2"/>
  <c r="I10" i="2"/>
  <c r="I11" i="2"/>
  <c r="I6" i="2"/>
  <c r="I5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5" i="2"/>
  <c r="G6" i="2"/>
  <c r="E7" i="2" a="1"/>
  <c r="E7" i="2" s="1"/>
  <c r="E8" i="2" a="1"/>
  <c r="E8" i="2" s="1"/>
  <c r="E9" i="2" a="1"/>
  <c r="E9" i="2" s="1"/>
  <c r="E10" i="2" a="1"/>
  <c r="E10" i="2" s="1"/>
  <c r="E11" i="2" a="1"/>
  <c r="E11" i="2" s="1"/>
  <c r="E12" i="2" a="1"/>
  <c r="E12" i="2" s="1"/>
  <c r="E13" i="2" a="1"/>
  <c r="E13" i="2"/>
  <c r="E14" i="2" a="1"/>
  <c r="E14" i="2" s="1"/>
  <c r="E15" i="2" a="1"/>
  <c r="E15" i="2" s="1"/>
  <c r="E16" i="2" a="1"/>
  <c r="E16" i="2" s="1"/>
  <c r="E17" i="2" a="1"/>
  <c r="E17" i="2"/>
  <c r="E18" i="2" a="1"/>
  <c r="E18" i="2"/>
  <c r="E19" i="2" a="1"/>
  <c r="E19" i="2" s="1"/>
  <c r="E20" i="2" a="1"/>
  <c r="E20" i="2" s="1"/>
  <c r="E21" i="2" a="1"/>
  <c r="E21" i="2" s="1"/>
  <c r="E22" i="2" a="1"/>
  <c r="E22" i="2"/>
  <c r="E23" i="2" a="1"/>
  <c r="E23" i="2" s="1"/>
  <c r="E24" i="2" a="1"/>
  <c r="E24" i="2" s="1"/>
  <c r="E25" i="2" a="1"/>
  <c r="E25" i="2" s="1"/>
  <c r="E26" i="2" a="1"/>
  <c r="E26" i="2" s="1"/>
  <c r="E27" i="2" a="1"/>
  <c r="E27" i="2" s="1"/>
  <c r="E28" i="2" a="1"/>
  <c r="E28" i="2" s="1"/>
  <c r="E29" i="2" a="1"/>
  <c r="E29" i="2"/>
  <c r="E30" i="2" a="1"/>
  <c r="E30" i="2" s="1"/>
  <c r="E31" i="2" a="1"/>
  <c r="E31" i="2" s="1"/>
  <c r="E32" i="2" a="1"/>
  <c r="E32" i="2" s="1"/>
  <c r="E33" i="2" a="1"/>
  <c r="E33" i="2"/>
  <c r="E34" i="2" a="1"/>
  <c r="E34" i="2"/>
  <c r="E35" i="2" a="1"/>
  <c r="E35" i="2" s="1"/>
  <c r="E36" i="2" a="1"/>
  <c r="E36" i="2" s="1"/>
  <c r="E37" i="2" a="1"/>
  <c r="E37" i="2" s="1"/>
  <c r="E38" i="2" a="1"/>
  <c r="E38" i="2"/>
  <c r="E39" i="2" a="1"/>
  <c r="E39" i="2" s="1"/>
  <c r="E40" i="2" a="1"/>
  <c r="E40" i="2" s="1"/>
  <c r="E41" i="2" a="1"/>
  <c r="E41" i="2" s="1"/>
  <c r="E42" i="2" a="1"/>
  <c r="E42" i="2" s="1"/>
  <c r="E43" i="2" a="1"/>
  <c r="E43" i="2" s="1"/>
  <c r="E44" i="2" a="1"/>
  <c r="E44" i="2" s="1"/>
  <c r="E45" i="2" a="1"/>
  <c r="E45" i="2"/>
  <c r="E46" i="2" a="1"/>
  <c r="E46" i="2" s="1"/>
  <c r="E47" i="2" a="1"/>
  <c r="E47" i="2" s="1"/>
  <c r="E48" i="2" a="1"/>
  <c r="E48" i="2" s="1"/>
  <c r="E49" i="2" a="1"/>
  <c r="E49" i="2" s="1"/>
  <c r="E50" i="2" a="1"/>
  <c r="E50" i="2"/>
  <c r="E51" i="2" a="1"/>
  <c r="E51" i="2" s="1"/>
  <c r="E52" i="2" a="1"/>
  <c r="E52" i="2" s="1"/>
  <c r="E53" i="2" a="1"/>
  <c r="E53" i="2" s="1"/>
  <c r="E54" i="2" a="1"/>
  <c r="E54" i="2"/>
  <c r="E55" i="2" a="1"/>
  <c r="E55" i="2" s="1"/>
  <c r="E56" i="2" a="1"/>
  <c r="E56" i="2" s="1"/>
  <c r="E57" i="2" a="1"/>
  <c r="E57" i="2" s="1"/>
  <c r="E58" i="2" a="1"/>
  <c r="E58" i="2" s="1"/>
  <c r="E59" i="2" a="1"/>
  <c r="E59" i="2" s="1"/>
  <c r="E60" i="2" a="1"/>
  <c r="E60" i="2" s="1"/>
  <c r="E61" i="2" a="1"/>
  <c r="E61" i="2"/>
  <c r="E62" i="2" a="1"/>
  <c r="E62" i="2" s="1"/>
  <c r="E63" i="2" a="1"/>
  <c r="E63" i="2" s="1"/>
  <c r="E64" i="2" a="1"/>
  <c r="E64" i="2" s="1"/>
  <c r="E65" i="2" a="1"/>
  <c r="E65" i="2"/>
  <c r="E66" i="2" a="1"/>
  <c r="E66" i="2"/>
  <c r="E67" i="2" a="1"/>
  <c r="E67" i="2" s="1"/>
  <c r="E68" i="2" a="1"/>
  <c r="E68" i="2" s="1"/>
  <c r="E69" i="2" a="1"/>
  <c r="E69" i="2" s="1"/>
  <c r="E70" i="2" a="1"/>
  <c r="E70" i="2"/>
  <c r="E71" i="2" a="1"/>
  <c r="E71" i="2" s="1"/>
  <c r="E72" i="2" a="1"/>
  <c r="E72" i="2" s="1"/>
  <c r="E73" i="2" a="1"/>
  <c r="E73" i="2" s="1"/>
  <c r="E74" i="2" a="1"/>
  <c r="E74" i="2" s="1"/>
  <c r="E75" i="2" a="1"/>
  <c r="E75" i="2" s="1"/>
  <c r="E76" i="2" a="1"/>
  <c r="E76" i="2" s="1"/>
  <c r="E77" i="2" a="1"/>
  <c r="E77" i="2"/>
  <c r="E78" i="2" a="1"/>
  <c r="E78" i="2" s="1"/>
  <c r="E79" i="2" a="1"/>
  <c r="E79" i="2" s="1"/>
  <c r="E80" i="2" a="1"/>
  <c r="E80" i="2" s="1"/>
  <c r="E81" i="2" a="1"/>
  <c r="E81" i="2"/>
  <c r="E82" i="2" a="1"/>
  <c r="E82" i="2"/>
  <c r="E83" i="2" a="1"/>
  <c r="E83" i="2" s="1"/>
  <c r="E84" i="2" a="1"/>
  <c r="E84" i="2" s="1"/>
  <c r="E85" i="2" a="1"/>
  <c r="E85" i="2" s="1"/>
  <c r="E86" i="2" a="1"/>
  <c r="E86" i="2"/>
  <c r="E87" i="2" a="1"/>
  <c r="E87" i="2" s="1"/>
  <c r="E88" i="2" a="1"/>
  <c r="E88" i="2" s="1"/>
  <c r="E89" i="2" a="1"/>
  <c r="E89" i="2" s="1"/>
  <c r="E90" i="2" a="1"/>
  <c r="E90" i="2" s="1"/>
  <c r="E91" i="2" a="1"/>
  <c r="E91" i="2" s="1"/>
  <c r="E92" i="2" a="1"/>
  <c r="E92" i="2" s="1"/>
  <c r="E93" i="2" a="1"/>
  <c r="E93" i="2"/>
  <c r="E94" i="2" a="1"/>
  <c r="E94" i="2" s="1"/>
  <c r="E95" i="2" a="1"/>
  <c r="E95" i="2" s="1"/>
  <c r="E96" i="2" a="1"/>
  <c r="E96" i="2" s="1"/>
  <c r="E97" i="2" a="1"/>
  <c r="E97" i="2"/>
  <c r="E98" i="2" a="1"/>
  <c r="E98" i="2"/>
  <c r="E99" i="2" a="1"/>
  <c r="E99" i="2" s="1"/>
  <c r="E6" i="2" a="1"/>
  <c r="E6" i="2" s="1"/>
  <c r="E5" i="2" a="1"/>
  <c r="E5" i="2" s="1"/>
  <c r="A7" i="2"/>
  <c r="B7" i="2"/>
  <c r="A8" i="2"/>
  <c r="D211" i="2" s="1"/>
  <c r="B8" i="2"/>
  <c r="E211" i="2" s="1"/>
  <c r="A9" i="2"/>
  <c r="B9" i="2"/>
  <c r="A10" i="2"/>
  <c r="B10" i="2"/>
  <c r="A11" i="2"/>
  <c r="B11" i="2"/>
  <c r="A12" i="2"/>
  <c r="B12" i="2"/>
  <c r="A13" i="2"/>
  <c r="B13" i="2"/>
  <c r="A14" i="2"/>
  <c r="B14" i="2"/>
  <c r="A15" i="2"/>
  <c r="B15" i="2"/>
  <c r="A16" i="2"/>
  <c r="B16" i="2"/>
  <c r="A17" i="2"/>
  <c r="B17" i="2"/>
  <c r="A18" i="2"/>
  <c r="B18" i="2"/>
  <c r="A19" i="2"/>
  <c r="B19" i="2"/>
  <c r="A20" i="2"/>
  <c r="B20" i="2"/>
  <c r="A21" i="2"/>
  <c r="B21" i="2"/>
  <c r="A22" i="2"/>
  <c r="B22" i="2"/>
  <c r="A23" i="2"/>
  <c r="D212" i="2" s="1"/>
  <c r="B23" i="2"/>
  <c r="E212" i="2" s="1"/>
  <c r="A24" i="2"/>
  <c r="B24" i="2"/>
  <c r="A25" i="2"/>
  <c r="B25" i="2"/>
  <c r="A26" i="2"/>
  <c r="B26" i="2"/>
  <c r="A27" i="2"/>
  <c r="B27" i="2"/>
  <c r="A28" i="2"/>
  <c r="B28" i="2"/>
  <c r="A29" i="2"/>
  <c r="B29" i="2"/>
  <c r="A30" i="2"/>
  <c r="B30" i="2"/>
  <c r="A31" i="2"/>
  <c r="B31" i="2"/>
  <c r="A32" i="2"/>
  <c r="B32" i="2"/>
  <c r="A33" i="2"/>
  <c r="B33" i="2"/>
  <c r="A34" i="2"/>
  <c r="B34" i="2"/>
  <c r="A35" i="2"/>
  <c r="B35" i="2"/>
  <c r="A36" i="2"/>
  <c r="B36" i="2"/>
  <c r="A37" i="2"/>
  <c r="B37" i="2"/>
  <c r="A38" i="2"/>
  <c r="D213" i="2" s="1"/>
  <c r="B38" i="2"/>
  <c r="E213" i="2" s="1"/>
  <c r="A39" i="2"/>
  <c r="B39" i="2"/>
  <c r="A40" i="2"/>
  <c r="B40" i="2"/>
  <c r="A41" i="2"/>
  <c r="B41" i="2"/>
  <c r="A42" i="2"/>
  <c r="B42" i="2"/>
  <c r="A43" i="2"/>
  <c r="B43" i="2"/>
  <c r="A44" i="2"/>
  <c r="B44" i="2"/>
  <c r="A45" i="2"/>
  <c r="B45" i="2"/>
  <c r="A46" i="2"/>
  <c r="B46" i="2"/>
  <c r="A47" i="2"/>
  <c r="B47" i="2"/>
  <c r="A48" i="2"/>
  <c r="B48" i="2"/>
  <c r="A49" i="2"/>
  <c r="B49" i="2"/>
  <c r="A50" i="2"/>
  <c r="B50" i="2"/>
  <c r="A51" i="2"/>
  <c r="B51" i="2"/>
  <c r="A52" i="2"/>
  <c r="B52" i="2"/>
  <c r="A53" i="2"/>
  <c r="D214" i="2" s="1"/>
  <c r="B53" i="2"/>
  <c r="E214" i="2" s="1"/>
  <c r="A54" i="2"/>
  <c r="B54" i="2"/>
  <c r="A55" i="2"/>
  <c r="B55" i="2"/>
  <c r="A56" i="2"/>
  <c r="B56" i="2"/>
  <c r="A57" i="2"/>
  <c r="B57" i="2"/>
  <c r="A58" i="2"/>
  <c r="B58" i="2"/>
  <c r="A59" i="2"/>
  <c r="B59" i="2"/>
  <c r="A60" i="2"/>
  <c r="B60" i="2"/>
  <c r="A61" i="2"/>
  <c r="B61" i="2"/>
  <c r="A62" i="2"/>
  <c r="B62" i="2"/>
  <c r="A63" i="2"/>
  <c r="B63" i="2"/>
  <c r="A64" i="2"/>
  <c r="B64" i="2"/>
  <c r="A65" i="2"/>
  <c r="B65" i="2"/>
  <c r="A66" i="2"/>
  <c r="B66" i="2"/>
  <c r="A67" i="2"/>
  <c r="B67" i="2"/>
  <c r="A68" i="2"/>
  <c r="D215" i="2" s="1"/>
  <c r="B68" i="2"/>
  <c r="E215" i="2" s="1"/>
  <c r="A69" i="2"/>
  <c r="B69" i="2"/>
  <c r="A70" i="2"/>
  <c r="B70" i="2"/>
  <c r="A71" i="2"/>
  <c r="B71" i="2"/>
  <c r="A72" i="2"/>
  <c r="B72" i="2"/>
  <c r="A73" i="2"/>
  <c r="B73" i="2"/>
  <c r="A74" i="2"/>
  <c r="B74" i="2"/>
  <c r="A75" i="2"/>
  <c r="B75" i="2"/>
  <c r="A76" i="2"/>
  <c r="B76" i="2"/>
  <c r="A77" i="2"/>
  <c r="B77" i="2"/>
  <c r="A78" i="2"/>
  <c r="B78" i="2"/>
  <c r="A79" i="2"/>
  <c r="B79" i="2"/>
  <c r="A80" i="2"/>
  <c r="B80" i="2"/>
  <c r="A81" i="2"/>
  <c r="B81" i="2"/>
  <c r="A82" i="2"/>
  <c r="B82" i="2"/>
  <c r="A83" i="2"/>
  <c r="D216" i="2" s="1"/>
  <c r="B83" i="2"/>
  <c r="E216" i="2" s="1"/>
  <c r="A84" i="2"/>
  <c r="B84" i="2"/>
  <c r="A85" i="2"/>
  <c r="B85" i="2"/>
  <c r="A86" i="2"/>
  <c r="B86" i="2"/>
  <c r="A87" i="2"/>
  <c r="B87" i="2"/>
  <c r="A88" i="2"/>
  <c r="B88" i="2"/>
  <c r="A89" i="2"/>
  <c r="B89" i="2"/>
  <c r="A90" i="2"/>
  <c r="B90" i="2"/>
  <c r="A91" i="2"/>
  <c r="B91" i="2"/>
  <c r="A92" i="2"/>
  <c r="B92" i="2"/>
  <c r="A93" i="2"/>
  <c r="B93" i="2"/>
  <c r="A94" i="2"/>
  <c r="B94" i="2"/>
  <c r="A95" i="2"/>
  <c r="B95" i="2"/>
  <c r="A96" i="2"/>
  <c r="B96" i="2"/>
  <c r="A97" i="2"/>
  <c r="B97" i="2"/>
  <c r="A98" i="2"/>
  <c r="B98" i="2"/>
  <c r="A99" i="2"/>
  <c r="B99" i="2"/>
  <c r="F3" i="2" l="1"/>
  <c r="AD103" i="2"/>
  <c r="AE103" i="2"/>
  <c r="AF103" i="2"/>
  <c r="AG103" i="2"/>
  <c r="AH103" i="2"/>
  <c r="AI103" i="2"/>
  <c r="AJ103" i="2"/>
  <c r="AK103" i="2"/>
  <c r="AL103" i="2"/>
  <c r="AM103" i="2"/>
  <c r="AN103" i="2"/>
  <c r="AO103" i="2"/>
  <c r="AP103" i="2"/>
  <c r="AQ103" i="2"/>
  <c r="AR103" i="2"/>
  <c r="AS103" i="2"/>
  <c r="AT103" i="2"/>
  <c r="AU103" i="2"/>
  <c r="AV103" i="2"/>
  <c r="AW103" i="2"/>
  <c r="AX103" i="2"/>
  <c r="AY103" i="2"/>
  <c r="AZ103" i="2"/>
  <c r="BA103" i="2"/>
  <c r="BB103" i="2"/>
  <c r="BC103" i="2"/>
  <c r="BD103" i="2"/>
  <c r="BE103" i="2"/>
  <c r="BF103" i="2"/>
  <c r="BG103" i="2"/>
  <c r="BH103" i="2"/>
  <c r="BI103" i="2"/>
  <c r="BJ103" i="2"/>
  <c r="BK103" i="2"/>
  <c r="BL103" i="2"/>
  <c r="BM103" i="2"/>
  <c r="BN103" i="2"/>
  <c r="BO103" i="2"/>
  <c r="BP103" i="2"/>
  <c r="BQ103" i="2"/>
  <c r="AC103" i="2" l="1"/>
  <c r="R106" i="2"/>
  <c r="T106" i="2"/>
  <c r="V106" i="2"/>
  <c r="X106" i="2"/>
  <c r="Z106" i="2"/>
  <c r="AB106" i="2"/>
  <c r="AB103" i="2"/>
  <c r="F103" i="2"/>
  <c r="W106" i="2"/>
  <c r="AC106" i="2"/>
  <c r="H3" i="2"/>
  <c r="J3" i="2" s="1"/>
  <c r="L3" i="2" s="1"/>
  <c r="N3" i="2" s="1"/>
  <c r="P3" i="2" s="1"/>
  <c r="R3" i="2" s="1"/>
  <c r="T3" i="2" s="1"/>
  <c r="V3" i="2" s="1"/>
  <c r="X3" i="2" s="1"/>
  <c r="Z3" i="2" s="1"/>
  <c r="AB3" i="2" s="1"/>
  <c r="AD3" i="2" s="1"/>
  <c r="AF3" i="2" s="1"/>
  <c r="AH3" i="2" s="1"/>
  <c r="AJ3" i="2" s="1"/>
  <c r="AL3" i="2" s="1"/>
  <c r="AN3" i="2" s="1"/>
  <c r="AP3" i="2" s="1"/>
  <c r="AR3" i="2" s="1"/>
  <c r="AT3" i="2" s="1"/>
  <c r="AV3" i="2" s="1"/>
  <c r="AX3" i="2" s="1"/>
  <c r="AZ3" i="2" s="1"/>
  <c r="BB3" i="2" s="1"/>
  <c r="BD3" i="2" s="1"/>
  <c r="BF3" i="2" s="1"/>
  <c r="BH3" i="2" s="1"/>
  <c r="BJ3" i="2" s="1"/>
  <c r="BL3" i="2" s="1"/>
  <c r="BN3" i="2" s="1"/>
  <c r="BP3" i="2" s="1"/>
  <c r="BR3" i="2" s="1"/>
  <c r="BT3" i="2" s="1"/>
  <c r="BV3" i="2" s="1"/>
  <c r="BX3" i="2" s="1"/>
  <c r="BZ3" i="2" s="1"/>
  <c r="CB3" i="2" s="1"/>
  <c r="CD3" i="2" s="1"/>
  <c r="CF3" i="2" s="1"/>
  <c r="CH3" i="2" s="1"/>
  <c r="CJ3" i="2" s="1"/>
  <c r="CL3" i="2" s="1"/>
  <c r="CN3" i="2" s="1"/>
  <c r="CP3" i="2" s="1"/>
  <c r="CR3" i="2" s="1"/>
  <c r="CT3" i="2" s="1"/>
  <c r="CV3" i="2" s="1"/>
  <c r="CX3" i="2" s="1"/>
  <c r="CZ3" i="2" s="1"/>
  <c r="DB3" i="2" s="1"/>
  <c r="DD3" i="2" s="1"/>
  <c r="DF3" i="2" s="1"/>
  <c r="DH3" i="2" s="1"/>
  <c r="DJ3" i="2" s="1"/>
  <c r="DL3" i="2" s="1"/>
  <c r="DN3" i="2" s="1"/>
  <c r="DP3" i="2" s="1"/>
  <c r="DR3" i="2" s="1"/>
  <c r="DT3" i="2" s="1"/>
  <c r="DV3" i="2" s="1"/>
  <c r="DX3" i="2" s="1"/>
  <c r="DZ3" i="2" s="1"/>
  <c r="EB3" i="2" s="1"/>
  <c r="ED3" i="2" s="1"/>
  <c r="EF3" i="2" s="1"/>
  <c r="EH3" i="2" s="1"/>
  <c r="EJ3" i="2" s="1"/>
  <c r="EL3" i="2" s="1"/>
  <c r="EN3" i="2" s="1"/>
  <c r="EP3" i="2" s="1"/>
  <c r="ER3" i="2" s="1"/>
  <c r="ET3" i="2" s="1"/>
  <c r="EV3" i="2" s="1"/>
  <c r="Q106" i="2"/>
  <c r="J103" i="2"/>
  <c r="E103" i="2"/>
  <c r="Y106" i="2" l="1"/>
  <c r="U106" i="2"/>
  <c r="S106" i="2"/>
  <c r="AA106" i="2"/>
  <c r="A6" i="2"/>
  <c r="B6" i="2"/>
  <c r="B5" i="2"/>
  <c r="A5" i="2"/>
  <c r="E106" i="2" l="1"/>
  <c r="P103" i="2"/>
  <c r="G103" i="2"/>
  <c r="H103" i="2"/>
  <c r="F106" i="2"/>
  <c r="G106" i="2"/>
  <c r="H106" i="2"/>
  <c r="I103" i="2"/>
  <c r="K103" i="2"/>
  <c r="L103" i="2"/>
  <c r="M103" i="2"/>
  <c r="N103" i="2"/>
  <c r="O103" i="2"/>
  <c r="Q103" i="2"/>
  <c r="R103" i="2"/>
  <c r="S103" i="2"/>
  <c r="T103" i="2"/>
  <c r="U103" i="2"/>
  <c r="V103" i="2"/>
  <c r="W103" i="2"/>
  <c r="X103" i="2"/>
  <c r="Y103" i="2"/>
  <c r="Z103" i="2"/>
  <c r="AA103" i="2"/>
  <c r="P106" i="2"/>
  <c r="O106" i="2"/>
  <c r="N106" i="2"/>
  <c r="M106" i="2"/>
  <c r="L106" i="2"/>
  <c r="K106" i="2"/>
  <c r="J106" i="2"/>
  <c r="I106" i="2"/>
  <c r="G14" i="4"/>
  <c r="G13" i="4" s="1"/>
  <c r="F12" i="4"/>
  <c r="K54" i="4"/>
  <c r="K55" i="4"/>
  <c r="F54" i="4"/>
  <c r="F56" i="4" s="1"/>
  <c r="F58" i="4" s="1"/>
  <c r="F59" i="4" s="1"/>
  <c r="F55" i="4"/>
  <c r="G54" i="4"/>
  <c r="G55" i="4"/>
  <c r="G56" i="4" s="1"/>
  <c r="G58" i="4" s="1"/>
  <c r="H54" i="4"/>
  <c r="H55" i="4"/>
  <c r="I54" i="4"/>
  <c r="I55" i="4"/>
  <c r="J54" i="4"/>
  <c r="J55" i="4"/>
  <c r="L54" i="4"/>
  <c r="L55" i="4"/>
  <c r="L57" i="4" s="1"/>
  <c r="M54" i="4"/>
  <c r="M55" i="4"/>
  <c r="N54" i="4"/>
  <c r="N55" i="4"/>
  <c r="O54" i="4"/>
  <c r="O56" i="4" s="1"/>
  <c r="O58" i="4" s="1"/>
  <c r="O55" i="4"/>
  <c r="P54" i="4"/>
  <c r="P55" i="4"/>
  <c r="P57" i="4" s="1"/>
  <c r="Q54" i="4"/>
  <c r="Q55" i="4"/>
  <c r="Q57" i="4" s="1"/>
  <c r="R54" i="4"/>
  <c r="R55" i="4"/>
  <c r="R57" i="4" s="1"/>
  <c r="S54" i="4"/>
  <c r="S55" i="4"/>
  <c r="T54" i="4"/>
  <c r="T56" i="4" s="1"/>
  <c r="T58" i="4" s="1"/>
  <c r="T55" i="4"/>
  <c r="U54" i="4"/>
  <c r="U55" i="4"/>
  <c r="V54" i="4"/>
  <c r="V55" i="4"/>
  <c r="W54" i="4"/>
  <c r="W55" i="4"/>
  <c r="X54" i="4"/>
  <c r="X55" i="4"/>
  <c r="Y54" i="4"/>
  <c r="Y55" i="4"/>
  <c r="Y57" i="4" s="1"/>
  <c r="Z54" i="4"/>
  <c r="Z55" i="4"/>
  <c r="Z57" i="4" s="1"/>
  <c r="AA54" i="4"/>
  <c r="AA55" i="4"/>
  <c r="AB54" i="4"/>
  <c r="AB56" i="4" s="1"/>
  <c r="AB58" i="4" s="1"/>
  <c r="AB55" i="4"/>
  <c r="AC54" i="4"/>
  <c r="AC55" i="4"/>
  <c r="AD54" i="4"/>
  <c r="AD55" i="4"/>
  <c r="AE54" i="4"/>
  <c r="AE56" i="4" s="1"/>
  <c r="AE58" i="4" s="1"/>
  <c r="AE55" i="4"/>
  <c r="AF54" i="4"/>
  <c r="AF55" i="4"/>
  <c r="AG54" i="4"/>
  <c r="AG55" i="4"/>
  <c r="AH54" i="4"/>
  <c r="AH55" i="4"/>
  <c r="AH57" i="4" s="1"/>
  <c r="AI54" i="4"/>
  <c r="AI55" i="4"/>
  <c r="AJ54" i="4"/>
  <c r="AJ55" i="4"/>
  <c r="AJ57" i="4" s="1"/>
  <c r="AK54" i="4"/>
  <c r="AK55" i="4"/>
  <c r="AL54" i="4"/>
  <c r="AL55" i="4"/>
  <c r="AM54" i="4"/>
  <c r="AM55" i="4"/>
  <c r="AN54" i="4"/>
  <c r="AN55" i="4"/>
  <c r="AO54" i="4"/>
  <c r="AO55" i="4"/>
  <c r="AP54" i="4"/>
  <c r="AP56" i="4" s="1"/>
  <c r="AP58" i="4" s="1"/>
  <c r="AP55" i="4"/>
  <c r="AP57" i="4" s="1"/>
  <c r="AQ54" i="4"/>
  <c r="AQ55" i="4"/>
  <c r="AR54" i="4"/>
  <c r="AR55" i="4"/>
  <c r="AR56" i="4" s="1"/>
  <c r="AR58" i="4" s="1"/>
  <c r="AS54" i="4"/>
  <c r="AS55" i="4"/>
  <c r="AT54" i="4"/>
  <c r="AT55" i="4"/>
  <c r="AT57" i="4" s="1"/>
  <c r="AU54" i="4"/>
  <c r="AU55" i="4"/>
  <c r="AU56" i="4"/>
  <c r="AU58" i="4" s="1"/>
  <c r="AV54" i="4"/>
  <c r="AV55" i="4"/>
  <c r="AV57" i="4" s="1"/>
  <c r="AW54" i="4"/>
  <c r="AW55" i="4"/>
  <c r="AW57" i="4" s="1"/>
  <c r="AX54" i="4"/>
  <c r="AX55" i="4"/>
  <c r="AY54" i="4"/>
  <c r="AY55" i="4"/>
  <c r="AZ54" i="4"/>
  <c r="AZ55" i="4"/>
  <c r="AZ57" i="4" s="1"/>
  <c r="BA55" i="4"/>
  <c r="BA57" i="4" s="1"/>
  <c r="BA54" i="4"/>
  <c r="BB54" i="4"/>
  <c r="BB55" i="4"/>
  <c r="BC54" i="4"/>
  <c r="BC55" i="4"/>
  <c r="BD54" i="4"/>
  <c r="BD55" i="4"/>
  <c r="BE54" i="4"/>
  <c r="BE55" i="4"/>
  <c r="BE57" i="4" s="1"/>
  <c r="BF54" i="4"/>
  <c r="BF55" i="4"/>
  <c r="BG54" i="4"/>
  <c r="BG55" i="4"/>
  <c r="BH54" i="4"/>
  <c r="BH56" i="4" s="1"/>
  <c r="BH58" i="4" s="1"/>
  <c r="BH55" i="4"/>
  <c r="BH57" i="4" s="1"/>
  <c r="BI54" i="4"/>
  <c r="BI55" i="4"/>
  <c r="BJ54" i="4"/>
  <c r="BJ55" i="4"/>
  <c r="BK55" i="4"/>
  <c r="BK54" i="4"/>
  <c r="BK56" i="4" s="1"/>
  <c r="BK58" i="4" s="1"/>
  <c r="F62" i="4"/>
  <c r="G62" i="4" s="1"/>
  <c r="H62" i="4" s="1"/>
  <c r="I62" i="4" s="1"/>
  <c r="J62" i="4" s="1"/>
  <c r="K62" i="4" s="1"/>
  <c r="L62" i="4" s="1"/>
  <c r="M62" i="4" s="1"/>
  <c r="N62" i="4" s="1"/>
  <c r="O62" i="4" s="1"/>
  <c r="P62" i="4" s="1"/>
  <c r="Q62" i="4" s="1"/>
  <c r="R62" i="4" s="1"/>
  <c r="S62" i="4" s="1"/>
  <c r="T62" i="4" s="1"/>
  <c r="U62" i="4" s="1"/>
  <c r="V62" i="4" s="1"/>
  <c r="W62" i="4" s="1"/>
  <c r="X62" i="4" s="1"/>
  <c r="Y62" i="4" s="1"/>
  <c r="Z62" i="4" s="1"/>
  <c r="AA62" i="4" s="1"/>
  <c r="AB62" i="4" s="1"/>
  <c r="AC62" i="4" s="1"/>
  <c r="AD62" i="4" s="1"/>
  <c r="AE62" i="4" s="1"/>
  <c r="AF62" i="4" s="1"/>
  <c r="AG62" i="4" s="1"/>
  <c r="AH62" i="4" s="1"/>
  <c r="AI62" i="4" s="1"/>
  <c r="AJ62" i="4" s="1"/>
  <c r="AK62" i="4" s="1"/>
  <c r="AL62" i="4" s="1"/>
  <c r="AM62" i="4" s="1"/>
  <c r="AN62" i="4" s="1"/>
  <c r="AO62" i="4" s="1"/>
  <c r="AP62" i="4" s="1"/>
  <c r="AQ62" i="4" s="1"/>
  <c r="AR62" i="4" s="1"/>
  <c r="AS62" i="4" s="1"/>
  <c r="AT62" i="4" s="1"/>
  <c r="AU62" i="4" s="1"/>
  <c r="AV62" i="4" s="1"/>
  <c r="AW62" i="4" s="1"/>
  <c r="AX62" i="4" s="1"/>
  <c r="AY62" i="4" s="1"/>
  <c r="AZ62" i="4" s="1"/>
  <c r="BA62" i="4" s="1"/>
  <c r="BB62" i="4" s="1"/>
  <c r="BC62" i="4" s="1"/>
  <c r="BD62" i="4" s="1"/>
  <c r="BE62" i="4" s="1"/>
  <c r="BF62" i="4" s="1"/>
  <c r="BG62" i="4" s="1"/>
  <c r="BH62" i="4" s="1"/>
  <c r="BI62" i="4" s="1"/>
  <c r="BJ62" i="4" s="1"/>
  <c r="BK62" i="4" s="1"/>
  <c r="BL62" i="4" s="1"/>
  <c r="BM62" i="4" s="1"/>
  <c r="BN62" i="4" s="1"/>
  <c r="BO62" i="4" s="1"/>
  <c r="BP62" i="4" s="1"/>
  <c r="BQ62" i="4" s="1"/>
  <c r="BR62" i="4" s="1"/>
  <c r="BS62" i="4" s="1"/>
  <c r="BT62" i="4" s="1"/>
  <c r="BU62" i="4" s="1"/>
  <c r="BV62" i="4" s="1"/>
  <c r="BW62" i="4" s="1"/>
  <c r="BX62" i="4" s="1"/>
  <c r="BY62" i="4" s="1"/>
  <c r="BZ62" i="4" s="1"/>
  <c r="CA62" i="4" s="1"/>
  <c r="CB62" i="4" s="1"/>
  <c r="CC62" i="4" s="1"/>
  <c r="CD62" i="4" s="1"/>
  <c r="CE62" i="4" s="1"/>
  <c r="CF62" i="4" s="1"/>
  <c r="CG62" i="4" s="1"/>
  <c r="CH62" i="4" s="1"/>
  <c r="CI62" i="4" s="1"/>
  <c r="CJ62" i="4" s="1"/>
  <c r="CK62" i="4" s="1"/>
  <c r="CL62" i="4" s="1"/>
  <c r="CM62" i="4" s="1"/>
  <c r="CN62" i="4" s="1"/>
  <c r="CO62" i="4" s="1"/>
  <c r="CP62" i="4" s="1"/>
  <c r="CQ62" i="4" s="1"/>
  <c r="CR62" i="4" s="1"/>
  <c r="CS62" i="4" s="1"/>
  <c r="CT62" i="4" s="1"/>
  <c r="CU62" i="4" s="1"/>
  <c r="CV62" i="4" s="1"/>
  <c r="CW62" i="4" s="1"/>
  <c r="CX62" i="4" s="1"/>
  <c r="CY62" i="4" s="1"/>
  <c r="CZ62" i="4" s="1"/>
  <c r="DA62" i="4" s="1"/>
  <c r="DB62" i="4" s="1"/>
  <c r="DC62" i="4" s="1"/>
  <c r="DD62" i="4" s="1"/>
  <c r="DE62" i="4" s="1"/>
  <c r="DF62" i="4" s="1"/>
  <c r="DG62" i="4" s="1"/>
  <c r="DH62" i="4" s="1"/>
  <c r="DI62" i="4" s="1"/>
  <c r="DJ62" i="4" s="1"/>
  <c r="DK62" i="4" s="1"/>
  <c r="DL62" i="4" s="1"/>
  <c r="DM62" i="4" s="1"/>
  <c r="DN62" i="4" s="1"/>
  <c r="DO62" i="4" s="1"/>
  <c r="DP62" i="4" s="1"/>
  <c r="DQ62" i="4" s="1"/>
  <c r="DR62" i="4" s="1"/>
  <c r="DS62" i="4" s="1"/>
  <c r="DT62" i="4" s="1"/>
  <c r="DU62" i="4" s="1"/>
  <c r="DV62" i="4" s="1"/>
  <c r="DW62" i="4" s="1"/>
  <c r="DX62" i="4" s="1"/>
  <c r="DY62" i="4" s="1"/>
  <c r="DZ62" i="4" s="1"/>
  <c r="EA62" i="4" s="1"/>
  <c r="EB62" i="4" s="1"/>
  <c r="EC62" i="4" s="1"/>
  <c r="ED62" i="4" s="1"/>
  <c r="EE62" i="4" s="1"/>
  <c r="EF62" i="4" s="1"/>
  <c r="EG62" i="4" s="1"/>
  <c r="EH62" i="4" s="1"/>
  <c r="EI62" i="4" s="1"/>
  <c r="EJ62" i="4" s="1"/>
  <c r="EK62" i="4" s="1"/>
  <c r="EL62" i="4" s="1"/>
  <c r="EM62" i="4" s="1"/>
  <c r="EN62" i="4" s="1"/>
  <c r="EO62" i="4" s="1"/>
  <c r="EP62" i="4" s="1"/>
  <c r="EQ62" i="4" s="1"/>
  <c r="ER62" i="4" s="1"/>
  <c r="ES62" i="4" s="1"/>
  <c r="ET62" i="4" s="1"/>
  <c r="EU62" i="4" s="1"/>
  <c r="EV62" i="4" s="1"/>
  <c r="EW62" i="4" s="1"/>
  <c r="EX62" i="4" s="1"/>
  <c r="EY62" i="4" s="1"/>
  <c r="EZ62" i="4" s="1"/>
  <c r="FA62" i="4" s="1"/>
  <c r="FB62" i="4" s="1"/>
  <c r="FC62" i="4" s="1"/>
  <c r="FD62" i="4" s="1"/>
  <c r="FE62" i="4" s="1"/>
  <c r="FF62" i="4" s="1"/>
  <c r="FG62" i="4" s="1"/>
  <c r="FH62" i="4" s="1"/>
  <c r="FI62" i="4" s="1"/>
  <c r="FJ62" i="4" s="1"/>
  <c r="FK62" i="4" s="1"/>
  <c r="FL62" i="4" s="1"/>
  <c r="FM62" i="4" s="1"/>
  <c r="FN62" i="4" s="1"/>
  <c r="FO62" i="4" s="1"/>
  <c r="FP62" i="4" s="1"/>
  <c r="FQ62" i="4" s="1"/>
  <c r="FR62" i="4" s="1"/>
  <c r="FS62" i="4" s="1"/>
  <c r="FT62" i="4" s="1"/>
  <c r="FU62" i="4" s="1"/>
  <c r="FV62" i="4" s="1"/>
  <c r="FW62" i="4" s="1"/>
  <c r="FX62" i="4" s="1"/>
  <c r="FY62" i="4" s="1"/>
  <c r="FZ62" i="4" s="1"/>
  <c r="GA62" i="4" s="1"/>
  <c r="GB62" i="4" s="1"/>
  <c r="GC62" i="4" s="1"/>
  <c r="GD62" i="4" s="1"/>
  <c r="GE62" i="4" s="1"/>
  <c r="GF62" i="4" s="1"/>
  <c r="GG62" i="4" s="1"/>
  <c r="GH62" i="4" s="1"/>
  <c r="GI62" i="4" s="1"/>
  <c r="GJ62" i="4" s="1"/>
  <c r="GK62" i="4" s="1"/>
  <c r="GL62" i="4" s="1"/>
  <c r="GM62" i="4" s="1"/>
  <c r="GN62" i="4" s="1"/>
  <c r="GO62" i="4" s="1"/>
  <c r="GP62" i="4" s="1"/>
  <c r="GQ62" i="4" s="1"/>
  <c r="GR62" i="4" s="1"/>
  <c r="GS62" i="4" s="1"/>
  <c r="GT62" i="4" s="1"/>
  <c r="GU62" i="4" s="1"/>
  <c r="GV62" i="4" s="1"/>
  <c r="GW62" i="4" s="1"/>
  <c r="GX62" i="4" s="1"/>
  <c r="GY62" i="4" s="1"/>
  <c r="GZ62" i="4" s="1"/>
  <c r="HA62" i="4" s="1"/>
  <c r="HB62" i="4" s="1"/>
  <c r="HC62" i="4" s="1"/>
  <c r="HD62" i="4" s="1"/>
  <c r="HE62" i="4" s="1"/>
  <c r="HF62" i="4" s="1"/>
  <c r="HG62" i="4" s="1"/>
  <c r="HH62" i="4" s="1"/>
  <c r="HI62" i="4" s="1"/>
  <c r="HJ62" i="4" s="1"/>
  <c r="HK62" i="4" s="1"/>
  <c r="HL62" i="4" s="1"/>
  <c r="HM62" i="4" s="1"/>
  <c r="HN62" i="4" s="1"/>
  <c r="HO62" i="4" s="1"/>
  <c r="HP62" i="4" s="1"/>
  <c r="HQ62" i="4" s="1"/>
  <c r="HR62" i="4" s="1"/>
  <c r="HS62" i="4" s="1"/>
  <c r="HT62" i="4" s="1"/>
  <c r="HU62" i="4" s="1"/>
  <c r="HV62" i="4" s="1"/>
  <c r="HW62" i="4" s="1"/>
  <c r="HX62" i="4" s="1"/>
  <c r="HY62" i="4" s="1"/>
  <c r="HZ62" i="4" s="1"/>
  <c r="IA62" i="4" s="1"/>
  <c r="IB62" i="4" s="1"/>
  <c r="IC62" i="4" s="1"/>
  <c r="ID62" i="4" s="1"/>
  <c r="IE62" i="4" s="1"/>
  <c r="IF62" i="4" s="1"/>
  <c r="IG62" i="4" s="1"/>
  <c r="IH62" i="4" s="1"/>
  <c r="II62" i="4" s="1"/>
  <c r="IJ62" i="4" s="1"/>
  <c r="IK62" i="4" s="1"/>
  <c r="IL62" i="4" s="1"/>
  <c r="IM62" i="4" s="1"/>
  <c r="IN62" i="4" s="1"/>
  <c r="IO62" i="4" s="1"/>
  <c r="IP62" i="4" s="1"/>
  <c r="IQ62" i="4" s="1"/>
  <c r="IR62" i="4" s="1"/>
  <c r="IS62" i="4" s="1"/>
  <c r="IT62" i="4" s="1"/>
  <c r="IU62" i="4" s="1"/>
  <c r="IV62" i="4" s="1"/>
  <c r="IW62" i="4" s="1"/>
  <c r="IX62" i="4" s="1"/>
  <c r="IY62" i="4" s="1"/>
  <c r="IZ62" i="4" s="1"/>
  <c r="JA62" i="4" s="1"/>
  <c r="JB62" i="4" s="1"/>
  <c r="JC62" i="4" s="1"/>
  <c r="JD62" i="4" s="1"/>
  <c r="JE62" i="4" s="1"/>
  <c r="JF62" i="4" s="1"/>
  <c r="JG62" i="4" s="1"/>
  <c r="JH62" i="4" s="1"/>
  <c r="JI62" i="4" s="1"/>
  <c r="JJ62" i="4" s="1"/>
  <c r="JK62" i="4" s="1"/>
  <c r="JL62" i="4" s="1"/>
  <c r="JM62" i="4" s="1"/>
  <c r="JN62" i="4" s="1"/>
  <c r="JO62" i="4" s="1"/>
  <c r="JP62" i="4" s="1"/>
  <c r="JQ62" i="4" s="1"/>
  <c r="JR62" i="4" s="1"/>
  <c r="JS62" i="4" s="1"/>
  <c r="JT62" i="4" s="1"/>
  <c r="JU62" i="4" s="1"/>
  <c r="JV62" i="4" s="1"/>
  <c r="JW62" i="4" s="1"/>
  <c r="JX62" i="4" s="1"/>
  <c r="JY62" i="4" s="1"/>
  <c r="JZ62" i="4" s="1"/>
  <c r="KA62" i="4" s="1"/>
  <c r="KB62" i="4" s="1"/>
  <c r="KC62" i="4" s="1"/>
  <c r="KD62" i="4" s="1"/>
  <c r="KE62" i="4" s="1"/>
  <c r="KF62" i="4" s="1"/>
  <c r="KG62" i="4" s="1"/>
  <c r="KH62" i="4" s="1"/>
  <c r="KI62" i="4" s="1"/>
  <c r="KJ62" i="4" s="1"/>
  <c r="KK62" i="4" s="1"/>
  <c r="KL62" i="4" s="1"/>
  <c r="KM62" i="4" s="1"/>
  <c r="KN62" i="4" s="1"/>
  <c r="KO62" i="4" s="1"/>
  <c r="KP62" i="4" s="1"/>
  <c r="KQ62" i="4" s="1"/>
  <c r="KR62" i="4" s="1"/>
  <c r="KS62" i="4" s="1"/>
  <c r="KT62" i="4" s="1"/>
  <c r="KU62" i="4" s="1"/>
  <c r="KV62" i="4" s="1"/>
  <c r="KW62" i="4" s="1"/>
  <c r="KX62" i="4" s="1"/>
  <c r="KY62" i="4" s="1"/>
  <c r="KZ62" i="4" s="1"/>
  <c r="LA62" i="4" s="1"/>
  <c r="LB62" i="4" s="1"/>
  <c r="LC62" i="4" s="1"/>
  <c r="LD62" i="4" s="1"/>
  <c r="LE62" i="4" s="1"/>
  <c r="LF62" i="4" s="1"/>
  <c r="LG62" i="4" s="1"/>
  <c r="LH62" i="4" s="1"/>
  <c r="LI62" i="4" s="1"/>
  <c r="LJ62" i="4" s="1"/>
  <c r="LK62" i="4" s="1"/>
  <c r="LL62" i="4" s="1"/>
  <c r="LM62" i="4" s="1"/>
  <c r="LN62" i="4" s="1"/>
  <c r="LO62" i="4" s="1"/>
  <c r="LP62" i="4" s="1"/>
  <c r="LQ62" i="4" s="1"/>
  <c r="LR62" i="4" s="1"/>
  <c r="LS62" i="4" s="1"/>
  <c r="LT62" i="4" s="1"/>
  <c r="LU62" i="4" s="1"/>
  <c r="LV62" i="4" s="1"/>
  <c r="LW62" i="4" s="1"/>
  <c r="LX62" i="4" s="1"/>
  <c r="LY62" i="4" s="1"/>
  <c r="LZ62" i="4" s="1"/>
  <c r="MA62" i="4" s="1"/>
  <c r="MB62" i="4" s="1"/>
  <c r="MC62" i="4" s="1"/>
  <c r="MD62" i="4" s="1"/>
  <c r="ME62" i="4" s="1"/>
  <c r="MF62" i="4" s="1"/>
  <c r="MG62" i="4" s="1"/>
  <c r="MH62" i="4" s="1"/>
  <c r="MI62" i="4" s="1"/>
  <c r="MJ62" i="4" s="1"/>
  <c r="MK62" i="4" s="1"/>
  <c r="ML62" i="4" s="1"/>
  <c r="MM62" i="4" s="1"/>
  <c r="MN62" i="4" s="1"/>
  <c r="MO62" i="4" s="1"/>
  <c r="MP62" i="4" s="1"/>
  <c r="MQ62" i="4" s="1"/>
  <c r="MR62" i="4" s="1"/>
  <c r="MS62" i="4" s="1"/>
  <c r="MT62" i="4" s="1"/>
  <c r="MU62" i="4" s="1"/>
  <c r="MV62" i="4" s="1"/>
  <c r="MW62" i="4" s="1"/>
  <c r="MX62" i="4" s="1"/>
  <c r="MY62" i="4" s="1"/>
  <c r="MZ62" i="4" s="1"/>
  <c r="NA62" i="4" s="1"/>
  <c r="NB62" i="4" s="1"/>
  <c r="NC62" i="4" s="1"/>
  <c r="ND62" i="4" s="1"/>
  <c r="NE62" i="4" s="1"/>
  <c r="NF62" i="4" s="1"/>
  <c r="NG62" i="4" s="1"/>
  <c r="NH62" i="4" s="1"/>
  <c r="NI62" i="4" s="1"/>
  <c r="NJ62" i="4" s="1"/>
  <c r="NK62" i="4" s="1"/>
  <c r="NL62" i="4" s="1"/>
  <c r="NM62" i="4" s="1"/>
  <c r="NN62" i="4" s="1"/>
  <c r="NO62" i="4" s="1"/>
  <c r="NP62" i="4" s="1"/>
  <c r="NQ62" i="4" s="1"/>
  <c r="NR62" i="4" s="1"/>
  <c r="NS62" i="4" s="1"/>
  <c r="NT62" i="4" s="1"/>
  <c r="NU62" i="4" s="1"/>
  <c r="NV62" i="4" s="1"/>
  <c r="NW62" i="4" s="1"/>
  <c r="NX62" i="4" s="1"/>
  <c r="NY62" i="4" s="1"/>
  <c r="NZ62" i="4" s="1"/>
  <c r="OA62" i="4" s="1"/>
  <c r="OB62" i="4" s="1"/>
  <c r="OC62" i="4" s="1"/>
  <c r="OD62" i="4" s="1"/>
  <c r="OE62" i="4" s="1"/>
  <c r="OF62" i="4" s="1"/>
  <c r="OG62" i="4" s="1"/>
  <c r="OH62" i="4" s="1"/>
  <c r="OI62" i="4" s="1"/>
  <c r="OJ62" i="4" s="1"/>
  <c r="OK62" i="4" s="1"/>
  <c r="OL62" i="4" s="1"/>
  <c r="OM62" i="4" s="1"/>
  <c r="ON62" i="4" s="1"/>
  <c r="OO62" i="4" s="1"/>
  <c r="OP62" i="4" s="1"/>
  <c r="OQ62" i="4" s="1"/>
  <c r="OR62" i="4" s="1"/>
  <c r="OS62" i="4" s="1"/>
  <c r="OT62" i="4" s="1"/>
  <c r="OU62" i="4" s="1"/>
  <c r="OV62" i="4" s="1"/>
  <c r="OW62" i="4" s="1"/>
  <c r="OX62" i="4" s="1"/>
  <c r="OY62" i="4" s="1"/>
  <c r="OZ62" i="4" s="1"/>
  <c r="PA62" i="4" s="1"/>
  <c r="PB62" i="4" s="1"/>
  <c r="PC62" i="4" s="1"/>
  <c r="PD62" i="4" s="1"/>
  <c r="PE62" i="4" s="1"/>
  <c r="PF62" i="4" s="1"/>
  <c r="PG62" i="4" s="1"/>
  <c r="PH62" i="4" s="1"/>
  <c r="PI62" i="4" s="1"/>
  <c r="PJ62" i="4" s="1"/>
  <c r="PK62" i="4" s="1"/>
  <c r="PL62" i="4" s="1"/>
  <c r="PM62" i="4" s="1"/>
  <c r="PN62" i="4" s="1"/>
  <c r="PO62" i="4" s="1"/>
  <c r="PP62" i="4" s="1"/>
  <c r="PQ62" i="4" s="1"/>
  <c r="PR62" i="4" s="1"/>
  <c r="PS62" i="4" s="1"/>
  <c r="PT62" i="4" s="1"/>
  <c r="PU62" i="4" s="1"/>
  <c r="PV62" i="4" s="1"/>
  <c r="PW62" i="4" s="1"/>
  <c r="PX62" i="4" s="1"/>
  <c r="PY62" i="4" s="1"/>
  <c r="PZ62" i="4" s="1"/>
  <c r="QA62" i="4" s="1"/>
  <c r="QB62" i="4" s="1"/>
  <c r="QC62" i="4" s="1"/>
  <c r="QD62" i="4" s="1"/>
  <c r="QE62" i="4" s="1"/>
  <c r="QF62" i="4" s="1"/>
  <c r="QG62" i="4" s="1"/>
  <c r="QH62" i="4" s="1"/>
  <c r="QI62" i="4" s="1"/>
  <c r="QJ62" i="4" s="1"/>
  <c r="QK62" i="4" s="1"/>
  <c r="QL62" i="4" s="1"/>
  <c r="QM62" i="4" s="1"/>
  <c r="QN62" i="4" s="1"/>
  <c r="QO62" i="4" s="1"/>
  <c r="QP62" i="4" s="1"/>
  <c r="QQ62" i="4" s="1"/>
  <c r="QR62" i="4" s="1"/>
  <c r="QS62" i="4" s="1"/>
  <c r="QT62" i="4" s="1"/>
  <c r="QU62" i="4" s="1"/>
  <c r="QV62" i="4" s="1"/>
  <c r="QW62" i="4" s="1"/>
  <c r="QX62" i="4" s="1"/>
  <c r="QY62" i="4" s="1"/>
  <c r="QZ62" i="4" s="1"/>
  <c r="RA62" i="4" s="1"/>
  <c r="RB62" i="4" s="1"/>
  <c r="RC62" i="4" s="1"/>
  <c r="RD62" i="4" s="1"/>
  <c r="RE62" i="4" s="1"/>
  <c r="RF62" i="4" s="1"/>
  <c r="RG62" i="4" s="1"/>
  <c r="RH62" i="4" s="1"/>
  <c r="RI62" i="4" s="1"/>
  <c r="RJ62" i="4" s="1"/>
  <c r="RK62" i="4" s="1"/>
  <c r="RL62" i="4" s="1"/>
  <c r="RM62" i="4" s="1"/>
  <c r="RN62" i="4" s="1"/>
  <c r="RO62" i="4" s="1"/>
  <c r="RP62" i="4" s="1"/>
  <c r="RQ62" i="4" s="1"/>
  <c r="RR62" i="4" s="1"/>
  <c r="RS62" i="4" s="1"/>
  <c r="RT62" i="4" s="1"/>
  <c r="RU62" i="4" s="1"/>
  <c r="RV62" i="4" s="1"/>
  <c r="RW62" i="4" s="1"/>
  <c r="RX62" i="4" s="1"/>
  <c r="RY62" i="4" s="1"/>
  <c r="RZ62" i="4" s="1"/>
  <c r="SA62" i="4" s="1"/>
  <c r="SB62" i="4" s="1"/>
  <c r="SC62" i="4" s="1"/>
  <c r="SD62" i="4" s="1"/>
  <c r="SE62" i="4" s="1"/>
  <c r="SF62" i="4" s="1"/>
  <c r="SG62" i="4" s="1"/>
  <c r="SH62" i="4" s="1"/>
  <c r="SI62" i="4" s="1"/>
  <c r="SJ62" i="4" s="1"/>
  <c r="SK62" i="4" s="1"/>
  <c r="SL62" i="4" s="1"/>
  <c r="SM62" i="4" s="1"/>
  <c r="SN62" i="4" s="1"/>
  <c r="SO62" i="4" s="1"/>
  <c r="SP62" i="4" s="1"/>
  <c r="SQ62" i="4" s="1"/>
  <c r="SR62" i="4" s="1"/>
  <c r="SS62" i="4" s="1"/>
  <c r="ST62" i="4" s="1"/>
  <c r="SU62" i="4" s="1"/>
  <c r="SV62" i="4" s="1"/>
  <c r="SW62" i="4" s="1"/>
  <c r="SX62" i="4" s="1"/>
  <c r="SY62" i="4" s="1"/>
  <c r="SZ62" i="4" s="1"/>
  <c r="TA62" i="4" s="1"/>
  <c r="TB62" i="4" s="1"/>
  <c r="TC62" i="4" s="1"/>
  <c r="TD62" i="4" s="1"/>
  <c r="TE62" i="4" s="1"/>
  <c r="TF62" i="4" s="1"/>
  <c r="TG62" i="4" s="1"/>
  <c r="TH62" i="4" s="1"/>
  <c r="TI62" i="4" s="1"/>
  <c r="TJ62" i="4" s="1"/>
  <c r="TK62" i="4" s="1"/>
  <c r="TL62" i="4" s="1"/>
  <c r="TM62" i="4" s="1"/>
  <c r="TN62" i="4" s="1"/>
  <c r="TO62" i="4" s="1"/>
  <c r="TP62" i="4" s="1"/>
  <c r="TQ62" i="4" s="1"/>
  <c r="TR62" i="4" s="1"/>
  <c r="TS62" i="4" s="1"/>
  <c r="TT62" i="4" s="1"/>
  <c r="TU62" i="4" s="1"/>
  <c r="TV62" i="4" s="1"/>
  <c r="TW62" i="4" s="1"/>
  <c r="TX62" i="4" s="1"/>
  <c r="TY62" i="4" s="1"/>
  <c r="TZ62" i="4" s="1"/>
  <c r="UA62" i="4" s="1"/>
  <c r="UB62" i="4" s="1"/>
  <c r="UC62" i="4" s="1"/>
  <c r="UD62" i="4" s="1"/>
  <c r="UE62" i="4" s="1"/>
  <c r="UF62" i="4" s="1"/>
  <c r="UG62" i="4" s="1"/>
  <c r="UH62" i="4" s="1"/>
  <c r="UI62" i="4" s="1"/>
  <c r="UJ62" i="4" s="1"/>
  <c r="UK62" i="4" s="1"/>
  <c r="UL62" i="4" s="1"/>
  <c r="UM62" i="4" s="1"/>
  <c r="UN62" i="4" s="1"/>
  <c r="UO62" i="4" s="1"/>
  <c r="UP62" i="4" s="1"/>
  <c r="UQ62" i="4" s="1"/>
  <c r="UR62" i="4" s="1"/>
  <c r="US62" i="4" s="1"/>
  <c r="FW54" i="4"/>
  <c r="FW55" i="4"/>
  <c r="FX54" i="4"/>
  <c r="FX55" i="4"/>
  <c r="FY54" i="4"/>
  <c r="FY55" i="4"/>
  <c r="FZ54" i="4"/>
  <c r="FZ56" i="4" s="1"/>
  <c r="FZ58" i="4" s="1"/>
  <c r="FZ55" i="4"/>
  <c r="M57" i="4"/>
  <c r="BL54" i="4"/>
  <c r="BL55" i="4"/>
  <c r="BL57" i="4" s="1"/>
  <c r="BM54" i="4"/>
  <c r="BM55" i="4"/>
  <c r="BM57" i="4" s="1"/>
  <c r="BN54" i="4"/>
  <c r="BN56" i="4" s="1"/>
  <c r="BN58" i="4" s="1"/>
  <c r="BN55" i="4"/>
  <c r="BN57" i="4" s="1"/>
  <c r="BO54" i="4"/>
  <c r="BO55" i="4"/>
  <c r="BP54" i="4"/>
  <c r="BP55" i="4"/>
  <c r="BQ54" i="4"/>
  <c r="BQ55" i="4"/>
  <c r="BR54" i="4"/>
  <c r="BR55" i="4"/>
  <c r="BS54" i="4"/>
  <c r="BS55" i="4"/>
  <c r="BT54" i="4"/>
  <c r="BT55" i="4"/>
  <c r="BT57" i="4" s="1"/>
  <c r="BU54" i="4"/>
  <c r="BU55" i="4"/>
  <c r="BV54" i="4"/>
  <c r="BV55" i="4"/>
  <c r="BW54" i="4"/>
  <c r="BW55" i="4"/>
  <c r="BW57" i="4" s="1"/>
  <c r="BX54" i="4"/>
  <c r="BX55" i="4"/>
  <c r="BX57" i="4" s="1"/>
  <c r="BY54" i="4"/>
  <c r="BY55" i="4"/>
  <c r="BZ54" i="4"/>
  <c r="BZ55" i="4"/>
  <c r="BZ56" i="4" s="1"/>
  <c r="BZ58" i="4" s="1"/>
  <c r="CA54" i="4"/>
  <c r="CA55" i="4"/>
  <c r="CA57" i="4" s="1"/>
  <c r="CB54" i="4"/>
  <c r="CB55" i="4"/>
  <c r="CC54" i="4"/>
  <c r="CC55" i="4"/>
  <c r="CD54" i="4"/>
  <c r="CD55" i="4"/>
  <c r="CD57" i="4" s="1"/>
  <c r="CE54" i="4"/>
  <c r="CE56" i="4" s="1"/>
  <c r="CE58" i="4" s="1"/>
  <c r="CE55" i="4"/>
  <c r="CF54" i="4"/>
  <c r="CF55" i="4"/>
  <c r="CG54" i="4"/>
  <c r="CG55" i="4"/>
  <c r="CG57" i="4" s="1"/>
  <c r="CH54" i="4"/>
  <c r="CH55" i="4"/>
  <c r="CI54" i="4"/>
  <c r="CI55" i="4"/>
  <c r="CI57" i="4" s="1"/>
  <c r="CJ54" i="4"/>
  <c r="CJ55" i="4"/>
  <c r="CJ57" i="4" s="1"/>
  <c r="CK54" i="4"/>
  <c r="CK55" i="4"/>
  <c r="CL54" i="4"/>
  <c r="CL55" i="4"/>
  <c r="CM54" i="4"/>
  <c r="CM55" i="4"/>
  <c r="CM57" i="4" s="1"/>
  <c r="CN54" i="4"/>
  <c r="CN55" i="4"/>
  <c r="CO54" i="4"/>
  <c r="CO55" i="4"/>
  <c r="CP54" i="4"/>
  <c r="CP55" i="4"/>
  <c r="CQ54" i="4"/>
  <c r="CQ55" i="4"/>
  <c r="CQ57" i="4" s="1"/>
  <c r="CR54" i="4"/>
  <c r="CR55" i="4"/>
  <c r="CS54" i="4"/>
  <c r="CS55" i="4"/>
  <c r="CT54" i="4"/>
  <c r="CT55" i="4"/>
  <c r="CT57" i="4" s="1"/>
  <c r="CU54" i="4"/>
  <c r="CU55" i="4"/>
  <c r="CV54" i="4"/>
  <c r="CV55" i="4"/>
  <c r="CV57" i="4" s="1"/>
  <c r="CW54" i="4"/>
  <c r="CW55" i="4"/>
  <c r="CX54" i="4"/>
  <c r="CX55" i="4"/>
  <c r="CX57" i="4" s="1"/>
  <c r="CY54" i="4"/>
  <c r="CY55" i="4"/>
  <c r="CY57" i="4" s="1"/>
  <c r="CZ54" i="4"/>
  <c r="CZ55" i="4"/>
  <c r="DA54" i="4"/>
  <c r="DA55" i="4"/>
  <c r="DA57" i="4" s="1"/>
  <c r="DB54" i="4"/>
  <c r="DB55" i="4"/>
  <c r="DB57" i="4" s="1"/>
  <c r="DC54" i="4"/>
  <c r="DC55" i="4"/>
  <c r="DD54" i="4"/>
  <c r="DD55" i="4"/>
  <c r="DE54" i="4"/>
  <c r="DE55" i="4"/>
  <c r="DF54" i="4"/>
  <c r="DF55" i="4"/>
  <c r="DF57" i="4" s="1"/>
  <c r="DG54" i="4"/>
  <c r="DG55" i="4"/>
  <c r="DG57" i="4" s="1"/>
  <c r="DH54" i="4"/>
  <c r="DH55" i="4"/>
  <c r="DH57" i="4" s="1"/>
  <c r="DI54" i="4"/>
  <c r="DI55" i="4"/>
  <c r="DI57" i="4" s="1"/>
  <c r="DJ54" i="4"/>
  <c r="DJ55" i="4"/>
  <c r="DJ57" i="4" s="1"/>
  <c r="DK54" i="4"/>
  <c r="DK55" i="4"/>
  <c r="DL54" i="4"/>
  <c r="DL55" i="4"/>
  <c r="DL57" i="4" s="1"/>
  <c r="DM54" i="4"/>
  <c r="DM55" i="4"/>
  <c r="DN54" i="4"/>
  <c r="DN56" i="4" s="1"/>
  <c r="DN58" i="4" s="1"/>
  <c r="DN55" i="4"/>
  <c r="DN57" i="4" s="1"/>
  <c r="DO54" i="4"/>
  <c r="DO55" i="4"/>
  <c r="DP54" i="4"/>
  <c r="DP56" i="4" s="1"/>
  <c r="DP58" i="4" s="1"/>
  <c r="DP55" i="4"/>
  <c r="DQ54" i="4"/>
  <c r="DQ55" i="4"/>
  <c r="DQ56" i="4" s="1"/>
  <c r="DQ58" i="4" s="1"/>
  <c r="DR54" i="4"/>
  <c r="DR55" i="4"/>
  <c r="DR57" i="4" s="1"/>
  <c r="DS54" i="4"/>
  <c r="DS55" i="4"/>
  <c r="DS57" i="4" s="1"/>
  <c r="DT54" i="4"/>
  <c r="DT55" i="4"/>
  <c r="DU54" i="4"/>
  <c r="DU55" i="4"/>
  <c r="DU57" i="4" s="1"/>
  <c r="DV54" i="4"/>
  <c r="DV55" i="4"/>
  <c r="DW54" i="4"/>
  <c r="DW55" i="4"/>
  <c r="DX54" i="4"/>
  <c r="DX55" i="4"/>
  <c r="DX57" i="4" s="1"/>
  <c r="DY54" i="4"/>
  <c r="DY55" i="4"/>
  <c r="DZ54" i="4"/>
  <c r="DZ55" i="4"/>
  <c r="EA54" i="4"/>
  <c r="EA55" i="4"/>
  <c r="EB54" i="4"/>
  <c r="EB55" i="4"/>
  <c r="EC54" i="4"/>
  <c r="EC55" i="4"/>
  <c r="EC56" i="4" s="1"/>
  <c r="EC58" i="4" s="1"/>
  <c r="ED54" i="4"/>
  <c r="ED56" i="4" s="1"/>
  <c r="ED58" i="4" s="1"/>
  <c r="ED55" i="4"/>
  <c r="ED57" i="4" s="1"/>
  <c r="EE54" i="4"/>
  <c r="EE55" i="4"/>
  <c r="EE57" i="4" s="1"/>
  <c r="EF54" i="4"/>
  <c r="EF56" i="4" s="1"/>
  <c r="EF58" i="4" s="1"/>
  <c r="EF55" i="4"/>
  <c r="EF57" i="4" s="1"/>
  <c r="EG54" i="4"/>
  <c r="EG55" i="4"/>
  <c r="EG57" i="4" s="1"/>
  <c r="EH54" i="4"/>
  <c r="EH55" i="4"/>
  <c r="EH57" i="4" s="1"/>
  <c r="EI54" i="4"/>
  <c r="EI55" i="4"/>
  <c r="EJ54" i="4"/>
  <c r="EJ55" i="4"/>
  <c r="EJ57" i="4" s="1"/>
  <c r="EK54" i="4"/>
  <c r="EK55" i="4"/>
  <c r="EK57" i="4" s="1"/>
  <c r="EL54" i="4"/>
  <c r="EL56" i="4" s="1"/>
  <c r="EL58" i="4" s="1"/>
  <c r="EL55" i="4"/>
  <c r="EM54" i="4"/>
  <c r="EM55" i="4"/>
  <c r="EM57" i="4" s="1"/>
  <c r="EN54" i="4"/>
  <c r="EN56" i="4" s="1"/>
  <c r="EN55" i="4"/>
  <c r="EN57" i="4" s="1"/>
  <c r="EO54" i="4"/>
  <c r="EO55" i="4"/>
  <c r="EO57" i="4" s="1"/>
  <c r="EP54" i="4"/>
  <c r="EP55" i="4"/>
  <c r="EP57" i="4" s="1"/>
  <c r="EQ54" i="4"/>
  <c r="EQ55" i="4"/>
  <c r="ER54" i="4"/>
  <c r="ER55" i="4"/>
  <c r="ES54" i="4"/>
  <c r="ES55" i="4"/>
  <c r="ES57" i="4" s="1"/>
  <c r="ET54" i="4"/>
  <c r="ET55" i="4"/>
  <c r="EU54" i="4"/>
  <c r="EU55" i="4"/>
  <c r="EU57" i="4" s="1"/>
  <c r="EV54" i="4"/>
  <c r="EV56" i="4" s="1"/>
  <c r="EV58" i="4" s="1"/>
  <c r="EV55" i="4"/>
  <c r="EV57" i="4" s="1"/>
  <c r="EW54" i="4"/>
  <c r="EW55" i="4"/>
  <c r="EW57" i="4" s="1"/>
  <c r="EX54" i="4"/>
  <c r="EX55" i="4"/>
  <c r="EX57" i="4" s="1"/>
  <c r="EY54" i="4"/>
  <c r="EY55" i="4"/>
  <c r="EZ54" i="4"/>
  <c r="EZ55" i="4"/>
  <c r="FA54" i="4"/>
  <c r="FA55" i="4"/>
  <c r="FB54" i="4"/>
  <c r="FB55" i="4"/>
  <c r="FC54" i="4"/>
  <c r="FC55" i="4"/>
  <c r="FC57" i="4" s="1"/>
  <c r="FD54" i="4"/>
  <c r="FD55" i="4"/>
  <c r="FD57" i="4" s="1"/>
  <c r="FE54" i="4"/>
  <c r="FE55" i="4"/>
  <c r="FF54" i="4"/>
  <c r="FF55" i="4"/>
  <c r="FF57" i="4" s="1"/>
  <c r="FG54" i="4"/>
  <c r="FG55" i="4"/>
  <c r="FH54" i="4"/>
  <c r="FH55" i="4"/>
  <c r="FI54" i="4"/>
  <c r="FI55" i="4"/>
  <c r="FJ54" i="4"/>
  <c r="FJ55" i="4"/>
  <c r="FK54" i="4"/>
  <c r="FK55" i="4"/>
  <c r="FK57" i="4" s="1"/>
  <c r="FL54" i="4"/>
  <c r="FL55" i="4"/>
  <c r="FL57" i="4" s="1"/>
  <c r="FM54" i="4"/>
  <c r="FM55" i="4"/>
  <c r="FN54" i="4"/>
  <c r="FN55" i="4"/>
  <c r="FN57" i="4" s="1"/>
  <c r="FO54" i="4"/>
  <c r="FO55" i="4"/>
  <c r="FP54" i="4"/>
  <c r="FP55" i="4"/>
  <c r="FP57" i="4" s="1"/>
  <c r="FQ54" i="4"/>
  <c r="FQ55" i="4"/>
  <c r="FR54" i="4"/>
  <c r="FR55" i="4"/>
  <c r="FR57" i="4" s="1"/>
  <c r="FS54" i="4"/>
  <c r="FS55" i="4"/>
  <c r="FS57" i="4" s="1"/>
  <c r="E32" i="3"/>
  <c r="F51" i="3"/>
  <c r="G51" i="3"/>
  <c r="G53" i="3" s="1"/>
  <c r="H51" i="3"/>
  <c r="I51" i="3"/>
  <c r="J51" i="3"/>
  <c r="J53" i="3" s="1"/>
  <c r="K51" i="3"/>
  <c r="K50" i="3"/>
  <c r="L51" i="3"/>
  <c r="L53" i="3" s="1"/>
  <c r="M51" i="3"/>
  <c r="N51" i="3"/>
  <c r="N53" i="3" s="1"/>
  <c r="O51" i="3"/>
  <c r="O53" i="3" s="1"/>
  <c r="P51" i="3"/>
  <c r="Q51" i="3"/>
  <c r="R51" i="3"/>
  <c r="R53" i="3" s="1"/>
  <c r="S51" i="3"/>
  <c r="S53" i="3" s="1"/>
  <c r="T51" i="3"/>
  <c r="T53" i="3" s="1"/>
  <c r="U51" i="3"/>
  <c r="U53" i="3" s="1"/>
  <c r="V51" i="3"/>
  <c r="V53" i="3" s="1"/>
  <c r="W51" i="3"/>
  <c r="W53" i="3" s="1"/>
  <c r="X51" i="3"/>
  <c r="X53" i="3"/>
  <c r="Y51" i="3"/>
  <c r="Y53" i="3" s="1"/>
  <c r="Z51" i="3"/>
  <c r="AA51" i="3"/>
  <c r="AA53" i="3" s="1"/>
  <c r="AB51" i="3"/>
  <c r="AB53" i="3" s="1"/>
  <c r="AC51" i="3"/>
  <c r="AD51" i="3"/>
  <c r="AE51" i="3"/>
  <c r="AE53" i="3" s="1"/>
  <c r="AF51" i="3"/>
  <c r="AG51" i="3"/>
  <c r="AH51" i="3"/>
  <c r="AH53" i="3" s="1"/>
  <c r="AI51" i="3"/>
  <c r="AI53" i="3" s="1"/>
  <c r="AJ51" i="3"/>
  <c r="AJ53" i="3" s="1"/>
  <c r="AK51" i="3"/>
  <c r="AL51" i="3"/>
  <c r="AL53" i="3" s="1"/>
  <c r="AM51" i="3"/>
  <c r="AM53" i="3" s="1"/>
  <c r="AN51" i="3"/>
  <c r="AN53" i="3" s="1"/>
  <c r="AN50" i="3"/>
  <c r="AO51" i="3"/>
  <c r="AP51" i="3"/>
  <c r="AP53" i="3" s="1"/>
  <c r="AQ51" i="3"/>
  <c r="AQ53" i="3" s="1"/>
  <c r="AR51" i="3"/>
  <c r="AR53" i="3" s="1"/>
  <c r="AR50" i="3"/>
  <c r="AS51" i="3"/>
  <c r="AT51" i="3"/>
  <c r="AU51" i="3"/>
  <c r="AV51" i="3"/>
  <c r="AW51" i="3"/>
  <c r="AW53" i="3" s="1"/>
  <c r="AX51" i="3"/>
  <c r="AX53" i="3" s="1"/>
  <c r="AY51" i="3"/>
  <c r="AY53" i="3"/>
  <c r="AZ51" i="3"/>
  <c r="AZ53" i="3"/>
  <c r="BA51" i="3"/>
  <c r="BA53" i="3" s="1"/>
  <c r="BB51" i="3"/>
  <c r="BB50" i="3"/>
  <c r="BC51" i="3"/>
  <c r="BC53" i="3" s="1"/>
  <c r="BD51" i="3"/>
  <c r="BE51" i="3"/>
  <c r="BE53" i="3" s="1"/>
  <c r="BF51" i="3"/>
  <c r="BG51" i="3"/>
  <c r="BG53" i="3" s="1"/>
  <c r="BH51" i="3"/>
  <c r="BH53" i="3" s="1"/>
  <c r="BI51" i="3"/>
  <c r="BI53" i="3" s="1"/>
  <c r="BJ51" i="3"/>
  <c r="BJ53" i="3" s="1"/>
  <c r="BK51" i="3"/>
  <c r="BK53" i="3" s="1"/>
  <c r="BL51" i="3"/>
  <c r="BL53" i="3" s="1"/>
  <c r="BM51" i="3"/>
  <c r="BM53" i="3" s="1"/>
  <c r="BN51" i="3"/>
  <c r="BO51" i="3"/>
  <c r="BO53" i="3" s="1"/>
  <c r="BP51" i="3"/>
  <c r="BP53" i="3" s="1"/>
  <c r="BQ51" i="3"/>
  <c r="BR51" i="3"/>
  <c r="BS51" i="3"/>
  <c r="BS53" i="3" s="1"/>
  <c r="BT51" i="3"/>
  <c r="BU51" i="3"/>
  <c r="BV51" i="3"/>
  <c r="BW51" i="3"/>
  <c r="BX51" i="3"/>
  <c r="BY51" i="3"/>
  <c r="BY53" i="3" s="1"/>
  <c r="BZ51" i="3"/>
  <c r="BZ53" i="3" s="1"/>
  <c r="CA51" i="3"/>
  <c r="CA53" i="3" s="1"/>
  <c r="CB51" i="3"/>
  <c r="CB53" i="3" s="1"/>
  <c r="CC51" i="3"/>
  <c r="CC53" i="3" s="1"/>
  <c r="CD51" i="3"/>
  <c r="CE51" i="3"/>
  <c r="CE53" i="3" s="1"/>
  <c r="CF51" i="3"/>
  <c r="CF53" i="3" s="1"/>
  <c r="CG51" i="3"/>
  <c r="E31" i="3"/>
  <c r="E30" i="3"/>
  <c r="E29" i="3"/>
  <c r="E28" i="3"/>
  <c r="K11" i="4"/>
  <c r="R11" i="4" s="1"/>
  <c r="Y11" i="4" s="1"/>
  <c r="AF11" i="4" s="1"/>
  <c r="AM11" i="4" s="1"/>
  <c r="AT11" i="4" s="1"/>
  <c r="BA11" i="4" s="1"/>
  <c r="BH11" i="4" s="1"/>
  <c r="BO11" i="4" s="1"/>
  <c r="BV11" i="4" s="1"/>
  <c r="CC11" i="4" s="1"/>
  <c r="CJ11" i="4" s="1"/>
  <c r="CQ11" i="4" s="1"/>
  <c r="CX11" i="4" s="1"/>
  <c r="DE11" i="4" s="1"/>
  <c r="DL11" i="4" s="1"/>
  <c r="DS11" i="4" s="1"/>
  <c r="DZ11" i="4" s="1"/>
  <c r="EG11" i="4" s="1"/>
  <c r="EN11" i="4" s="1"/>
  <c r="EU11" i="4" s="1"/>
  <c r="FB11" i="4" s="1"/>
  <c r="FI11" i="4" s="1"/>
  <c r="FP11" i="4" s="1"/>
  <c r="FW11" i="4" s="1"/>
  <c r="GD11" i="4" s="1"/>
  <c r="GK11" i="4" s="1"/>
  <c r="GR11" i="4" s="1"/>
  <c r="GY11" i="4" s="1"/>
  <c r="HF11" i="4" s="1"/>
  <c r="HM11" i="4" s="1"/>
  <c r="HT11" i="4" s="1"/>
  <c r="IA11" i="4" s="1"/>
  <c r="IH11" i="4" s="1"/>
  <c r="IO11" i="4" s="1"/>
  <c r="IV11" i="4" s="1"/>
  <c r="JC11" i="4" s="1"/>
  <c r="JJ11" i="4" s="1"/>
  <c r="JQ11" i="4" s="1"/>
  <c r="JX11" i="4" s="1"/>
  <c r="KE11" i="4" s="1"/>
  <c r="KL11" i="4" s="1"/>
  <c r="KS11" i="4" s="1"/>
  <c r="KZ11" i="4" s="1"/>
  <c r="LG11" i="4" s="1"/>
  <c r="LN11" i="4" s="1"/>
  <c r="LU11" i="4" s="1"/>
  <c r="MB11" i="4" s="1"/>
  <c r="MI11" i="4" s="1"/>
  <c r="MP11" i="4" s="1"/>
  <c r="MW11" i="4" s="1"/>
  <c r="ND11" i="4" s="1"/>
  <c r="NK11" i="4" s="1"/>
  <c r="NR11" i="4" s="1"/>
  <c r="NY11" i="4" s="1"/>
  <c r="OF11" i="4" s="1"/>
  <c r="OM11" i="4" s="1"/>
  <c r="OT11" i="4" s="1"/>
  <c r="PA11" i="4" s="1"/>
  <c r="PH11" i="4" s="1"/>
  <c r="PO11" i="4" s="1"/>
  <c r="PV11" i="4" s="1"/>
  <c r="QC11" i="4" s="1"/>
  <c r="QJ11" i="4" s="1"/>
  <c r="QQ11" i="4" s="1"/>
  <c r="QX11" i="4" s="1"/>
  <c r="RE11" i="4" s="1"/>
  <c r="RL11" i="4" s="1"/>
  <c r="RS11" i="4" s="1"/>
  <c r="RZ11" i="4" s="1"/>
  <c r="SG11" i="4" s="1"/>
  <c r="SN11" i="4" s="1"/>
  <c r="SU11" i="4" s="1"/>
  <c r="TB11" i="4" s="1"/>
  <c r="TI11" i="4" s="1"/>
  <c r="TP11" i="4" s="1"/>
  <c r="TW11" i="4" s="1"/>
  <c r="UD11" i="4" s="1"/>
  <c r="UK11" i="4" s="1"/>
  <c r="F13" i="4"/>
  <c r="BV57" i="4"/>
  <c r="BZ57" i="4"/>
  <c r="FT54" i="4"/>
  <c r="FT55" i="4"/>
  <c r="FT57" i="4" s="1"/>
  <c r="FU54" i="4"/>
  <c r="FU55" i="4"/>
  <c r="FV54" i="4"/>
  <c r="FV56" i="4" s="1"/>
  <c r="FV58" i="4" s="1"/>
  <c r="FV55" i="4"/>
  <c r="GA54" i="4"/>
  <c r="GA55" i="4"/>
  <c r="GB54" i="4"/>
  <c r="GB56" i="4" s="1"/>
  <c r="GB58" i="4" s="1"/>
  <c r="GB55" i="4"/>
  <c r="GC54" i="4"/>
  <c r="GC55" i="4"/>
  <c r="GD54" i="4"/>
  <c r="GD55" i="4"/>
  <c r="GD57" i="4" s="1"/>
  <c r="GE54" i="4"/>
  <c r="GE55" i="4"/>
  <c r="GE57" i="4" s="1"/>
  <c r="GF54" i="4"/>
  <c r="GF55" i="4"/>
  <c r="GG54" i="4"/>
  <c r="GG55" i="4"/>
  <c r="GH54" i="4"/>
  <c r="GH55" i="4"/>
  <c r="GH57" i="4" s="1"/>
  <c r="GI54" i="4"/>
  <c r="GI55" i="4"/>
  <c r="GJ54" i="4"/>
  <c r="GJ55" i="4"/>
  <c r="GK54" i="4"/>
  <c r="GK55" i="4"/>
  <c r="GL54" i="4"/>
  <c r="GL55" i="4"/>
  <c r="GM54" i="4"/>
  <c r="GM55" i="4"/>
  <c r="GM57" i="4" s="1"/>
  <c r="GN54" i="4"/>
  <c r="GN55" i="4"/>
  <c r="GN57" i="4" s="1"/>
  <c r="GO54" i="4"/>
  <c r="GO55" i="4"/>
  <c r="GP54" i="4"/>
  <c r="GP55" i="4"/>
  <c r="GP57" i="4" s="1"/>
  <c r="GQ54" i="4"/>
  <c r="GQ55" i="4"/>
  <c r="GQ57" i="4" s="1"/>
  <c r="GR54" i="4"/>
  <c r="GR55" i="4"/>
  <c r="GR57" i="4" s="1"/>
  <c r="GS54" i="4"/>
  <c r="GS55" i="4"/>
  <c r="GT54" i="4"/>
  <c r="GT55" i="4"/>
  <c r="GT57" i="4" s="1"/>
  <c r="GU54" i="4"/>
  <c r="GU55" i="4"/>
  <c r="GU57" i="4" s="1"/>
  <c r="GV54" i="4"/>
  <c r="GV55" i="4"/>
  <c r="GW54" i="4"/>
  <c r="GW55" i="4"/>
  <c r="GW57" i="4" s="1"/>
  <c r="GX54" i="4"/>
  <c r="GX55" i="4"/>
  <c r="GX57" i="4" s="1"/>
  <c r="GY54" i="4"/>
  <c r="GY55" i="4"/>
  <c r="GZ54" i="4"/>
  <c r="GZ55" i="4"/>
  <c r="GZ57" i="4" s="1"/>
  <c r="HA54" i="4"/>
  <c r="HA55" i="4"/>
  <c r="HA57" i="4" s="1"/>
  <c r="HB54" i="4"/>
  <c r="HB55" i="4"/>
  <c r="HB57" i="4" s="1"/>
  <c r="HC54" i="4"/>
  <c r="HC55" i="4"/>
  <c r="HC57" i="4" s="1"/>
  <c r="HD54" i="4"/>
  <c r="HD55" i="4"/>
  <c r="HD57" i="4" s="1"/>
  <c r="HE54" i="4"/>
  <c r="HE55" i="4"/>
  <c r="HE57" i="4" s="1"/>
  <c r="HF54" i="4"/>
  <c r="HF55" i="4"/>
  <c r="HG54" i="4"/>
  <c r="HG55" i="4"/>
  <c r="HG57" i="4" s="1"/>
  <c r="HH54" i="4"/>
  <c r="HH55" i="4"/>
  <c r="HH57" i="4" s="1"/>
  <c r="HI54" i="4"/>
  <c r="HI55" i="4"/>
  <c r="HJ54" i="4"/>
  <c r="HJ55" i="4"/>
  <c r="HJ57" i="4" s="1"/>
  <c r="HK54" i="4"/>
  <c r="HK55" i="4"/>
  <c r="HK57" i="4" s="1"/>
  <c r="HL54" i="4"/>
  <c r="HL56" i="4" s="1"/>
  <c r="HL58" i="4" s="1"/>
  <c r="HL55" i="4"/>
  <c r="HL57" i="4" s="1"/>
  <c r="HM54" i="4"/>
  <c r="HM55" i="4"/>
  <c r="HN54" i="4"/>
  <c r="HN55" i="4"/>
  <c r="HN57" i="4" s="1"/>
  <c r="HO54" i="4"/>
  <c r="HO55" i="4"/>
  <c r="HP54" i="4"/>
  <c r="HP55" i="4"/>
  <c r="HQ54" i="4"/>
  <c r="HQ55" i="4"/>
  <c r="HQ57" i="4" s="1"/>
  <c r="HR54" i="4"/>
  <c r="HR55" i="4"/>
  <c r="HS54" i="4"/>
  <c r="HS55" i="4"/>
  <c r="HS57" i="4" s="1"/>
  <c r="HT54" i="4"/>
  <c r="HT55" i="4"/>
  <c r="HT57" i="4" s="1"/>
  <c r="HU54" i="4"/>
  <c r="HU55" i="4"/>
  <c r="HV54" i="4"/>
  <c r="HV55" i="4"/>
  <c r="HW54" i="4"/>
  <c r="HW55" i="4"/>
  <c r="HW57" i="4" s="1"/>
  <c r="HX54" i="4"/>
  <c r="HX55" i="4"/>
  <c r="HX57" i="4" s="1"/>
  <c r="HY54" i="4"/>
  <c r="HY55" i="4"/>
  <c r="HZ54" i="4"/>
  <c r="HZ55" i="4"/>
  <c r="IA54" i="4"/>
  <c r="IA55" i="4"/>
  <c r="IA57" i="4" s="1"/>
  <c r="IB54" i="4"/>
  <c r="IB55" i="4"/>
  <c r="IB57" i="4" s="1"/>
  <c r="IC54" i="4"/>
  <c r="IC56" i="4" s="1"/>
  <c r="IC58" i="4" s="1"/>
  <c r="IC55" i="4"/>
  <c r="ID54" i="4"/>
  <c r="ID55" i="4"/>
  <c r="IE54" i="4"/>
  <c r="IE55" i="4"/>
  <c r="IE57" i="4" s="1"/>
  <c r="IF54" i="4"/>
  <c r="IF55" i="4"/>
  <c r="IG54" i="4"/>
  <c r="IG55" i="4"/>
  <c r="IG57" i="4" s="1"/>
  <c r="IH54" i="4"/>
  <c r="IH55" i="4"/>
  <c r="II54" i="4"/>
  <c r="II55" i="4"/>
  <c r="II57" i="4" s="1"/>
  <c r="IJ54" i="4"/>
  <c r="IJ55" i="4"/>
  <c r="IK54" i="4"/>
  <c r="IK55" i="4"/>
  <c r="IK57" i="4" s="1"/>
  <c r="IL54" i="4"/>
  <c r="IL56" i="4" s="1"/>
  <c r="IL58" i="4" s="1"/>
  <c r="IL55" i="4"/>
  <c r="IM54" i="4"/>
  <c r="IM55" i="4"/>
  <c r="IM57" i="4" s="1"/>
  <c r="IN54" i="4"/>
  <c r="IN55" i="4"/>
  <c r="IN57" i="4" s="1"/>
  <c r="IO54" i="4"/>
  <c r="IO55" i="4"/>
  <c r="IP54" i="4"/>
  <c r="IP55" i="4"/>
  <c r="IQ54" i="4"/>
  <c r="IQ55" i="4"/>
  <c r="IQ57" i="4" s="1"/>
  <c r="IR54" i="4"/>
  <c r="IR55" i="4"/>
  <c r="IR57" i="4" s="1"/>
  <c r="IS54" i="4"/>
  <c r="IS56" i="4" s="1"/>
  <c r="IS58" i="4" s="1"/>
  <c r="IS55" i="4"/>
  <c r="IT54" i="4"/>
  <c r="IT56" i="4" s="1"/>
  <c r="IT58" i="4" s="1"/>
  <c r="IT55" i="4"/>
  <c r="IU54" i="4"/>
  <c r="IU55" i="4"/>
  <c r="IU57" i="4" s="1"/>
  <c r="IV54" i="4"/>
  <c r="IV55" i="4"/>
  <c r="IV57" i="4" s="1"/>
  <c r="IW54" i="4"/>
  <c r="IW55" i="4"/>
  <c r="IX54" i="4"/>
  <c r="IX55" i="4"/>
  <c r="IY54" i="4"/>
  <c r="IY55" i="4"/>
  <c r="IY57" i="4" s="1"/>
  <c r="IZ54" i="4"/>
  <c r="IZ55" i="4"/>
  <c r="IZ57" i="4" s="1"/>
  <c r="JA54" i="4"/>
  <c r="JA56" i="4" s="1"/>
  <c r="JA58" i="4" s="1"/>
  <c r="JA55" i="4"/>
  <c r="JA57" i="4" s="1"/>
  <c r="JB54" i="4"/>
  <c r="JB55" i="4"/>
  <c r="JB57" i="4" s="1"/>
  <c r="JC54" i="4"/>
  <c r="JC55" i="4"/>
  <c r="JD54" i="4"/>
  <c r="JD56" i="4" s="1"/>
  <c r="JD58" i="4" s="1"/>
  <c r="JD55" i="4"/>
  <c r="JD57" i="4" s="1"/>
  <c r="JE54" i="4"/>
  <c r="JE55" i="4"/>
  <c r="JF54" i="4"/>
  <c r="JF55" i="4"/>
  <c r="JG54" i="4"/>
  <c r="JG55" i="4"/>
  <c r="JG57" i="4" s="1"/>
  <c r="JH54" i="4"/>
  <c r="JH55" i="4"/>
  <c r="JI54" i="4"/>
  <c r="JI55" i="4"/>
  <c r="JI57" i="4" s="1"/>
  <c r="JJ54" i="4"/>
  <c r="JJ55" i="4"/>
  <c r="JK54" i="4"/>
  <c r="JK55" i="4"/>
  <c r="JK57" i="4" s="1"/>
  <c r="JL54" i="4"/>
  <c r="JL56" i="4" s="1"/>
  <c r="JL55" i="4"/>
  <c r="JM54" i="4"/>
  <c r="JM55" i="4"/>
  <c r="JN54" i="4"/>
  <c r="JN55" i="4"/>
  <c r="JN57" i="4" s="1"/>
  <c r="JO54" i="4"/>
  <c r="JO55" i="4"/>
  <c r="JO57" i="4" s="1"/>
  <c r="JP54" i="4"/>
  <c r="JP56" i="4" s="1"/>
  <c r="JP58" i="4" s="1"/>
  <c r="JP55" i="4"/>
  <c r="JQ54" i="4"/>
  <c r="JQ55" i="4"/>
  <c r="JQ57" i="4" s="1"/>
  <c r="JR54" i="4"/>
  <c r="JR55" i="4"/>
  <c r="JS54" i="4"/>
  <c r="JS55" i="4"/>
  <c r="JS57" i="4" s="1"/>
  <c r="JT54" i="4"/>
  <c r="JT55" i="4"/>
  <c r="JT57" i="4" s="1"/>
  <c r="JU54" i="4"/>
  <c r="JU55" i="4"/>
  <c r="JU57" i="4" s="1"/>
  <c r="JV54" i="4"/>
  <c r="JV55" i="4"/>
  <c r="JV57" i="4" s="1"/>
  <c r="JW54" i="4"/>
  <c r="JW55" i="4"/>
  <c r="JW57" i="4" s="1"/>
  <c r="JX54" i="4"/>
  <c r="JX55" i="4"/>
  <c r="JY54" i="4"/>
  <c r="JY55" i="4"/>
  <c r="JZ54" i="4"/>
  <c r="JZ55" i="4"/>
  <c r="KA54" i="4"/>
  <c r="KA55" i="4"/>
  <c r="KA57" i="4" s="1"/>
  <c r="KB54" i="4"/>
  <c r="KB55" i="4"/>
  <c r="KB57" i="4" s="1"/>
  <c r="KC54" i="4"/>
  <c r="KC55" i="4"/>
  <c r="KC57" i="4" s="1"/>
  <c r="KD54" i="4"/>
  <c r="KD55" i="4"/>
  <c r="KE54" i="4"/>
  <c r="KE55" i="4"/>
  <c r="KE57" i="4" s="1"/>
  <c r="KF54" i="4"/>
  <c r="KF55" i="4"/>
  <c r="KG54" i="4"/>
  <c r="KG55" i="4"/>
  <c r="KG57" i="4" s="1"/>
  <c r="KH54" i="4"/>
  <c r="KH55" i="4"/>
  <c r="KI54" i="4"/>
  <c r="KI55" i="4"/>
  <c r="KI56" i="4" s="1"/>
  <c r="KI58" i="4" s="1"/>
  <c r="KJ54" i="4"/>
  <c r="KJ55" i="4"/>
  <c r="KK54" i="4"/>
  <c r="KK55" i="4"/>
  <c r="KK57" i="4" s="1"/>
  <c r="KL54" i="4"/>
  <c r="KL55" i="4"/>
  <c r="KM54" i="4"/>
  <c r="KM55" i="4"/>
  <c r="KM56" i="4" s="1"/>
  <c r="KM58" i="4" s="1"/>
  <c r="KN54" i="4"/>
  <c r="KN55" i="4"/>
  <c r="KN57" i="4" s="1"/>
  <c r="KO54" i="4"/>
  <c r="KO55" i="4"/>
  <c r="KP54" i="4"/>
  <c r="KP56" i="4" s="1"/>
  <c r="KP58" i="4" s="1"/>
  <c r="KP55" i="4"/>
  <c r="KP57" i="4" s="1"/>
  <c r="KQ54" i="4"/>
  <c r="KQ55" i="4"/>
  <c r="KQ57" i="4" s="1"/>
  <c r="KR54" i="4"/>
  <c r="KR55" i="4"/>
  <c r="KS54" i="4"/>
  <c r="KS55" i="4"/>
  <c r="KS57" i="4" s="1"/>
  <c r="KT54" i="4"/>
  <c r="KT55" i="4"/>
  <c r="KU54" i="4"/>
  <c r="KU55" i="4"/>
  <c r="KU57" i="4" s="1"/>
  <c r="KV54" i="4"/>
  <c r="KV55" i="4"/>
  <c r="KV57" i="4" s="1"/>
  <c r="KW54" i="4"/>
  <c r="KW55" i="4"/>
  <c r="KW56" i="4"/>
  <c r="KW58" i="4" s="1"/>
  <c r="KX54" i="4"/>
  <c r="KX55" i="4"/>
  <c r="KX57" i="4" s="1"/>
  <c r="KY54" i="4"/>
  <c r="KY55" i="4"/>
  <c r="KZ54" i="4"/>
  <c r="KZ56" i="4" s="1"/>
  <c r="KZ58" i="4" s="1"/>
  <c r="KZ55" i="4"/>
  <c r="LA54" i="4"/>
  <c r="LA55" i="4"/>
  <c r="LA57" i="4" s="1"/>
  <c r="LB54" i="4"/>
  <c r="LB55" i="4"/>
  <c r="LB57" i="4" s="1"/>
  <c r="LC54" i="4"/>
  <c r="LC56" i="4" s="1"/>
  <c r="LC58" i="4" s="1"/>
  <c r="LC55" i="4"/>
  <c r="LC57" i="4" s="1"/>
  <c r="LD54" i="4"/>
  <c r="LD55" i="4"/>
  <c r="LD57" i="4" s="1"/>
  <c r="LE54" i="4"/>
  <c r="LE55" i="4"/>
  <c r="LE57" i="4" s="1"/>
  <c r="LF54" i="4"/>
  <c r="LF55" i="4"/>
  <c r="LF57" i="4" s="1"/>
  <c r="LG54" i="4"/>
  <c r="LG55" i="4"/>
  <c r="LH54" i="4"/>
  <c r="LH56" i="4" s="1"/>
  <c r="LH58" i="4" s="1"/>
  <c r="LH55" i="4"/>
  <c r="LI54" i="4"/>
  <c r="LI55" i="4"/>
  <c r="LI57" i="4" s="1"/>
  <c r="LJ54" i="4"/>
  <c r="LJ55" i="4"/>
  <c r="LJ56" i="4" s="1"/>
  <c r="LJ58" i="4" s="1"/>
  <c r="LK54" i="4"/>
  <c r="LK55" i="4"/>
  <c r="LL54" i="4"/>
  <c r="LL55" i="4"/>
  <c r="LM54" i="4"/>
  <c r="LM55" i="4"/>
  <c r="LM57" i="4" s="1"/>
  <c r="LN54" i="4"/>
  <c r="LN55" i="4"/>
  <c r="LO54" i="4"/>
  <c r="LO55" i="4"/>
  <c r="LO57" i="4" s="1"/>
  <c r="LP54" i="4"/>
  <c r="LP55" i="4"/>
  <c r="LQ54" i="4"/>
  <c r="LQ55" i="4"/>
  <c r="LQ57" i="4" s="1"/>
  <c r="LR54" i="4"/>
  <c r="LR55" i="4"/>
  <c r="LR57" i="4" s="1"/>
  <c r="LS54" i="4"/>
  <c r="LS55" i="4"/>
  <c r="LT54" i="4"/>
  <c r="LT55" i="4"/>
  <c r="LU54" i="4"/>
  <c r="LU55" i="4"/>
  <c r="LU57" i="4" s="1"/>
  <c r="LV54" i="4"/>
  <c r="LV55" i="4"/>
  <c r="LW54" i="4"/>
  <c r="LW55" i="4"/>
  <c r="LX54" i="4"/>
  <c r="LX55" i="4"/>
  <c r="LY54" i="4"/>
  <c r="LY55" i="4"/>
  <c r="LZ54" i="4"/>
  <c r="LZ55" i="4"/>
  <c r="LZ57" i="4" s="1"/>
  <c r="MA54" i="4"/>
  <c r="MA55" i="4"/>
  <c r="MB54" i="4"/>
  <c r="MB55" i="4"/>
  <c r="MC54" i="4"/>
  <c r="MC55" i="4"/>
  <c r="MC57" i="4" s="1"/>
  <c r="MD54" i="4"/>
  <c r="MD55" i="4"/>
  <c r="MD57" i="4" s="1"/>
  <c r="ME54" i="4"/>
  <c r="ME55" i="4"/>
  <c r="ME57" i="4" s="1"/>
  <c r="MF54" i="4"/>
  <c r="MF55" i="4"/>
  <c r="MG54" i="4"/>
  <c r="MG55" i="4"/>
  <c r="MH54" i="4"/>
  <c r="MH55" i="4"/>
  <c r="MH57" i="4" s="1"/>
  <c r="MI54" i="4"/>
  <c r="MI55" i="4"/>
  <c r="MJ54" i="4"/>
  <c r="MJ55" i="4"/>
  <c r="MK54" i="4"/>
  <c r="MK55" i="4"/>
  <c r="ML54" i="4"/>
  <c r="ML55" i="4"/>
  <c r="MM54" i="4"/>
  <c r="MM55" i="4"/>
  <c r="MN54" i="4"/>
  <c r="MN55" i="4"/>
  <c r="MO54" i="4"/>
  <c r="MO55" i="4"/>
  <c r="MP54" i="4"/>
  <c r="MP55" i="4"/>
  <c r="MP57" i="4" s="1"/>
  <c r="MQ54" i="4"/>
  <c r="MQ55" i="4"/>
  <c r="MR54" i="4"/>
  <c r="MR55" i="4"/>
  <c r="MS54" i="4"/>
  <c r="MS55" i="4"/>
  <c r="MS57" i="4" s="1"/>
  <c r="MT54" i="4"/>
  <c r="MT55" i="4"/>
  <c r="MT57" i="4" s="1"/>
  <c r="MU54" i="4"/>
  <c r="MU55" i="4"/>
  <c r="MV54" i="4"/>
  <c r="MV56" i="4" s="1"/>
  <c r="MV58" i="4" s="1"/>
  <c r="MV55" i="4"/>
  <c r="MW54" i="4"/>
  <c r="MW55" i="4"/>
  <c r="MW57" i="4" s="1"/>
  <c r="MX54" i="4"/>
  <c r="MX55" i="4"/>
  <c r="MX57" i="4" s="1"/>
  <c r="MY54" i="4"/>
  <c r="MY55" i="4"/>
  <c r="MZ54" i="4"/>
  <c r="MZ55" i="4"/>
  <c r="NA54" i="4"/>
  <c r="NA55" i="4"/>
  <c r="NB54" i="4"/>
  <c r="NB55" i="4"/>
  <c r="NB57" i="4" s="1"/>
  <c r="NC54" i="4"/>
  <c r="NC55" i="4"/>
  <c r="ND54" i="4"/>
  <c r="ND55" i="4"/>
  <c r="ND57" i="4" s="1"/>
  <c r="NE54" i="4"/>
  <c r="NE55" i="4"/>
  <c r="NF54" i="4"/>
  <c r="NF55" i="4"/>
  <c r="NF57" i="4" s="1"/>
  <c r="NG54" i="4"/>
  <c r="NG56" i="4" s="1"/>
  <c r="NG58" i="4" s="1"/>
  <c r="NG55" i="4"/>
  <c r="NH54" i="4"/>
  <c r="NH55" i="4"/>
  <c r="NH57" i="4" s="1"/>
  <c r="NI54" i="4"/>
  <c r="NI55" i="4"/>
  <c r="NJ54" i="4"/>
  <c r="NJ55" i="4"/>
  <c r="NK54" i="4"/>
  <c r="NK55" i="4"/>
  <c r="NL54" i="4"/>
  <c r="NL55" i="4"/>
  <c r="NM54" i="4"/>
  <c r="NM55" i="4"/>
  <c r="NN54" i="4"/>
  <c r="NN55" i="4"/>
  <c r="NN57" i="4" s="1"/>
  <c r="NO54" i="4"/>
  <c r="NO55" i="4"/>
  <c r="NP54" i="4"/>
  <c r="NP55" i="4"/>
  <c r="NQ54" i="4"/>
  <c r="NQ55" i="4"/>
  <c r="NQ57" i="4" s="1"/>
  <c r="NR54" i="4"/>
  <c r="NR55" i="4"/>
  <c r="NR57" i="4" s="1"/>
  <c r="NS54" i="4"/>
  <c r="NS55" i="4"/>
  <c r="NT54" i="4"/>
  <c r="NT55" i="4"/>
  <c r="NU54" i="4"/>
  <c r="NU55" i="4"/>
  <c r="NU57" i="4" s="1"/>
  <c r="NV54" i="4"/>
  <c r="NV55" i="4"/>
  <c r="NV57" i="4" s="1"/>
  <c r="NW54" i="4"/>
  <c r="NW56" i="4" s="1"/>
  <c r="NW58" i="4" s="1"/>
  <c r="NW55" i="4"/>
  <c r="NX54" i="4"/>
  <c r="NX55" i="4"/>
  <c r="NX57" i="4" s="1"/>
  <c r="NY54" i="4"/>
  <c r="NY55" i="4"/>
  <c r="NY57" i="4" s="1"/>
  <c r="NZ54" i="4"/>
  <c r="NZ55" i="4"/>
  <c r="OA54" i="4"/>
  <c r="OA55" i="4"/>
  <c r="OA57" i="4" s="1"/>
  <c r="OB54" i="4"/>
  <c r="OB55" i="4"/>
  <c r="OC54" i="4"/>
  <c r="OC55" i="4"/>
  <c r="OD54" i="4"/>
  <c r="OD55" i="4"/>
  <c r="OE54" i="4"/>
  <c r="OE56" i="4" s="1"/>
  <c r="OE58" i="4" s="1"/>
  <c r="OE55" i="4"/>
  <c r="OF54" i="4"/>
  <c r="OF55" i="4"/>
  <c r="OF57" i="4" s="1"/>
  <c r="OG54" i="4"/>
  <c r="OG55" i="4"/>
  <c r="OG57" i="4" s="1"/>
  <c r="OH54" i="4"/>
  <c r="OH56" i="4" s="1"/>
  <c r="OH58" i="4" s="1"/>
  <c r="OH55" i="4"/>
  <c r="OI54" i="4"/>
  <c r="OI55" i="4"/>
  <c r="OJ54" i="4"/>
  <c r="OJ55" i="4"/>
  <c r="OJ57" i="4" s="1"/>
  <c r="OK54" i="4"/>
  <c r="OK55" i="4"/>
  <c r="OL54" i="4"/>
  <c r="OL55" i="4"/>
  <c r="OL57" i="4" s="1"/>
  <c r="OM54" i="4"/>
  <c r="OM55" i="4"/>
  <c r="ON54" i="4"/>
  <c r="ON55" i="4"/>
  <c r="ON57" i="4" s="1"/>
  <c r="OO54" i="4"/>
  <c r="OO55" i="4"/>
  <c r="OO57" i="4" s="1"/>
  <c r="OP54" i="4"/>
  <c r="OP55" i="4"/>
  <c r="OQ54" i="4"/>
  <c r="OQ55" i="4"/>
  <c r="OR54" i="4"/>
  <c r="OR55" i="4"/>
  <c r="OR57" i="4" s="1"/>
  <c r="OS54" i="4"/>
  <c r="OS55" i="4"/>
  <c r="OS57" i="4" s="1"/>
  <c r="OT54" i="4"/>
  <c r="OT55" i="4"/>
  <c r="OT57" i="4" s="1"/>
  <c r="OU54" i="4"/>
  <c r="OU55" i="4"/>
  <c r="OV54" i="4"/>
  <c r="OV55" i="4"/>
  <c r="OV56" i="4" s="1"/>
  <c r="OV58" i="4" s="1"/>
  <c r="OW54" i="4"/>
  <c r="OW55" i="4"/>
  <c r="OW57" i="4" s="1"/>
  <c r="OX54" i="4"/>
  <c r="OX56" i="4" s="1"/>
  <c r="OX58" i="4" s="1"/>
  <c r="OX55" i="4"/>
  <c r="OY54" i="4"/>
  <c r="OY55" i="4"/>
  <c r="OY57" i="4" s="1"/>
  <c r="OZ54" i="4"/>
  <c r="OZ56" i="4" s="1"/>
  <c r="OZ58" i="4" s="1"/>
  <c r="OZ55" i="4"/>
  <c r="OZ57" i="4" s="1"/>
  <c r="PA54" i="4"/>
  <c r="PA55" i="4"/>
  <c r="PA57" i="4" s="1"/>
  <c r="PB54" i="4"/>
  <c r="PB55" i="4"/>
  <c r="PB57" i="4" s="1"/>
  <c r="PC54" i="4"/>
  <c r="PC56" i="4" s="1"/>
  <c r="PC58" i="4" s="1"/>
  <c r="PC55" i="4"/>
  <c r="PC57" i="4" s="1"/>
  <c r="PD54" i="4"/>
  <c r="PD55" i="4"/>
  <c r="PE54" i="4"/>
  <c r="PE56" i="4" s="1"/>
  <c r="PE58" i="4" s="1"/>
  <c r="PE55" i="4"/>
  <c r="PF54" i="4"/>
  <c r="PF55" i="4"/>
  <c r="PF56" i="4"/>
  <c r="PF58" i="4" s="1"/>
  <c r="PG54" i="4"/>
  <c r="PG55" i="4"/>
  <c r="PH54" i="4"/>
  <c r="PH56" i="4" s="1"/>
  <c r="PH55" i="4"/>
  <c r="PI54" i="4"/>
  <c r="PI55" i="4"/>
  <c r="PI57" i="4" s="1"/>
  <c r="PJ54" i="4"/>
  <c r="PJ56" i="4" s="1"/>
  <c r="PJ58" i="4" s="1"/>
  <c r="PJ55" i="4"/>
  <c r="PJ57" i="4" s="1"/>
  <c r="PK54" i="4"/>
  <c r="PK55" i="4"/>
  <c r="PL54" i="4"/>
  <c r="PL55" i="4"/>
  <c r="PL57" i="4" s="1"/>
  <c r="PM54" i="4"/>
  <c r="PM55" i="4"/>
  <c r="PM57" i="4" s="1"/>
  <c r="PN54" i="4"/>
  <c r="PN55" i="4"/>
  <c r="PN57" i="4" s="1"/>
  <c r="PO54" i="4"/>
  <c r="PO55" i="4"/>
  <c r="PO57" i="4" s="1"/>
  <c r="PP54" i="4"/>
  <c r="PP55" i="4"/>
  <c r="PP57" i="4" s="1"/>
  <c r="PQ54" i="4"/>
  <c r="PQ55" i="4"/>
  <c r="PQ57" i="4" s="1"/>
  <c r="PR54" i="4"/>
  <c r="PR55" i="4"/>
  <c r="PS54" i="4"/>
  <c r="PS55" i="4"/>
  <c r="PS57" i="4" s="1"/>
  <c r="PT54" i="4"/>
  <c r="PT55" i="4"/>
  <c r="PT57" i="4" s="1"/>
  <c r="PU54" i="4"/>
  <c r="PU55" i="4"/>
  <c r="PU57" i="4" s="1"/>
  <c r="PV54" i="4"/>
  <c r="PV55" i="4"/>
  <c r="PW54" i="4"/>
  <c r="PW55" i="4"/>
  <c r="PX54" i="4"/>
  <c r="PX55" i="4"/>
  <c r="PY54" i="4"/>
  <c r="PY55" i="4"/>
  <c r="PY57" i="4" s="1"/>
  <c r="PZ54" i="4"/>
  <c r="PZ55" i="4"/>
  <c r="QA54" i="4"/>
  <c r="QA55" i="4"/>
  <c r="QA57" i="4" s="1"/>
  <c r="QB54" i="4"/>
  <c r="QB55" i="4"/>
  <c r="QB57" i="4" s="1"/>
  <c r="QC54" i="4"/>
  <c r="QC55" i="4"/>
  <c r="QD54" i="4"/>
  <c r="QD55" i="4"/>
  <c r="QE54" i="4"/>
  <c r="QE55" i="4"/>
  <c r="QE57" i="4" s="1"/>
  <c r="QF54" i="4"/>
  <c r="QF55" i="4"/>
  <c r="QF57" i="4" s="1"/>
  <c r="QG54" i="4"/>
  <c r="QG55" i="4"/>
  <c r="QG57" i="4" s="1"/>
  <c r="QH54" i="4"/>
  <c r="QH55" i="4"/>
  <c r="QI54" i="4"/>
  <c r="QI55" i="4"/>
  <c r="QJ54" i="4"/>
  <c r="QJ55" i="4"/>
  <c r="QJ57" i="4" s="1"/>
  <c r="QK54" i="4"/>
  <c r="QK55" i="4"/>
  <c r="QK57" i="4" s="1"/>
  <c r="QL54" i="4"/>
  <c r="QL55" i="4"/>
  <c r="QM54" i="4"/>
  <c r="QM55" i="4"/>
  <c r="QM57" i="4" s="1"/>
  <c r="QN54" i="4"/>
  <c r="QN55" i="4"/>
  <c r="QN57" i="4" s="1"/>
  <c r="QO54" i="4"/>
  <c r="QO55" i="4"/>
  <c r="QP54" i="4"/>
  <c r="QP55" i="4"/>
  <c r="QQ54" i="4"/>
  <c r="QQ55" i="4"/>
  <c r="QQ57" i="4" s="1"/>
  <c r="QR54" i="4"/>
  <c r="QR55" i="4"/>
  <c r="QR57" i="4" s="1"/>
  <c r="QS54" i="4"/>
  <c r="QS55" i="4"/>
  <c r="QT54" i="4"/>
  <c r="QT55" i="4"/>
  <c r="QU54" i="4"/>
  <c r="QU55" i="4"/>
  <c r="QV54" i="4"/>
  <c r="QV55" i="4"/>
  <c r="QV57" i="4" s="1"/>
  <c r="QW54" i="4"/>
  <c r="QW55" i="4"/>
  <c r="QW57" i="4" s="1"/>
  <c r="QX54" i="4"/>
  <c r="QX55" i="4"/>
  <c r="QX57" i="4" s="1"/>
  <c r="QY54" i="4"/>
  <c r="QY55" i="4"/>
  <c r="QY57" i="4" s="1"/>
  <c r="QZ54" i="4"/>
  <c r="QZ55" i="4"/>
  <c r="RA54" i="4"/>
  <c r="RA55" i="4"/>
  <c r="RB54" i="4"/>
  <c r="RB55" i="4"/>
  <c r="RC54" i="4"/>
  <c r="RC55" i="4"/>
  <c r="RC57" i="4" s="1"/>
  <c r="RD54" i="4"/>
  <c r="RD55" i="4"/>
  <c r="RD57" i="4" s="1"/>
  <c r="RE54" i="4"/>
  <c r="RE55" i="4"/>
  <c r="RF54" i="4"/>
  <c r="RF55" i="4"/>
  <c r="RG54" i="4"/>
  <c r="RG55" i="4"/>
  <c r="RG57" i="4" s="1"/>
  <c r="RH54" i="4"/>
  <c r="RH55" i="4"/>
  <c r="RH57" i="4" s="1"/>
  <c r="RI54" i="4"/>
  <c r="RI55" i="4"/>
  <c r="RI57" i="4" s="1"/>
  <c r="RJ54" i="4"/>
  <c r="RJ55" i="4"/>
  <c r="RK54" i="4"/>
  <c r="RK55" i="4"/>
  <c r="RL54" i="4"/>
  <c r="RL55" i="4"/>
  <c r="RL57" i="4" s="1"/>
  <c r="RM54" i="4"/>
  <c r="RM55" i="4"/>
  <c r="RM57" i="4" s="1"/>
  <c r="RN54" i="4"/>
  <c r="RN55" i="4"/>
  <c r="RO54" i="4"/>
  <c r="RO55" i="4"/>
  <c r="RO56" i="4" s="1"/>
  <c r="RO58" i="4" s="1"/>
  <c r="RP54" i="4"/>
  <c r="RP55" i="4"/>
  <c r="RP57" i="4" s="1"/>
  <c r="RQ54" i="4"/>
  <c r="RQ55" i="4"/>
  <c r="RR54" i="4"/>
  <c r="RR55" i="4"/>
  <c r="RR57" i="4" s="1"/>
  <c r="RS54" i="4"/>
  <c r="RS55" i="4"/>
  <c r="RS57" i="4" s="1"/>
  <c r="RT54" i="4"/>
  <c r="RT55" i="4"/>
  <c r="RT57" i="4" s="1"/>
  <c r="RU54" i="4"/>
  <c r="RU55" i="4"/>
  <c r="RU57" i="4" s="1"/>
  <c r="RV54" i="4"/>
  <c r="RV55" i="4"/>
  <c r="RW54" i="4"/>
  <c r="RW55" i="4"/>
  <c r="RW57" i="4" s="1"/>
  <c r="RX54" i="4"/>
  <c r="RX55" i="4"/>
  <c r="RX57" i="4" s="1"/>
  <c r="RY54" i="4"/>
  <c r="RY55" i="4"/>
  <c r="RY57" i="4" s="1"/>
  <c r="RZ54" i="4"/>
  <c r="RZ55" i="4"/>
  <c r="RZ57" i="4" s="1"/>
  <c r="SA54" i="4"/>
  <c r="SA55" i="4"/>
  <c r="SA57" i="4" s="1"/>
  <c r="SB54" i="4"/>
  <c r="SB55" i="4"/>
  <c r="SB57" i="4" s="1"/>
  <c r="SC54" i="4"/>
  <c r="SC55" i="4"/>
  <c r="SC57" i="4" s="1"/>
  <c r="SD54" i="4"/>
  <c r="SD56" i="4" s="1"/>
  <c r="SD58" i="4" s="1"/>
  <c r="SD55" i="4"/>
  <c r="SE54" i="4"/>
  <c r="SE55" i="4"/>
  <c r="SE57" i="4" s="1"/>
  <c r="SF54" i="4"/>
  <c r="SF55" i="4"/>
  <c r="SF57" i="4" s="1"/>
  <c r="SG54" i="4"/>
  <c r="SG55" i="4"/>
  <c r="SG57" i="4" s="1"/>
  <c r="SH54" i="4"/>
  <c r="SH55" i="4"/>
  <c r="SI54" i="4"/>
  <c r="SI55" i="4"/>
  <c r="SJ54" i="4"/>
  <c r="SJ55" i="4"/>
  <c r="SK54" i="4"/>
  <c r="SK55" i="4"/>
  <c r="SK57" i="4" s="1"/>
  <c r="SL54" i="4"/>
  <c r="SL55" i="4"/>
  <c r="SL57" i="4" s="1"/>
  <c r="SM54" i="4"/>
  <c r="SM55" i="4"/>
  <c r="SM57" i="4" s="1"/>
  <c r="SN54" i="4"/>
  <c r="SN55" i="4"/>
  <c r="SO54" i="4"/>
  <c r="SO55" i="4"/>
  <c r="SO57" i="4" s="1"/>
  <c r="SP54" i="4"/>
  <c r="SP55" i="4"/>
  <c r="SP57" i="4" s="1"/>
  <c r="SQ54" i="4"/>
  <c r="SQ55" i="4"/>
  <c r="SR54" i="4"/>
  <c r="SR55" i="4"/>
  <c r="SS54" i="4"/>
  <c r="SS55" i="4"/>
  <c r="SS57" i="4" s="1"/>
  <c r="ST54" i="4"/>
  <c r="ST55" i="4"/>
  <c r="SU54" i="4"/>
  <c r="SU55" i="4"/>
  <c r="SU57" i="4" s="1"/>
  <c r="SV54" i="4"/>
  <c r="SV55" i="4"/>
  <c r="SV57" i="4" s="1"/>
  <c r="SW54" i="4"/>
  <c r="SW55" i="4"/>
  <c r="SW57" i="4" s="1"/>
  <c r="SX54" i="4"/>
  <c r="SX55" i="4"/>
  <c r="SX57" i="4" s="1"/>
  <c r="SY54" i="4"/>
  <c r="SY55" i="4"/>
  <c r="SY57" i="4" s="1"/>
  <c r="SZ54" i="4"/>
  <c r="SZ55" i="4"/>
  <c r="TA54" i="4"/>
  <c r="TA55" i="4"/>
  <c r="TA57" i="4" s="1"/>
  <c r="TB54" i="4"/>
  <c r="TB55" i="4"/>
  <c r="TB57" i="4" s="1"/>
  <c r="TC54" i="4"/>
  <c r="TC55" i="4"/>
  <c r="TD54" i="4"/>
  <c r="TD55" i="4"/>
  <c r="TE54" i="4"/>
  <c r="TE55" i="4"/>
  <c r="TE57" i="4" s="1"/>
  <c r="TF54" i="4"/>
  <c r="TF55" i="4"/>
  <c r="TF57" i="4" s="1"/>
  <c r="TG54" i="4"/>
  <c r="TG55" i="4"/>
  <c r="TH54" i="4"/>
  <c r="TH55" i="4"/>
  <c r="TH57" i="4" s="1"/>
  <c r="TI54" i="4"/>
  <c r="TI55" i="4"/>
  <c r="TJ54" i="4"/>
  <c r="TJ55" i="4"/>
  <c r="TJ57" i="4" s="1"/>
  <c r="TK54" i="4"/>
  <c r="TK55" i="4"/>
  <c r="TL54" i="4"/>
  <c r="TL55" i="4"/>
  <c r="TL57" i="4" s="1"/>
  <c r="TM54" i="4"/>
  <c r="TM55" i="4"/>
  <c r="TN54" i="4"/>
  <c r="TN55" i="4"/>
  <c r="TN57" i="4" s="1"/>
  <c r="TO54" i="4"/>
  <c r="TO55" i="4"/>
  <c r="TO57" i="4" s="1"/>
  <c r="TP54" i="4"/>
  <c r="TP55" i="4"/>
  <c r="TP57" i="4" s="1"/>
  <c r="TQ54" i="4"/>
  <c r="TQ55" i="4"/>
  <c r="TQ57" i="4" s="1"/>
  <c r="TR54" i="4"/>
  <c r="TR55" i="4"/>
  <c r="TR57" i="4" s="1"/>
  <c r="TS54" i="4"/>
  <c r="TS55" i="4"/>
  <c r="TT54" i="4"/>
  <c r="TT55" i="4"/>
  <c r="TT57" i="4" s="1"/>
  <c r="TU54" i="4"/>
  <c r="TU55" i="4"/>
  <c r="TU57" i="4" s="1"/>
  <c r="TV54" i="4"/>
  <c r="TV55" i="4"/>
  <c r="TV57" i="4" s="1"/>
  <c r="TW54" i="4"/>
  <c r="TW55" i="4"/>
  <c r="TW57" i="4" s="1"/>
  <c r="TX54" i="4"/>
  <c r="TX55" i="4"/>
  <c r="TX57" i="4" s="1"/>
  <c r="TY54" i="4"/>
  <c r="TY55" i="4"/>
  <c r="TY57" i="4" s="1"/>
  <c r="TZ54" i="4"/>
  <c r="TZ55" i="4"/>
  <c r="TZ57" i="4" s="1"/>
  <c r="UA54" i="4"/>
  <c r="UA55" i="4"/>
  <c r="UA57" i="4" s="1"/>
  <c r="UB54" i="4"/>
  <c r="UB55" i="4"/>
  <c r="UB57" i="4" s="1"/>
  <c r="UC54" i="4"/>
  <c r="UC55" i="4"/>
  <c r="UD54" i="4"/>
  <c r="UD55" i="4"/>
  <c r="UD57" i="4" s="1"/>
  <c r="UE54" i="4"/>
  <c r="UE55" i="4"/>
  <c r="UE57" i="4" s="1"/>
  <c r="UF54" i="4"/>
  <c r="UF55" i="4"/>
  <c r="UF57" i="4" s="1"/>
  <c r="UG54" i="4"/>
  <c r="UG55" i="4"/>
  <c r="UG57" i="4" s="1"/>
  <c r="UH54" i="4"/>
  <c r="UH56" i="4" s="1"/>
  <c r="UH58" i="4" s="1"/>
  <c r="UH55" i="4"/>
  <c r="UI54" i="4"/>
  <c r="UI55" i="4"/>
  <c r="UJ54" i="4"/>
  <c r="UJ55" i="4"/>
  <c r="UK54" i="4"/>
  <c r="UK55" i="4"/>
  <c r="UK57" i="4" s="1"/>
  <c r="UL54" i="4"/>
  <c r="UL55" i="4"/>
  <c r="UM54" i="4"/>
  <c r="UM55" i="4"/>
  <c r="UN54" i="4"/>
  <c r="UN55" i="4"/>
  <c r="UN57" i="4" s="1"/>
  <c r="UO54" i="4"/>
  <c r="UO55" i="4"/>
  <c r="UO57" i="4" s="1"/>
  <c r="UP54" i="4"/>
  <c r="UP55" i="4"/>
  <c r="UQ54" i="4"/>
  <c r="UQ55" i="4"/>
  <c r="UQ57" i="4" s="1"/>
  <c r="UR54" i="4"/>
  <c r="UR55" i="4"/>
  <c r="UR57" i="4" s="1"/>
  <c r="US54" i="4"/>
  <c r="US55" i="4"/>
  <c r="US57" i="4" s="1"/>
  <c r="E16" i="4"/>
  <c r="E17" i="4"/>
  <c r="E18" i="4"/>
  <c r="E19" i="4"/>
  <c r="E20" i="4"/>
  <c r="E21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9" i="4"/>
  <c r="E50" i="4"/>
  <c r="E51" i="4"/>
  <c r="E52" i="4"/>
  <c r="E53" i="4"/>
  <c r="F57" i="4"/>
  <c r="G57" i="4"/>
  <c r="K57" i="4"/>
  <c r="N57" i="4"/>
  <c r="O57" i="4"/>
  <c r="S57" i="4"/>
  <c r="T57" i="4"/>
  <c r="U57" i="4"/>
  <c r="V57" i="4"/>
  <c r="X57" i="4"/>
  <c r="AA57" i="4"/>
  <c r="AB57" i="4"/>
  <c r="AC57" i="4"/>
  <c r="AD57" i="4"/>
  <c r="AE57" i="4"/>
  <c r="AF57" i="4"/>
  <c r="AG57" i="4"/>
  <c r="AI57" i="4"/>
  <c r="AK57" i="4"/>
  <c r="AL57" i="4"/>
  <c r="AN57" i="4"/>
  <c r="AO57" i="4"/>
  <c r="AQ57" i="4"/>
  <c r="AR57" i="4"/>
  <c r="AS57" i="4"/>
  <c r="AU57" i="4"/>
  <c r="AX57" i="4"/>
  <c r="AY57" i="4"/>
  <c r="BB57" i="4"/>
  <c r="BD57" i="4"/>
  <c r="BF57" i="4"/>
  <c r="BG57" i="4"/>
  <c r="BJ57" i="4"/>
  <c r="BK57" i="4"/>
  <c r="BO57" i="4"/>
  <c r="BP57" i="4"/>
  <c r="BQ57" i="4"/>
  <c r="BR57" i="4"/>
  <c r="BU57" i="4"/>
  <c r="BY57" i="4"/>
  <c r="CB57" i="4"/>
  <c r="CC57" i="4"/>
  <c r="CE57" i="4"/>
  <c r="CF57" i="4"/>
  <c r="CK57" i="4"/>
  <c r="CL57" i="4"/>
  <c r="CN57" i="4"/>
  <c r="CP57" i="4"/>
  <c r="CR57" i="4"/>
  <c r="CS57" i="4"/>
  <c r="CU57" i="4"/>
  <c r="CW57" i="4"/>
  <c r="CZ57" i="4"/>
  <c r="DC57" i="4"/>
  <c r="DD57" i="4"/>
  <c r="DE57" i="4"/>
  <c r="DK57" i="4"/>
  <c r="DM57" i="4"/>
  <c r="DO57" i="4"/>
  <c r="DP57" i="4"/>
  <c r="DT57" i="4"/>
  <c r="DV57" i="4"/>
  <c r="DY57" i="4"/>
  <c r="DZ57" i="4"/>
  <c r="EA57" i="4"/>
  <c r="EB57" i="4"/>
  <c r="EI57" i="4"/>
  <c r="EL57" i="4"/>
  <c r="EQ57" i="4"/>
  <c r="ER57" i="4"/>
  <c r="ET57" i="4"/>
  <c r="EY57" i="4"/>
  <c r="FA57" i="4"/>
  <c r="FB57" i="4"/>
  <c r="FE57" i="4"/>
  <c r="FG57" i="4"/>
  <c r="FI57" i="4"/>
  <c r="FJ57" i="4"/>
  <c r="FM57" i="4"/>
  <c r="FO57" i="4"/>
  <c r="FQ57" i="4"/>
  <c r="FU57" i="4"/>
  <c r="FV57" i="4"/>
  <c r="FX57" i="4"/>
  <c r="FY57" i="4"/>
  <c r="FZ57" i="4"/>
  <c r="GA57" i="4"/>
  <c r="GB57" i="4"/>
  <c r="GC57" i="4"/>
  <c r="GF57" i="4"/>
  <c r="GG57" i="4"/>
  <c r="GI57" i="4"/>
  <c r="GJ57" i="4"/>
  <c r="GL57" i="4"/>
  <c r="GO57" i="4"/>
  <c r="GS57" i="4"/>
  <c r="GV57" i="4"/>
  <c r="GY57" i="4"/>
  <c r="HF57" i="4"/>
  <c r="HI57" i="4"/>
  <c r="HM57" i="4"/>
  <c r="HO57" i="4"/>
  <c r="HP57" i="4"/>
  <c r="HR57" i="4"/>
  <c r="HU57" i="4"/>
  <c r="HV57" i="4"/>
  <c r="HZ57" i="4"/>
  <c r="IC57" i="4"/>
  <c r="ID57" i="4"/>
  <c r="IF57" i="4"/>
  <c r="IH57" i="4"/>
  <c r="IJ57" i="4"/>
  <c r="IL57" i="4"/>
  <c r="IO57" i="4"/>
  <c r="IP57" i="4"/>
  <c r="IS57" i="4"/>
  <c r="IT57" i="4"/>
  <c r="IW57" i="4"/>
  <c r="IX57" i="4"/>
  <c r="JC57" i="4"/>
  <c r="JE57" i="4"/>
  <c r="JF57" i="4"/>
  <c r="JH57" i="4"/>
  <c r="JJ57" i="4"/>
  <c r="JL57" i="4"/>
  <c r="JM57" i="4"/>
  <c r="JP57" i="4"/>
  <c r="JR57" i="4"/>
  <c r="JX57" i="4"/>
  <c r="JY57" i="4"/>
  <c r="JZ57" i="4"/>
  <c r="KD57" i="4"/>
  <c r="KF57" i="4"/>
  <c r="KH57" i="4"/>
  <c r="KJ57" i="4"/>
  <c r="KL57" i="4"/>
  <c r="KO57" i="4"/>
  <c r="KR57" i="4"/>
  <c r="KT57" i="4"/>
  <c r="KW57" i="4"/>
  <c r="KY57" i="4"/>
  <c r="KZ57" i="4"/>
  <c r="LG57" i="4"/>
  <c r="LH57" i="4"/>
  <c r="LK57" i="4"/>
  <c r="LL57" i="4"/>
  <c r="LN57" i="4"/>
  <c r="LP57" i="4"/>
  <c r="LS57" i="4"/>
  <c r="LT57" i="4"/>
  <c r="LV57" i="4"/>
  <c r="LW57" i="4"/>
  <c r="LX57" i="4"/>
  <c r="LY57" i="4"/>
  <c r="MA57" i="4"/>
  <c r="MB57" i="4"/>
  <c r="MF57" i="4"/>
  <c r="MJ57" i="4"/>
  <c r="MK57" i="4"/>
  <c r="MN57" i="4"/>
  <c r="MO57" i="4"/>
  <c r="MQ57" i="4"/>
  <c r="MR57" i="4"/>
  <c r="MU57" i="4"/>
  <c r="MV57" i="4"/>
  <c r="MY57" i="4"/>
  <c r="MZ57" i="4"/>
  <c r="NA57" i="4"/>
  <c r="NC57" i="4"/>
  <c r="NE57" i="4"/>
  <c r="NG57" i="4"/>
  <c r="NJ57" i="4"/>
  <c r="NK57" i="4"/>
  <c r="NL57" i="4"/>
  <c r="NM57" i="4"/>
  <c r="NO57" i="4"/>
  <c r="NP57" i="4"/>
  <c r="NS57" i="4"/>
  <c r="NT57" i="4"/>
  <c r="NW57" i="4"/>
  <c r="NZ57" i="4"/>
  <c r="OB57" i="4"/>
  <c r="OD57" i="4"/>
  <c r="OE57" i="4"/>
  <c r="OH57" i="4"/>
  <c r="OI57" i="4"/>
  <c r="OK57" i="4"/>
  <c r="OM57" i="4"/>
  <c r="OP57" i="4"/>
  <c r="OQ57" i="4"/>
  <c r="OX57" i="4"/>
  <c r="PD57" i="4"/>
  <c r="PE57" i="4"/>
  <c r="PF57" i="4"/>
  <c r="PG57" i="4"/>
  <c r="PH57" i="4"/>
  <c r="PK57" i="4"/>
  <c r="PR57" i="4"/>
  <c r="PV57" i="4"/>
  <c r="PX57" i="4"/>
  <c r="PZ57" i="4"/>
  <c r="QC57" i="4"/>
  <c r="QD57" i="4"/>
  <c r="QH57" i="4"/>
  <c r="QI57" i="4"/>
  <c r="QL57" i="4"/>
  <c r="QP57" i="4"/>
  <c r="QS57" i="4"/>
  <c r="RA57" i="4"/>
  <c r="RB57" i="4"/>
  <c r="RF57" i="4"/>
  <c r="RJ57" i="4"/>
  <c r="RK57" i="4"/>
  <c r="RN57" i="4"/>
  <c r="RQ57" i="4"/>
  <c r="RV57" i="4"/>
  <c r="SD57" i="4"/>
  <c r="SH57" i="4"/>
  <c r="SI57" i="4"/>
  <c r="SJ57" i="4"/>
  <c r="SN57" i="4"/>
  <c r="SQ57" i="4"/>
  <c r="SR57" i="4"/>
  <c r="SZ57" i="4"/>
  <c r="TG57" i="4"/>
  <c r="TK57" i="4"/>
  <c r="TM57" i="4"/>
  <c r="TS57" i="4"/>
  <c r="UC57" i="4"/>
  <c r="UH57" i="4"/>
  <c r="UI57" i="4"/>
  <c r="UJ57" i="4"/>
  <c r="UL57" i="4"/>
  <c r="UM57" i="4"/>
  <c r="UP57" i="4"/>
  <c r="F50" i="3"/>
  <c r="F52" i="3" s="1"/>
  <c r="G50" i="3"/>
  <c r="H50" i="3"/>
  <c r="H52" i="3" s="1"/>
  <c r="H53" i="3"/>
  <c r="I50" i="3"/>
  <c r="I52" i="3" s="1"/>
  <c r="J50" i="3"/>
  <c r="L50" i="3"/>
  <c r="M50" i="3"/>
  <c r="M52" i="3" s="1"/>
  <c r="N50" i="3"/>
  <c r="O50" i="3"/>
  <c r="O52" i="3" s="1"/>
  <c r="P50" i="3"/>
  <c r="P52" i="3" s="1"/>
  <c r="Q50" i="3"/>
  <c r="Q52" i="3" s="1"/>
  <c r="R50" i="3"/>
  <c r="R52" i="3" s="1"/>
  <c r="S50" i="3"/>
  <c r="T50" i="3"/>
  <c r="U50" i="3"/>
  <c r="V50" i="3"/>
  <c r="V52" i="3" s="1"/>
  <c r="W50" i="3"/>
  <c r="X50" i="3"/>
  <c r="Y50" i="3"/>
  <c r="Z50" i="3"/>
  <c r="Z52" i="3" s="1"/>
  <c r="AA50" i="3"/>
  <c r="AA52" i="3" s="1"/>
  <c r="AB50" i="3"/>
  <c r="AC50" i="3"/>
  <c r="AC52" i="3" s="1"/>
  <c r="AD50" i="3"/>
  <c r="AD52" i="3" s="1"/>
  <c r="AE50" i="3"/>
  <c r="AF50" i="3"/>
  <c r="AF52" i="3" s="1"/>
  <c r="AG50" i="3"/>
  <c r="AG52" i="3" s="1"/>
  <c r="AF53" i="3"/>
  <c r="AH50" i="3"/>
  <c r="AH52" i="3" s="1"/>
  <c r="AI50" i="3"/>
  <c r="AJ50" i="3"/>
  <c r="AK50" i="3"/>
  <c r="AK52" i="3" s="1"/>
  <c r="AK53" i="3"/>
  <c r="AL50" i="3"/>
  <c r="AM50" i="3"/>
  <c r="AO50" i="3"/>
  <c r="AO52" i="3" s="1"/>
  <c r="AP50" i="3"/>
  <c r="AP52" i="3" s="1"/>
  <c r="AQ50" i="3"/>
  <c r="AS50" i="3"/>
  <c r="AS52" i="3" s="1"/>
  <c r="AT50" i="3"/>
  <c r="AT52" i="3" s="1"/>
  <c r="AU50" i="3"/>
  <c r="AU52" i="3" s="1"/>
  <c r="AV50" i="3"/>
  <c r="AW50" i="3"/>
  <c r="AU53" i="3"/>
  <c r="AV53" i="3"/>
  <c r="AX50" i="3"/>
  <c r="AY50" i="3"/>
  <c r="AZ50" i="3"/>
  <c r="AZ52" i="3" s="1"/>
  <c r="BA50" i="3"/>
  <c r="BC50" i="3"/>
  <c r="BC52" i="3" s="1"/>
  <c r="BD50" i="3"/>
  <c r="BD52" i="3" s="1"/>
  <c r="BE50" i="3"/>
  <c r="BE52" i="3" s="1"/>
  <c r="BF50" i="3"/>
  <c r="BF52" i="3" s="1"/>
  <c r="BG50" i="3"/>
  <c r="BH50" i="3"/>
  <c r="BH52" i="3" s="1"/>
  <c r="BI50" i="3"/>
  <c r="BJ50" i="3"/>
  <c r="BK50" i="3"/>
  <c r="BL50" i="3"/>
  <c r="BM50" i="3"/>
  <c r="BN50" i="3"/>
  <c r="BN52" i="3" s="1"/>
  <c r="BO50" i="3"/>
  <c r="BP50" i="3"/>
  <c r="BP52" i="3" s="1"/>
  <c r="BQ50" i="3"/>
  <c r="BQ52" i="3" s="1"/>
  <c r="BR50" i="3"/>
  <c r="BS50" i="3"/>
  <c r="BT50" i="3"/>
  <c r="BU50" i="3"/>
  <c r="BV50" i="3"/>
  <c r="BV52" i="3" s="1"/>
  <c r="BW50" i="3"/>
  <c r="BW52" i="3" s="1"/>
  <c r="BX50" i="3"/>
  <c r="BX52" i="3" s="1"/>
  <c r="BY50" i="3"/>
  <c r="BZ50" i="3"/>
  <c r="CA50" i="3"/>
  <c r="CA52" i="3" s="1"/>
  <c r="CB50" i="3"/>
  <c r="CC50" i="3"/>
  <c r="CD50" i="3"/>
  <c r="CD52" i="3" s="1"/>
  <c r="CE50" i="3"/>
  <c r="CF50" i="3"/>
  <c r="CG50" i="3"/>
  <c r="CG52" i="3" s="1"/>
  <c r="E13" i="3"/>
  <c r="E14" i="3"/>
  <c r="E15" i="3"/>
  <c r="E16" i="3"/>
  <c r="E17" i="3"/>
  <c r="E18" i="3"/>
  <c r="E20" i="3"/>
  <c r="E21" i="3"/>
  <c r="E22" i="3"/>
  <c r="E23" i="3"/>
  <c r="E24" i="3"/>
  <c r="E25" i="3"/>
  <c r="E26" i="3"/>
  <c r="E27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F53" i="3"/>
  <c r="I53" i="3"/>
  <c r="M53" i="3"/>
  <c r="Q53" i="3"/>
  <c r="Z53" i="3"/>
  <c r="AC53" i="3"/>
  <c r="AD53" i="3"/>
  <c r="AG53" i="3"/>
  <c r="AO53" i="3"/>
  <c r="AS53" i="3"/>
  <c r="AT53" i="3"/>
  <c r="BB53" i="3"/>
  <c r="BD53" i="3"/>
  <c r="BF53" i="3"/>
  <c r="BN53" i="3"/>
  <c r="BQ53" i="3"/>
  <c r="BR53" i="3"/>
  <c r="BT53" i="3"/>
  <c r="BU53" i="3"/>
  <c r="BV53" i="3"/>
  <c r="BW53" i="3"/>
  <c r="BX53" i="3"/>
  <c r="CD53" i="3"/>
  <c r="CG53" i="3"/>
  <c r="CD103" i="3"/>
  <c r="CE103" i="3"/>
  <c r="CF103" i="3"/>
  <c r="CG103" i="3"/>
  <c r="CO57" i="4"/>
  <c r="BS57" i="4"/>
  <c r="AT64" i="3"/>
  <c r="AP64" i="3"/>
  <c r="AD64" i="3"/>
  <c r="AH64" i="3"/>
  <c r="AL64" i="3"/>
  <c r="P53" i="3"/>
  <c r="CD64" i="3"/>
  <c r="Z64" i="3"/>
  <c r="V64" i="3"/>
  <c r="BZ64" i="3"/>
  <c r="BR64" i="3"/>
  <c r="BV64" i="3"/>
  <c r="BN64" i="3"/>
  <c r="AX64" i="3"/>
  <c r="R64" i="3"/>
  <c r="BB64" i="3"/>
  <c r="BF64" i="3"/>
  <c r="N64" i="3"/>
  <c r="BJ64" i="3"/>
  <c r="BG52" i="3"/>
  <c r="BR106" i="2" l="1"/>
  <c r="UG56" i="4"/>
  <c r="UG58" i="4" s="1"/>
  <c r="NN56" i="4"/>
  <c r="NN58" i="4" s="1"/>
  <c r="FK56" i="4"/>
  <c r="FK58" i="4" s="1"/>
  <c r="FC56" i="4"/>
  <c r="FC58" i="4" s="1"/>
  <c r="CQ56" i="4"/>
  <c r="CQ58" i="4" s="1"/>
  <c r="CI56" i="4"/>
  <c r="CI58" i="4" s="1"/>
  <c r="OC56" i="4"/>
  <c r="OC58" i="4" s="1"/>
  <c r="MG56" i="4"/>
  <c r="MG58" i="4" s="1"/>
  <c r="IX56" i="4"/>
  <c r="IX58" i="4" s="1"/>
  <c r="HR56" i="4"/>
  <c r="HR58" i="4" s="1"/>
  <c r="HB56" i="4"/>
  <c r="HB58" i="4" s="1"/>
  <c r="AV56" i="4"/>
  <c r="AV58" i="4" s="1"/>
  <c r="BT56" i="4"/>
  <c r="BT58" i="4" s="1"/>
  <c r="SR56" i="4"/>
  <c r="SR58" i="4" s="1"/>
  <c r="Z56" i="4"/>
  <c r="Z58" i="4" s="1"/>
  <c r="J52" i="3"/>
  <c r="QU56" i="4"/>
  <c r="QU58" i="4" s="1"/>
  <c r="NT56" i="4"/>
  <c r="NT58" i="4" s="1"/>
  <c r="IG56" i="4"/>
  <c r="IG58" i="4" s="1"/>
  <c r="HQ56" i="4"/>
  <c r="HQ58" i="4" s="1"/>
  <c r="BR56" i="4"/>
  <c r="BR58" i="4" s="1"/>
  <c r="P56" i="4"/>
  <c r="P58" i="4" s="1"/>
  <c r="UM56" i="4"/>
  <c r="UM58" i="4" s="1"/>
  <c r="W56" i="4"/>
  <c r="W58" i="4" s="1"/>
  <c r="GM56" i="4"/>
  <c r="GM58" i="4" s="1"/>
  <c r="CE52" i="3"/>
  <c r="RJ56" i="4"/>
  <c r="RJ58" i="4" s="1"/>
  <c r="RB56" i="4"/>
  <c r="RB58" i="4" s="1"/>
  <c r="QL56" i="4"/>
  <c r="QL58" i="4" s="1"/>
  <c r="QD56" i="4"/>
  <c r="QD58" i="4" s="1"/>
  <c r="PV56" i="4"/>
  <c r="PV58" i="4" s="1"/>
  <c r="OI56" i="4"/>
  <c r="OI58" i="4" s="1"/>
  <c r="NS56" i="4"/>
  <c r="NS58" i="4" s="1"/>
  <c r="NK56" i="4"/>
  <c r="NK58" i="4" s="1"/>
  <c r="MU56" i="4"/>
  <c r="MU58" i="4" s="1"/>
  <c r="LG56" i="4"/>
  <c r="LG58" i="4" s="1"/>
  <c r="FP56" i="4"/>
  <c r="EJ56" i="4"/>
  <c r="EJ58" i="4" s="1"/>
  <c r="DD56" i="4"/>
  <c r="DD58" i="4" s="1"/>
  <c r="CN56" i="4"/>
  <c r="CN58" i="4" s="1"/>
  <c r="BI56" i="4"/>
  <c r="BI58" i="4" s="1"/>
  <c r="ML56" i="4"/>
  <c r="ML58" i="4" s="1"/>
  <c r="FW56" i="4"/>
  <c r="FW58" i="4" s="1"/>
  <c r="AD56" i="4"/>
  <c r="AD58" i="4" s="1"/>
  <c r="AI52" i="3"/>
  <c r="NZ56" i="4"/>
  <c r="NZ58" i="4" s="1"/>
  <c r="EI56" i="4"/>
  <c r="EI58" i="4" s="1"/>
  <c r="DS56" i="4"/>
  <c r="DS58" i="4" s="1"/>
  <c r="AC56" i="4"/>
  <c r="AC58" i="4" s="1"/>
  <c r="S52" i="3"/>
  <c r="SV56" i="4"/>
  <c r="FN56" i="4"/>
  <c r="FN58" i="4" s="1"/>
  <c r="FF56" i="4"/>
  <c r="FF58" i="4" s="1"/>
  <c r="EX56" i="4"/>
  <c r="EX58" i="4" s="1"/>
  <c r="T52" i="3"/>
  <c r="BZ52" i="3"/>
  <c r="BY52" i="3"/>
  <c r="AV52" i="3"/>
  <c r="TK56" i="4"/>
  <c r="TK58" i="4" s="1"/>
  <c r="SU56" i="4"/>
  <c r="SU58" i="4" s="1"/>
  <c r="MB56" i="4"/>
  <c r="CC56" i="4"/>
  <c r="CC58" i="4" s="1"/>
  <c r="AA56" i="4"/>
  <c r="Y15" i="4" s="1"/>
  <c r="BI52" i="3"/>
  <c r="BF12" i="3" s="1"/>
  <c r="UR56" i="4"/>
  <c r="UR58" i="4" s="1"/>
  <c r="UJ56" i="4"/>
  <c r="UJ58" i="4" s="1"/>
  <c r="RO57" i="4"/>
  <c r="UF56" i="4"/>
  <c r="UF58" i="4" s="1"/>
  <c r="TX56" i="4"/>
  <c r="TX58" i="4" s="1"/>
  <c r="TT56" i="4"/>
  <c r="TT58" i="4" s="1"/>
  <c r="TD56" i="4"/>
  <c r="TD58" i="4" s="1"/>
  <c r="SF56" i="4"/>
  <c r="SF58" i="4" s="1"/>
  <c r="SC56" i="4"/>
  <c r="SC58" i="4" s="1"/>
  <c r="RU56" i="4"/>
  <c r="RU58" i="4" s="1"/>
  <c r="RQ56" i="4"/>
  <c r="RQ58" i="4" s="1"/>
  <c r="RM56" i="4"/>
  <c r="RM58" i="4" s="1"/>
  <c r="RI56" i="4"/>
  <c r="RI58" i="4" s="1"/>
  <c r="QW56" i="4"/>
  <c r="QW58" i="4" s="1"/>
  <c r="QG56" i="4"/>
  <c r="QG58" i="4" s="1"/>
  <c r="QC56" i="4"/>
  <c r="QC58" i="4" s="1"/>
  <c r="PU56" i="4"/>
  <c r="PU58" i="4" s="1"/>
  <c r="OU56" i="4"/>
  <c r="OU58" i="4" s="1"/>
  <c r="NL56" i="4"/>
  <c r="NL58" i="4" s="1"/>
  <c r="MN56" i="4"/>
  <c r="MN58" i="4" s="1"/>
  <c r="LL56" i="4"/>
  <c r="LL58" i="4" s="1"/>
  <c r="JU56" i="4"/>
  <c r="JU58" i="4" s="1"/>
  <c r="JQ56" i="4"/>
  <c r="JQ58" i="4" s="1"/>
  <c r="HO56" i="4"/>
  <c r="HO58" i="4" s="1"/>
  <c r="GZ56" i="4"/>
  <c r="GZ58" i="4" s="1"/>
  <c r="FS56" i="4"/>
  <c r="FS58" i="4" s="1"/>
  <c r="DC56" i="4"/>
  <c r="DC58" i="4" s="1"/>
  <c r="QU57" i="4"/>
  <c r="AN56" i="4"/>
  <c r="AN58" i="4" s="1"/>
  <c r="AF56" i="4"/>
  <c r="AF58" i="4" s="1"/>
  <c r="BU52" i="3"/>
  <c r="BR12" i="3" s="1"/>
  <c r="AX52" i="3"/>
  <c r="AQ52" i="3"/>
  <c r="AJ52" i="3"/>
  <c r="W52" i="3"/>
  <c r="TO56" i="4"/>
  <c r="TO58" i="4" s="1"/>
  <c r="TC56" i="4"/>
  <c r="TC58" i="4" s="1"/>
  <c r="RX56" i="4"/>
  <c r="RX58" i="4" s="1"/>
  <c r="RT56" i="4"/>
  <c r="RT58" i="4" s="1"/>
  <c r="QB56" i="4"/>
  <c r="QB58" i="4" s="1"/>
  <c r="PX56" i="4"/>
  <c r="PX58" i="4" s="1"/>
  <c r="PT56" i="4"/>
  <c r="PT58" i="4" s="1"/>
  <c r="PP56" i="4"/>
  <c r="PP58" i="4" s="1"/>
  <c r="PL56" i="4"/>
  <c r="PL58" i="4" s="1"/>
  <c r="MQ56" i="4"/>
  <c r="MQ58" i="4" s="1"/>
  <c r="MI56" i="4"/>
  <c r="MI58" i="4" s="1"/>
  <c r="KF56" i="4"/>
  <c r="KF58" i="4" s="1"/>
  <c r="JX56" i="4"/>
  <c r="JX58" i="4" s="1"/>
  <c r="JT56" i="4"/>
  <c r="JT58" i="4" s="1"/>
  <c r="HY56" i="4"/>
  <c r="HY58" i="4" s="1"/>
  <c r="GY56" i="4"/>
  <c r="GY58" i="4" s="1"/>
  <c r="GE56" i="4"/>
  <c r="GE58" i="4" s="1"/>
  <c r="DZ56" i="4"/>
  <c r="CT56" i="4"/>
  <c r="CT58" i="4" s="1"/>
  <c r="CH56" i="4"/>
  <c r="BF56" i="4"/>
  <c r="BF58" i="4" s="1"/>
  <c r="AM56" i="4"/>
  <c r="H56" i="4"/>
  <c r="H58" i="4" s="1"/>
  <c r="BI57" i="4"/>
  <c r="BK52" i="3"/>
  <c r="AB52" i="3"/>
  <c r="N52" i="3"/>
  <c r="N12" i="3" s="1"/>
  <c r="TN56" i="4"/>
  <c r="TN58" i="4" s="1"/>
  <c r="SE56" i="4"/>
  <c r="SE58" i="4" s="1"/>
  <c r="RK56" i="4"/>
  <c r="RK58" i="4" s="1"/>
  <c r="PO56" i="4"/>
  <c r="PO58" i="4" s="1"/>
  <c r="GP56" i="4"/>
  <c r="GP58" i="4" s="1"/>
  <c r="BW56" i="4"/>
  <c r="BW58" i="4" s="1"/>
  <c r="L56" i="4"/>
  <c r="L58" i="4" s="1"/>
  <c r="BS52" i="3"/>
  <c r="U52" i="3"/>
  <c r="TR56" i="4"/>
  <c r="TR58" i="4" s="1"/>
  <c r="QQ56" i="4"/>
  <c r="PK56" i="4"/>
  <c r="PK58" i="4" s="1"/>
  <c r="JS56" i="4"/>
  <c r="JS58" i="4" s="1"/>
  <c r="GT56" i="4"/>
  <c r="GT58" i="4" s="1"/>
  <c r="BR52" i="3"/>
  <c r="BJ52" i="3"/>
  <c r="AW52" i="3"/>
  <c r="AT12" i="3" s="1"/>
  <c r="G52" i="3"/>
  <c r="OC57" i="4"/>
  <c r="ML57" i="4"/>
  <c r="DQ57" i="4"/>
  <c r="SP56" i="4"/>
  <c r="SP58" i="4" s="1"/>
  <c r="SH56" i="4"/>
  <c r="SH58" i="4" s="1"/>
  <c r="RN56" i="4"/>
  <c r="RN58" i="4" s="1"/>
  <c r="QP56" i="4"/>
  <c r="QP58" i="4" s="1"/>
  <c r="PD56" i="4"/>
  <c r="PD58" i="4" s="1"/>
  <c r="NQ56" i="4"/>
  <c r="NQ58" i="4" s="1"/>
  <c r="NB56" i="4"/>
  <c r="NB58" i="4" s="1"/>
  <c r="MX56" i="4"/>
  <c r="MX58" i="4" s="1"/>
  <c r="LZ56" i="4"/>
  <c r="LZ58" i="4" s="1"/>
  <c r="LN56" i="4"/>
  <c r="LN58" i="4" s="1"/>
  <c r="LF56" i="4"/>
  <c r="LF58" i="4" s="1"/>
  <c r="KX56" i="4"/>
  <c r="KX58" i="4" s="1"/>
  <c r="KD56" i="4"/>
  <c r="KD58" i="4" s="1"/>
  <c r="JO56" i="4"/>
  <c r="JO58" i="4" s="1"/>
  <c r="JG56" i="4"/>
  <c r="JG58" i="4" s="1"/>
  <c r="IY56" i="4"/>
  <c r="IY58" i="4" s="1"/>
  <c r="IV56" i="4"/>
  <c r="IV58" i="4" s="1"/>
  <c r="IN56" i="4"/>
  <c r="IN58" i="4" s="1"/>
  <c r="IB56" i="4"/>
  <c r="IB58" i="4" s="1"/>
  <c r="HT56" i="4"/>
  <c r="HT58" i="4" s="1"/>
  <c r="FI56" i="4"/>
  <c r="FA56" i="4"/>
  <c r="FA58" i="4" s="1"/>
  <c r="DI56" i="4"/>
  <c r="DI58" i="4" s="1"/>
  <c r="DE56" i="4"/>
  <c r="CS56" i="4"/>
  <c r="CS58" i="4" s="1"/>
  <c r="AN52" i="3"/>
  <c r="FH56" i="4"/>
  <c r="FH58" i="4" s="1"/>
  <c r="EZ56" i="4"/>
  <c r="EZ58" i="4" s="1"/>
  <c r="AK56" i="4"/>
  <c r="AK58" i="4" s="1"/>
  <c r="TA56" i="4"/>
  <c r="TA58" i="4" s="1"/>
  <c r="OB56" i="4"/>
  <c r="OB58" i="4" s="1"/>
  <c r="NP56" i="4"/>
  <c r="NP58" i="4" s="1"/>
  <c r="NA56" i="4"/>
  <c r="NA58" i="4" s="1"/>
  <c r="LY56" i="4"/>
  <c r="LY58" i="4" s="1"/>
  <c r="LM56" i="4"/>
  <c r="LM58" i="4" s="1"/>
  <c r="LE56" i="4"/>
  <c r="LE58" i="4" s="1"/>
  <c r="JJ56" i="4"/>
  <c r="JJ58" i="4" s="1"/>
  <c r="JB56" i="4"/>
  <c r="JB58" i="4" s="1"/>
  <c r="HW56" i="4"/>
  <c r="HW58" i="4" s="1"/>
  <c r="HH56" i="4"/>
  <c r="HH58" i="4" s="1"/>
  <c r="GG56" i="4"/>
  <c r="GG58" i="4" s="1"/>
  <c r="GC56" i="4"/>
  <c r="GC58" i="4" s="1"/>
  <c r="J56" i="4"/>
  <c r="J58" i="4" s="1"/>
  <c r="UO56" i="4"/>
  <c r="UO58" i="4" s="1"/>
  <c r="TZ56" i="4"/>
  <c r="TZ58" i="4" s="1"/>
  <c r="QF56" i="4"/>
  <c r="QF58" i="4" s="1"/>
  <c r="ON56" i="4"/>
  <c r="ON58" i="4" s="1"/>
  <c r="ND56" i="4"/>
  <c r="MO56" i="4"/>
  <c r="MO58" i="4" s="1"/>
  <c r="LQ56" i="4"/>
  <c r="LQ58" i="4" s="1"/>
  <c r="LB56" i="4"/>
  <c r="LB58" i="4" s="1"/>
  <c r="KU56" i="4"/>
  <c r="KU58" i="4" s="1"/>
  <c r="KE56" i="4"/>
  <c r="KE58" i="4" s="1"/>
  <c r="JH56" i="4"/>
  <c r="JH58" i="4" s="1"/>
  <c r="CP56" i="4"/>
  <c r="CP58" i="4" s="1"/>
  <c r="CA56" i="4"/>
  <c r="CA58" i="4" s="1"/>
  <c r="BG56" i="4"/>
  <c r="BG58" i="4" s="1"/>
  <c r="AZ56" i="4"/>
  <c r="AZ58" i="4" s="1"/>
  <c r="AS56" i="4"/>
  <c r="AS58" i="4" s="1"/>
  <c r="I56" i="4"/>
  <c r="I58" i="4" s="1"/>
  <c r="GU56" i="4"/>
  <c r="GU58" i="4" s="1"/>
  <c r="BM56" i="4"/>
  <c r="BM58" i="4" s="1"/>
  <c r="CF52" i="3"/>
  <c r="CD12" i="3" s="1"/>
  <c r="TJ56" i="4"/>
  <c r="TJ58" i="4" s="1"/>
  <c r="QM56" i="4"/>
  <c r="QM58" i="4" s="1"/>
  <c r="PW56" i="4"/>
  <c r="PW58" i="4" s="1"/>
  <c r="PI56" i="4"/>
  <c r="PI58" i="4" s="1"/>
  <c r="OM56" i="4"/>
  <c r="NX56" i="4"/>
  <c r="NX58" i="4" s="1"/>
  <c r="MF56" i="4"/>
  <c r="MF58" i="4" s="1"/>
  <c r="KT56" i="4"/>
  <c r="KT58" i="4" s="1"/>
  <c r="KL56" i="4"/>
  <c r="KL58" i="4" s="1"/>
  <c r="IE56" i="4"/>
  <c r="IE58" i="4" s="1"/>
  <c r="GL56" i="4"/>
  <c r="GL58" i="4" s="1"/>
  <c r="FO56" i="4"/>
  <c r="FO58" i="4" s="1"/>
  <c r="FG56" i="4"/>
  <c r="FG58" i="4" s="1"/>
  <c r="EY56" i="4"/>
  <c r="EY58" i="4" s="1"/>
  <c r="CW56" i="4"/>
  <c r="CW58" i="4" s="1"/>
  <c r="CO56" i="4"/>
  <c r="BS56" i="4"/>
  <c r="BS58" i="4" s="1"/>
  <c r="AL56" i="4"/>
  <c r="AL58" i="4" s="1"/>
  <c r="X56" i="4"/>
  <c r="X58" i="4" s="1"/>
  <c r="NR56" i="4"/>
  <c r="NR58" i="4" s="1"/>
  <c r="QT56" i="4"/>
  <c r="QT58" i="4" s="1"/>
  <c r="MM56" i="4"/>
  <c r="MM58" i="4" s="1"/>
  <c r="KS56" i="4"/>
  <c r="KS58" i="4" s="1"/>
  <c r="GK56" i="4"/>
  <c r="GK58" i="4" s="1"/>
  <c r="EA56" i="4"/>
  <c r="EA58" i="4" s="1"/>
  <c r="CH57" i="4"/>
  <c r="TI56" i="4"/>
  <c r="ST56" i="4"/>
  <c r="ST58" i="4" s="1"/>
  <c r="PA56" i="4"/>
  <c r="EC57" i="4"/>
  <c r="UL56" i="4"/>
  <c r="UL58" i="4" s="1"/>
  <c r="UE56" i="4"/>
  <c r="UE58" i="4" s="1"/>
  <c r="TW56" i="4"/>
  <c r="TW58" i="4" s="1"/>
  <c r="TH56" i="4"/>
  <c r="TH58" i="4" s="1"/>
  <c r="QZ56" i="4"/>
  <c r="QZ58" i="4" s="1"/>
  <c r="QS56" i="4"/>
  <c r="QS58" i="4" s="1"/>
  <c r="NO56" i="4"/>
  <c r="NO58" i="4" s="1"/>
  <c r="MD56" i="4"/>
  <c r="MD58" i="4" s="1"/>
  <c r="LV56" i="4"/>
  <c r="LV58" i="4" s="1"/>
  <c r="KR56" i="4"/>
  <c r="KR58" i="4" s="1"/>
  <c r="JF56" i="4"/>
  <c r="JF58" i="4" s="1"/>
  <c r="HV56" i="4"/>
  <c r="HV58" i="4" s="1"/>
  <c r="HN56" i="4"/>
  <c r="HN58" i="4" s="1"/>
  <c r="GJ56" i="4"/>
  <c r="GJ58" i="4" s="1"/>
  <c r="DR56" i="4"/>
  <c r="DR58" i="4" s="1"/>
  <c r="BQ56" i="4"/>
  <c r="BQ58" i="4" s="1"/>
  <c r="AJ56" i="4"/>
  <c r="AJ58" i="4" s="1"/>
  <c r="V56" i="4"/>
  <c r="V58" i="4" s="1"/>
  <c r="PY56" i="4"/>
  <c r="PY58" i="4" s="1"/>
  <c r="BA52" i="3"/>
  <c r="EO56" i="4"/>
  <c r="EO58" i="4" s="1"/>
  <c r="G59" i="4"/>
  <c r="H59" i="4" s="1"/>
  <c r="BO52" i="3"/>
  <c r="BN12" i="3" s="1"/>
  <c r="AM57" i="4"/>
  <c r="UK56" i="4"/>
  <c r="UK58" i="4" s="1"/>
  <c r="SK56" i="4"/>
  <c r="SK58" i="4" s="1"/>
  <c r="RV56" i="4"/>
  <c r="RV58" i="4" s="1"/>
  <c r="QY56" i="4"/>
  <c r="QY58" i="4" s="1"/>
  <c r="OR56" i="4"/>
  <c r="OR58" i="4" s="1"/>
  <c r="NU56" i="4"/>
  <c r="NU58" i="4" s="1"/>
  <c r="MS56" i="4"/>
  <c r="MS58" i="4" s="1"/>
  <c r="KA56" i="4"/>
  <c r="KA58" i="4" s="1"/>
  <c r="GA56" i="4"/>
  <c r="GA58" i="4" s="1"/>
  <c r="DY56" i="4"/>
  <c r="DY58" i="4" s="1"/>
  <c r="DB56" i="4"/>
  <c r="DB58" i="4" s="1"/>
  <c r="CL56" i="4"/>
  <c r="CL58" i="4" s="1"/>
  <c r="BP56" i="4"/>
  <c r="BP58" i="4" s="1"/>
  <c r="FX56" i="4"/>
  <c r="FX58" i="4" s="1"/>
  <c r="BD56" i="4"/>
  <c r="BD58" i="4" s="1"/>
  <c r="TD57" i="4"/>
  <c r="TU56" i="4"/>
  <c r="TU58" i="4" s="1"/>
  <c r="OQ56" i="4"/>
  <c r="OQ58" i="4" s="1"/>
  <c r="JZ56" i="4"/>
  <c r="JZ58" i="4" s="1"/>
  <c r="II56" i="4"/>
  <c r="II58" i="4" s="1"/>
  <c r="CK56" i="4"/>
  <c r="CK58" i="4" s="1"/>
  <c r="BO56" i="4"/>
  <c r="BO58" i="4" s="1"/>
  <c r="BJ56" i="4"/>
  <c r="BJ58" i="4" s="1"/>
  <c r="BC56" i="4"/>
  <c r="BC58" i="4" s="1"/>
  <c r="M56" i="4"/>
  <c r="M58" i="4" s="1"/>
  <c r="RS56" i="4"/>
  <c r="RS58" i="4" s="1"/>
  <c r="SB56" i="4"/>
  <c r="SB58" i="4" s="1"/>
  <c r="PS56" i="4"/>
  <c r="PS58" i="4" s="1"/>
  <c r="LT56" i="4"/>
  <c r="LT58" i="4" s="1"/>
  <c r="JK56" i="4"/>
  <c r="JK58" i="4" s="1"/>
  <c r="HD56" i="4"/>
  <c r="HD58" i="4" s="1"/>
  <c r="GW56" i="4"/>
  <c r="GW58" i="4" s="1"/>
  <c r="GO56" i="4"/>
  <c r="GO58" i="4" s="1"/>
  <c r="BV56" i="4"/>
  <c r="BV58" i="4" s="1"/>
  <c r="TS56" i="4"/>
  <c r="TS58" i="4" s="1"/>
  <c r="PQ56" i="4"/>
  <c r="PQ58" i="4" s="1"/>
  <c r="OV57" i="4"/>
  <c r="UB56" i="4"/>
  <c r="UB58" i="4" s="1"/>
  <c r="TM56" i="4"/>
  <c r="TM58" i="4" s="1"/>
  <c r="TF56" i="4"/>
  <c r="TF58" i="4" s="1"/>
  <c r="SX56" i="4"/>
  <c r="SX58" i="4" s="1"/>
  <c r="SA56" i="4"/>
  <c r="SA58" i="4" s="1"/>
  <c r="QH56" i="4"/>
  <c r="QH58" i="4" s="1"/>
  <c r="PR56" i="4"/>
  <c r="PR58" i="4" s="1"/>
  <c r="NF56" i="4"/>
  <c r="NF58" i="4" s="1"/>
  <c r="MA56" i="4"/>
  <c r="MA58" i="4" s="1"/>
  <c r="KO56" i="4"/>
  <c r="KO58" i="4" s="1"/>
  <c r="KG56" i="4"/>
  <c r="KG58" i="4" s="1"/>
  <c r="JY56" i="4"/>
  <c r="JY58" i="4" s="1"/>
  <c r="JC56" i="4"/>
  <c r="JC58" i="4" s="1"/>
  <c r="IH56" i="4"/>
  <c r="IH58" i="4" s="1"/>
  <c r="IA56" i="4"/>
  <c r="IA58" i="4" s="1"/>
  <c r="DG56" i="4"/>
  <c r="DG58" i="4" s="1"/>
  <c r="CZ56" i="4"/>
  <c r="CZ58" i="4" s="1"/>
  <c r="CJ56" i="4"/>
  <c r="CJ58" i="4" s="1"/>
  <c r="BB56" i="4"/>
  <c r="BB58" i="4" s="1"/>
  <c r="RD56" i="4"/>
  <c r="RD58" i="4" s="1"/>
  <c r="Y52" i="3"/>
  <c r="HY57" i="4"/>
  <c r="UP56" i="4"/>
  <c r="UP58" i="4" s="1"/>
  <c r="QO56" i="4"/>
  <c r="QO58" i="4" s="1"/>
  <c r="HZ56" i="4"/>
  <c r="HZ58" i="4" s="1"/>
  <c r="GF56" i="4"/>
  <c r="GF58" i="4" s="1"/>
  <c r="CB56" i="4"/>
  <c r="CB58" i="4" s="1"/>
  <c r="OM58" i="4"/>
  <c r="KM57" i="4"/>
  <c r="GK57" i="4"/>
  <c r="UN56" i="4"/>
  <c r="UN58" i="4" s="1"/>
  <c r="UA56" i="4"/>
  <c r="UA58" i="4" s="1"/>
  <c r="RL56" i="4"/>
  <c r="RL58" i="4" s="1"/>
  <c r="OO56" i="4"/>
  <c r="OO58" i="4" s="1"/>
  <c r="OA56" i="4"/>
  <c r="OA58" i="4" s="1"/>
  <c r="MT56" i="4"/>
  <c r="MT58" i="4" s="1"/>
  <c r="ME56" i="4"/>
  <c r="ME58" i="4" s="1"/>
  <c r="KB56" i="4"/>
  <c r="KB58" i="4" s="1"/>
  <c r="JN56" i="4"/>
  <c r="JN58" i="4" s="1"/>
  <c r="IU56" i="4"/>
  <c r="IU58" i="4" s="1"/>
  <c r="HS56" i="4"/>
  <c r="HS58" i="4" s="1"/>
  <c r="GX56" i="4"/>
  <c r="GX58" i="4" s="1"/>
  <c r="EK56" i="4"/>
  <c r="EK58" i="4" s="1"/>
  <c r="CM56" i="4"/>
  <c r="CM58" i="4" s="1"/>
  <c r="BL52" i="3"/>
  <c r="AY52" i="3"/>
  <c r="AX12" i="3" s="1"/>
  <c r="PW57" i="4"/>
  <c r="MM57" i="4"/>
  <c r="EZ57" i="4"/>
  <c r="SZ56" i="4"/>
  <c r="SZ58" i="4" s="1"/>
  <c r="SS56" i="4"/>
  <c r="SS58" i="4" s="1"/>
  <c r="SL56" i="4"/>
  <c r="SL58" i="4" s="1"/>
  <c r="QI56" i="4"/>
  <c r="QI58" i="4" s="1"/>
  <c r="LX56" i="4"/>
  <c r="LX58" i="4" s="1"/>
  <c r="LI56" i="4"/>
  <c r="LI58" i="4" s="1"/>
  <c r="KH56" i="4"/>
  <c r="KH58" i="4" s="1"/>
  <c r="JM56" i="4"/>
  <c r="JM58" i="4" s="1"/>
  <c r="GQ56" i="4"/>
  <c r="GQ58" i="4" s="1"/>
  <c r="ER56" i="4"/>
  <c r="ER58" i="4" s="1"/>
  <c r="DV56" i="4"/>
  <c r="DV58" i="4" s="1"/>
  <c r="DO56" i="4"/>
  <c r="DO58" i="4" s="1"/>
  <c r="DA56" i="4"/>
  <c r="DA58" i="4" s="1"/>
  <c r="CF56" i="4"/>
  <c r="CF58" i="4" s="1"/>
  <c r="AI56" i="4"/>
  <c r="AI58" i="4" s="1"/>
  <c r="NH56" i="4"/>
  <c r="NH58" i="4" s="1"/>
  <c r="HE56" i="4"/>
  <c r="HE58" i="4" s="1"/>
  <c r="CG56" i="4"/>
  <c r="CG58" i="4" s="1"/>
  <c r="BC57" i="4"/>
  <c r="W57" i="4"/>
  <c r="LR56" i="4"/>
  <c r="LR58" i="4" s="1"/>
  <c r="AM52" i="3"/>
  <c r="AL52" i="3"/>
  <c r="SY56" i="4"/>
  <c r="SY58" i="4" s="1"/>
  <c r="QV56" i="4"/>
  <c r="QV58" i="4" s="1"/>
  <c r="PB56" i="4"/>
  <c r="PB58" i="4" s="1"/>
  <c r="OG56" i="4"/>
  <c r="OG58" i="4" s="1"/>
  <c r="NM56" i="4"/>
  <c r="NM58" i="4" s="1"/>
  <c r="MR56" i="4"/>
  <c r="MR58" i="4" s="1"/>
  <c r="MK56" i="4"/>
  <c r="MK58" i="4" s="1"/>
  <c r="LW56" i="4"/>
  <c r="LW58" i="4" s="1"/>
  <c r="LP56" i="4"/>
  <c r="LP58" i="4" s="1"/>
  <c r="IZ56" i="4"/>
  <c r="IZ58" i="4" s="1"/>
  <c r="IM56" i="4"/>
  <c r="IM58" i="4" s="1"/>
  <c r="IF56" i="4"/>
  <c r="IF58" i="4" s="1"/>
  <c r="HK56" i="4"/>
  <c r="HK58" i="4" s="1"/>
  <c r="HC56" i="4"/>
  <c r="HC58" i="4" s="1"/>
  <c r="EQ56" i="4"/>
  <c r="EQ58" i="4" s="1"/>
  <c r="EB56" i="4"/>
  <c r="EB58" i="4" s="1"/>
  <c r="DU56" i="4"/>
  <c r="DU58" i="4" s="1"/>
  <c r="BY56" i="4"/>
  <c r="BY58" i="4" s="1"/>
  <c r="BA56" i="4"/>
  <c r="BA58" i="4" s="1"/>
  <c r="AO56" i="4"/>
  <c r="AO58" i="4" s="1"/>
  <c r="AH56" i="4"/>
  <c r="AH58" i="4" s="1"/>
  <c r="U56" i="4"/>
  <c r="LD56" i="4"/>
  <c r="LD58" i="4" s="1"/>
  <c r="KI57" i="4"/>
  <c r="GD56" i="4"/>
  <c r="ES56" i="4"/>
  <c r="ES58" i="4" s="1"/>
  <c r="AH12" i="3"/>
  <c r="MI57" i="4"/>
  <c r="TY56" i="4"/>
  <c r="TY58" i="4" s="1"/>
  <c r="RC56" i="4"/>
  <c r="RC58" i="4" s="1"/>
  <c r="QN56" i="4"/>
  <c r="QN58" i="4" s="1"/>
  <c r="OT56" i="4"/>
  <c r="OT58" i="4" s="1"/>
  <c r="OF56" i="4"/>
  <c r="OF58" i="4" s="1"/>
  <c r="NY56" i="4"/>
  <c r="NY58" i="4" s="1"/>
  <c r="MY56" i="4"/>
  <c r="MY58" i="4" s="1"/>
  <c r="MJ56" i="4"/>
  <c r="MJ58" i="4" s="1"/>
  <c r="MC56" i="4"/>
  <c r="MC58" i="4" s="1"/>
  <c r="KN56" i="4"/>
  <c r="KN58" i="4" s="1"/>
  <c r="JE56" i="4"/>
  <c r="JE58" i="4" s="1"/>
  <c r="HX56" i="4"/>
  <c r="HX58" i="4" s="1"/>
  <c r="HJ56" i="4"/>
  <c r="HJ58" i="4" s="1"/>
  <c r="GV56" i="4"/>
  <c r="GV58" i="4" s="1"/>
  <c r="EP56" i="4"/>
  <c r="EP58" i="4" s="1"/>
  <c r="DT56" i="4"/>
  <c r="DT58" i="4" s="1"/>
  <c r="DF56" i="4"/>
  <c r="DF58" i="4" s="1"/>
  <c r="CR56" i="4"/>
  <c r="CR58" i="4" s="1"/>
  <c r="BX56" i="4"/>
  <c r="BX58" i="4" s="1"/>
  <c r="BL56" i="4"/>
  <c r="BL58" i="4" s="1"/>
  <c r="AG56" i="4"/>
  <c r="AG58" i="4" s="1"/>
  <c r="E107" i="2"/>
  <c r="BV12" i="3"/>
  <c r="BT52" i="3"/>
  <c r="QZ57" i="4"/>
  <c r="TL56" i="4"/>
  <c r="TL58" i="4" s="1"/>
  <c r="TE56" i="4"/>
  <c r="TE58" i="4" s="1"/>
  <c r="SQ56" i="4"/>
  <c r="SQ58" i="4" s="1"/>
  <c r="SJ56" i="4"/>
  <c r="SJ58" i="4" s="1"/>
  <c r="RP56" i="4"/>
  <c r="RP58" i="4" s="1"/>
  <c r="QA56" i="4"/>
  <c r="QA58" i="4" s="1"/>
  <c r="PN56" i="4"/>
  <c r="PN58" i="4" s="1"/>
  <c r="PG56" i="4"/>
  <c r="PG58" i="4" s="1"/>
  <c r="OL56" i="4"/>
  <c r="OL58" i="4" s="1"/>
  <c r="LU56" i="4"/>
  <c r="JR56" i="4"/>
  <c r="JR58" i="4" s="1"/>
  <c r="ID56" i="4"/>
  <c r="ID58" i="4" s="1"/>
  <c r="HI56" i="4"/>
  <c r="HI58" i="4" s="1"/>
  <c r="AR52" i="3"/>
  <c r="FM56" i="4"/>
  <c r="FM58" i="4" s="1"/>
  <c r="FE56" i="4"/>
  <c r="FE58" i="4" s="1"/>
  <c r="EW56" i="4"/>
  <c r="EW58" i="4" s="1"/>
  <c r="EH56" i="4"/>
  <c r="EH58" i="4" s="1"/>
  <c r="DM56" i="4"/>
  <c r="DM58" i="4" s="1"/>
  <c r="CY56" i="4"/>
  <c r="CY58" i="4" s="1"/>
  <c r="CD56" i="4"/>
  <c r="CD58" i="4" s="1"/>
  <c r="AT56" i="4"/>
  <c r="AT58" i="4" s="1"/>
  <c r="N56" i="4"/>
  <c r="N58" i="4" s="1"/>
  <c r="OW56" i="4"/>
  <c r="OW58" i="4" s="1"/>
  <c r="L52" i="3"/>
  <c r="BM52" i="3"/>
  <c r="RY56" i="4"/>
  <c r="RY58" i="4" s="1"/>
  <c r="CC52" i="3"/>
  <c r="X52" i="3"/>
  <c r="SW56" i="4"/>
  <c r="SW58" i="4" s="1"/>
  <c r="SI56" i="4"/>
  <c r="SI58" i="4" s="1"/>
  <c r="RA56" i="4"/>
  <c r="RA58" i="4" s="1"/>
  <c r="PZ56" i="4"/>
  <c r="PZ58" i="4" s="1"/>
  <c r="OS56" i="4"/>
  <c r="OS58" i="4" s="1"/>
  <c r="OK56" i="4"/>
  <c r="OK58" i="4" s="1"/>
  <c r="OD56" i="4"/>
  <c r="OD58" i="4" s="1"/>
  <c r="MW56" i="4"/>
  <c r="MW58" i="4" s="1"/>
  <c r="MP56" i="4"/>
  <c r="MP58" i="4" s="1"/>
  <c r="IR56" i="4"/>
  <c r="IR58" i="4" s="1"/>
  <c r="IK56" i="4"/>
  <c r="IK58" i="4" s="1"/>
  <c r="HP56" i="4"/>
  <c r="HP58" i="4" s="1"/>
  <c r="HA56" i="4"/>
  <c r="HA58" i="4" s="1"/>
  <c r="FL56" i="4"/>
  <c r="FL58" i="4" s="1"/>
  <c r="FD56" i="4"/>
  <c r="FD58" i="4" s="1"/>
  <c r="EG56" i="4"/>
  <c r="DL56" i="4"/>
  <c r="DL58" i="4" s="1"/>
  <c r="CX56" i="4"/>
  <c r="QX56" i="4"/>
  <c r="QX58" i="4" s="1"/>
  <c r="CB52" i="3"/>
  <c r="UQ56" i="4"/>
  <c r="UQ58" i="4" s="1"/>
  <c r="UD56" i="4"/>
  <c r="UD58" i="4" s="1"/>
  <c r="MH56" i="4"/>
  <c r="MH58" i="4" s="1"/>
  <c r="IJ56" i="4"/>
  <c r="IJ58" i="4" s="1"/>
  <c r="BB52" i="3"/>
  <c r="DK56" i="4"/>
  <c r="DK58" i="4" s="1"/>
  <c r="AY56" i="4"/>
  <c r="AY58" i="4" s="1"/>
  <c r="S56" i="4"/>
  <c r="S58" i="4" s="1"/>
  <c r="GR56" i="4"/>
  <c r="GR58" i="4" s="1"/>
  <c r="FH57" i="4"/>
  <c r="LJ57" i="4"/>
  <c r="UC56" i="4"/>
  <c r="UC58" i="4" s="1"/>
  <c r="SO56" i="4"/>
  <c r="SO58" i="4" s="1"/>
  <c r="QE56" i="4"/>
  <c r="QE58" i="4" s="1"/>
  <c r="OJ56" i="4"/>
  <c r="OJ58" i="4" s="1"/>
  <c r="NJ56" i="4"/>
  <c r="NJ58" i="4" s="1"/>
  <c r="NC56" i="4"/>
  <c r="NC58" i="4" s="1"/>
  <c r="JW56" i="4"/>
  <c r="JW58" i="4" s="1"/>
  <c r="JI56" i="4"/>
  <c r="JI58" i="4" s="1"/>
  <c r="IW56" i="4"/>
  <c r="IW58" i="4" s="1"/>
  <c r="FU56" i="4"/>
  <c r="FU58" i="4" s="1"/>
  <c r="FR56" i="4"/>
  <c r="FR58" i="4" s="1"/>
  <c r="EU56" i="4"/>
  <c r="FY56" i="4"/>
  <c r="FY58" i="4" s="1"/>
  <c r="BE56" i="4"/>
  <c r="BE58" i="4" s="1"/>
  <c r="AX56" i="4"/>
  <c r="AX58" i="4" s="1"/>
  <c r="Y56" i="4"/>
  <c r="Y58" i="4" s="1"/>
  <c r="R56" i="4"/>
  <c r="R58" i="4" s="1"/>
  <c r="K56" i="4"/>
  <c r="SM56" i="4"/>
  <c r="SM58" i="4" s="1"/>
  <c r="V12" i="3"/>
  <c r="ST57" i="4"/>
  <c r="QT57" i="4"/>
  <c r="TP56" i="4"/>
  <c r="TP58" i="4" s="1"/>
  <c r="RG56" i="4"/>
  <c r="RG58" i="4" s="1"/>
  <c r="NV56" i="4"/>
  <c r="NV58" i="4" s="1"/>
  <c r="KY56" i="4"/>
  <c r="KY58" i="4" s="1"/>
  <c r="KK56" i="4"/>
  <c r="KK58" i="4" s="1"/>
  <c r="IP56" i="4"/>
  <c r="IP58" i="4" s="1"/>
  <c r="HU56" i="4"/>
  <c r="HU58" i="4" s="1"/>
  <c r="FJ56" i="4"/>
  <c r="FJ58" i="4" s="1"/>
  <c r="FB56" i="4"/>
  <c r="FB58" i="4" s="1"/>
  <c r="EM56" i="4"/>
  <c r="EM58" i="4" s="1"/>
  <c r="EE56" i="4"/>
  <c r="EE58" i="4" s="1"/>
  <c r="DJ56" i="4"/>
  <c r="DJ58" i="4" s="1"/>
  <c r="QJ56" i="4"/>
  <c r="QJ58" i="4" s="1"/>
  <c r="BH15" i="4"/>
  <c r="AE52" i="3"/>
  <c r="AD12" i="3" s="1"/>
  <c r="FW57" i="4"/>
  <c r="TV56" i="4"/>
  <c r="TV58" i="4" s="1"/>
  <c r="TB56" i="4"/>
  <c r="TB58" i="4" s="1"/>
  <c r="SN56" i="4"/>
  <c r="SN58" i="4" s="1"/>
  <c r="SG56" i="4"/>
  <c r="SG58" i="4" s="1"/>
  <c r="RZ56" i="4"/>
  <c r="RZ58" i="4" s="1"/>
  <c r="RF56" i="4"/>
  <c r="RF58" i="4" s="1"/>
  <c r="QK56" i="4"/>
  <c r="QK58" i="4" s="1"/>
  <c r="OP56" i="4"/>
  <c r="OP58" i="4" s="1"/>
  <c r="LS56" i="4"/>
  <c r="LS58" i="4" s="1"/>
  <c r="LK56" i="4"/>
  <c r="LK58" i="4" s="1"/>
  <c r="KJ56" i="4"/>
  <c r="KJ58" i="4" s="1"/>
  <c r="KC56" i="4"/>
  <c r="KC58" i="4" s="1"/>
  <c r="IO56" i="4"/>
  <c r="IO58" i="4" s="1"/>
  <c r="HM56" i="4"/>
  <c r="HM15" i="4" s="1"/>
  <c r="HF56" i="4"/>
  <c r="HF58" i="4" s="1"/>
  <c r="FT56" i="4"/>
  <c r="FT58" i="4" s="1"/>
  <c r="FQ56" i="4"/>
  <c r="FQ58" i="4" s="1"/>
  <c r="ET56" i="4"/>
  <c r="ET58" i="4" s="1"/>
  <c r="DX56" i="4"/>
  <c r="DX58" i="4" s="1"/>
  <c r="CU56" i="4"/>
  <c r="CU58" i="4" s="1"/>
  <c r="BU56" i="4"/>
  <c r="BU58" i="4" s="1"/>
  <c r="AW56" i="4"/>
  <c r="AW58" i="4" s="1"/>
  <c r="AQ56" i="4"/>
  <c r="AQ58" i="4" s="1"/>
  <c r="Q56" i="4"/>
  <c r="Q58" i="4" s="1"/>
  <c r="G12" i="4"/>
  <c r="H14" i="4"/>
  <c r="H13" i="4" s="1"/>
  <c r="R12" i="3"/>
  <c r="JV56" i="4"/>
  <c r="JV58" i="4" s="1"/>
  <c r="RR56" i="4"/>
  <c r="RR58" i="4" s="1"/>
  <c r="RE56" i="4"/>
  <c r="RE57" i="4"/>
  <c r="RW56" i="4"/>
  <c r="RW58" i="4" s="1"/>
  <c r="BB12" i="3"/>
  <c r="F12" i="3"/>
  <c r="GD58" i="4"/>
  <c r="AL12" i="3"/>
  <c r="US56" i="4"/>
  <c r="PH58" i="4"/>
  <c r="Z12" i="3"/>
  <c r="LO56" i="4"/>
  <c r="LO58" i="4" s="1"/>
  <c r="DE58" i="4"/>
  <c r="E50" i="3"/>
  <c r="PM56" i="4"/>
  <c r="PM58" i="4" s="1"/>
  <c r="SV58" i="4"/>
  <c r="JL58" i="4"/>
  <c r="MB58" i="4"/>
  <c r="K52" i="3"/>
  <c r="J12" i="3" s="1"/>
  <c r="K53" i="3"/>
  <c r="E51" i="3"/>
  <c r="D49" i="3" s="1"/>
  <c r="E55" i="4"/>
  <c r="ND58" i="4"/>
  <c r="FP58" i="4"/>
  <c r="CV56" i="4"/>
  <c r="TI58" i="4"/>
  <c r="CH58" i="4"/>
  <c r="RZ15" i="4"/>
  <c r="QR56" i="4"/>
  <c r="QR58" i="4" s="1"/>
  <c r="E54" i="4"/>
  <c r="CO58" i="4"/>
  <c r="TI57" i="4"/>
  <c r="QQ58" i="4"/>
  <c r="NI56" i="4"/>
  <c r="NI58" i="4" s="1"/>
  <c r="NI57" i="4"/>
  <c r="DW56" i="4"/>
  <c r="DW58" i="4" s="1"/>
  <c r="DW57" i="4"/>
  <c r="IQ56" i="4"/>
  <c r="IQ58" i="4" s="1"/>
  <c r="U58" i="4"/>
  <c r="KV56" i="4"/>
  <c r="KV58" i="4" s="1"/>
  <c r="AM58" i="4"/>
  <c r="QJ15" i="4"/>
  <c r="LG15" i="4"/>
  <c r="FI58" i="4"/>
  <c r="GI56" i="4"/>
  <c r="GI58" i="4" s="1"/>
  <c r="TC57" i="4"/>
  <c r="OU57" i="4"/>
  <c r="TG56" i="4"/>
  <c r="TG58" i="4" s="1"/>
  <c r="OY56" i="4"/>
  <c r="OY58" i="4" s="1"/>
  <c r="LA56" i="4"/>
  <c r="LA58" i="4" s="1"/>
  <c r="HG56" i="4"/>
  <c r="HG58" i="4" s="1"/>
  <c r="GH56" i="4"/>
  <c r="GH58" i="4" s="1"/>
  <c r="EN58" i="4"/>
  <c r="QO57" i="4"/>
  <c r="MG57" i="4"/>
  <c r="MZ56" i="4"/>
  <c r="MZ58" i="4" s="1"/>
  <c r="EU58" i="4"/>
  <c r="EG58" i="4"/>
  <c r="DZ58" i="4"/>
  <c r="GN56" i="4"/>
  <c r="GN58" i="4" s="1"/>
  <c r="UI56" i="4"/>
  <c r="UI58" i="4" s="1"/>
  <c r="RH56" i="4"/>
  <c r="RH58" i="4" s="1"/>
  <c r="NE56" i="4"/>
  <c r="NE58" i="4" s="1"/>
  <c r="TQ56" i="4"/>
  <c r="TQ58" i="4" s="1"/>
  <c r="GS56" i="4"/>
  <c r="GS58" i="4" s="1"/>
  <c r="KQ56" i="4"/>
  <c r="KQ58" i="4" s="1"/>
  <c r="DH56" i="4"/>
  <c r="DH58" i="4" s="1"/>
  <c r="E104" i="2"/>
  <c r="OF15" i="4" l="1"/>
  <c r="TI15" i="4"/>
  <c r="AA58" i="4"/>
  <c r="PO15" i="4"/>
  <c r="AM15" i="4"/>
  <c r="MI15" i="4"/>
  <c r="BJ12" i="3"/>
  <c r="NY15" i="4"/>
  <c r="DL15" i="4"/>
  <c r="CJ15" i="4"/>
  <c r="AP12" i="3"/>
  <c r="F107" i="2"/>
  <c r="G107" i="2" s="1"/>
  <c r="H107" i="2" s="1"/>
  <c r="I107" i="2" s="1"/>
  <c r="F15" i="4"/>
  <c r="NK15" i="4"/>
  <c r="JJ15" i="4"/>
  <c r="HT15" i="4"/>
  <c r="SG15" i="4"/>
  <c r="BO15" i="4"/>
  <c r="KZ15" i="4"/>
  <c r="EU15" i="4"/>
  <c r="FB15" i="4"/>
  <c r="I59" i="4"/>
  <c r="J59" i="4" s="1"/>
  <c r="PA15" i="4"/>
  <c r="HM58" i="4"/>
  <c r="GY15" i="4"/>
  <c r="AT15" i="4"/>
  <c r="BA15" i="4"/>
  <c r="R15" i="4"/>
  <c r="MP15" i="4"/>
  <c r="D46" i="3"/>
  <c r="EG15" i="4"/>
  <c r="MB15" i="4"/>
  <c r="D34" i="3"/>
  <c r="CC15" i="4"/>
  <c r="PA58" i="4"/>
  <c r="BZ12" i="3"/>
  <c r="MW15" i="4"/>
  <c r="D14" i="3"/>
  <c r="SU15" i="4"/>
  <c r="D33" i="3"/>
  <c r="D22" i="3"/>
  <c r="DS15" i="4"/>
  <c r="D43" i="3"/>
  <c r="D27" i="3"/>
  <c r="D20" i="3"/>
  <c r="FW15" i="4"/>
  <c r="D48" i="3"/>
  <c r="JQ15" i="4"/>
  <c r="AF15" i="4"/>
  <c r="H12" i="4"/>
  <c r="UD15" i="4"/>
  <c r="ND15" i="4"/>
  <c r="NR15" i="4"/>
  <c r="K58" i="4"/>
  <c r="K15" i="4"/>
  <c r="QX15" i="4"/>
  <c r="CX58" i="4"/>
  <c r="CX15" i="4"/>
  <c r="JC15" i="4"/>
  <c r="KL15" i="4"/>
  <c r="EN15" i="4"/>
  <c r="IH15" i="4"/>
  <c r="TB15" i="4"/>
  <c r="SN15" i="4"/>
  <c r="FI15" i="4"/>
  <c r="E52" i="3"/>
  <c r="D50" i="3" s="1"/>
  <c r="FP15" i="4"/>
  <c r="QQ15" i="4"/>
  <c r="GR15" i="4"/>
  <c r="JX15" i="4"/>
  <c r="DZ15" i="4"/>
  <c r="QC15" i="4"/>
  <c r="LU15" i="4"/>
  <c r="LU58" i="4"/>
  <c r="OM15" i="4"/>
  <c r="TP15" i="4"/>
  <c r="PV15" i="4"/>
  <c r="IA15" i="4"/>
  <c r="KE15" i="4"/>
  <c r="TW15" i="4"/>
  <c r="IV15" i="4"/>
  <c r="BV15" i="4"/>
  <c r="UK15" i="4"/>
  <c r="I14" i="4"/>
  <c r="I13" i="4" s="1"/>
  <c r="D50" i="4"/>
  <c r="D36" i="4"/>
  <c r="D17" i="4"/>
  <c r="D38" i="4"/>
  <c r="D24" i="4"/>
  <c r="D47" i="4"/>
  <c r="D34" i="4"/>
  <c r="D53" i="4"/>
  <c r="D42" i="4"/>
  <c r="D40" i="4"/>
  <c r="D37" i="4"/>
  <c r="D28" i="4"/>
  <c r="D49" i="4"/>
  <c r="D51" i="4"/>
  <c r="D32" i="4"/>
  <c r="D44" i="4"/>
  <c r="D20" i="4"/>
  <c r="D23" i="4"/>
  <c r="D27" i="4"/>
  <c r="D26" i="4"/>
  <c r="D16" i="4"/>
  <c r="D21" i="4"/>
  <c r="D18" i="4"/>
  <c r="D35" i="4"/>
  <c r="D43" i="4"/>
  <c r="D25" i="4"/>
  <c r="D52" i="4"/>
  <c r="D41" i="4"/>
  <c r="D31" i="4"/>
  <c r="D19" i="4"/>
  <c r="D39" i="4"/>
  <c r="D33" i="4"/>
  <c r="D30" i="4"/>
  <c r="E56" i="4"/>
  <c r="D55" i="4" s="1"/>
  <c r="GD15" i="4"/>
  <c r="KS15" i="4"/>
  <c r="D13" i="3"/>
  <c r="D17" i="3"/>
  <c r="D28" i="3"/>
  <c r="D42" i="3"/>
  <c r="D41" i="3"/>
  <c r="D29" i="3"/>
  <c r="D30" i="3"/>
  <c r="D31" i="3"/>
  <c r="D23" i="3"/>
  <c r="D26" i="3"/>
  <c r="D16" i="3"/>
  <c r="D37" i="3"/>
  <c r="D24" i="3"/>
  <c r="D51" i="3"/>
  <c r="D38" i="3"/>
  <c r="D35" i="3"/>
  <c r="D18" i="3"/>
  <c r="D44" i="3"/>
  <c r="D25" i="3"/>
  <c r="D40" i="3"/>
  <c r="D15" i="3"/>
  <c r="D47" i="3"/>
  <c r="D39" i="3"/>
  <c r="D21" i="3"/>
  <c r="D32" i="3"/>
  <c r="PH15" i="4"/>
  <c r="RL15" i="4"/>
  <c r="IO15" i="4"/>
  <c r="D36" i="3"/>
  <c r="RS15" i="4"/>
  <c r="D45" i="3"/>
  <c r="DE15" i="4"/>
  <c r="D46" i="4"/>
  <c r="HF15" i="4"/>
  <c r="F104" i="2"/>
  <c r="G104" i="2" s="1"/>
  <c r="H104" i="2" s="1"/>
  <c r="I104" i="2" s="1"/>
  <c r="J104" i="2" s="1"/>
  <c r="K104" i="2" s="1"/>
  <c r="L104" i="2" s="1"/>
  <c r="M104" i="2" s="1"/>
  <c r="D54" i="4"/>
  <c r="UR15" i="4"/>
  <c r="US58" i="4"/>
  <c r="CV58" i="4"/>
  <c r="CQ15" i="4"/>
  <c r="OT15" i="4"/>
  <c r="D29" i="4"/>
  <c r="LN15" i="4"/>
  <c r="D45" i="4"/>
  <c r="RE15" i="4"/>
  <c r="RE58" i="4"/>
  <c r="GK15" i="4"/>
  <c r="K59" i="4" l="1"/>
  <c r="L59" i="4" s="1"/>
  <c r="M59" i="4" s="1"/>
  <c r="N59" i="4" s="1"/>
  <c r="O59" i="4" s="1"/>
  <c r="P59" i="4" s="1"/>
  <c r="Q59" i="4" s="1"/>
  <c r="R59" i="4" s="1"/>
  <c r="S59" i="4" s="1"/>
  <c r="T59" i="4" s="1"/>
  <c r="U59" i="4" s="1"/>
  <c r="V59" i="4" s="1"/>
  <c r="W59" i="4" s="1"/>
  <c r="X59" i="4" s="1"/>
  <c r="Y59" i="4" s="1"/>
  <c r="Z59" i="4" s="1"/>
  <c r="AA59" i="4" s="1"/>
  <c r="AB59" i="4" s="1"/>
  <c r="AC59" i="4" s="1"/>
  <c r="AD59" i="4" s="1"/>
  <c r="AE59" i="4" s="1"/>
  <c r="AF59" i="4" s="1"/>
  <c r="AG59" i="4" s="1"/>
  <c r="AH59" i="4" s="1"/>
  <c r="AI59" i="4" s="1"/>
  <c r="AJ59" i="4" s="1"/>
  <c r="AK59" i="4" s="1"/>
  <c r="AL59" i="4" s="1"/>
  <c r="AM59" i="4" s="1"/>
  <c r="AN59" i="4" s="1"/>
  <c r="AO59" i="4" s="1"/>
  <c r="AP59" i="4" s="1"/>
  <c r="AQ59" i="4" s="1"/>
  <c r="AR59" i="4" s="1"/>
  <c r="AS59" i="4" s="1"/>
  <c r="AT59" i="4" s="1"/>
  <c r="AU59" i="4" s="1"/>
  <c r="AV59" i="4" s="1"/>
  <c r="AW59" i="4" s="1"/>
  <c r="AX59" i="4" s="1"/>
  <c r="AY59" i="4" s="1"/>
  <c r="AZ59" i="4" s="1"/>
  <c r="BA59" i="4" s="1"/>
  <c r="BB59" i="4" s="1"/>
  <c r="BC59" i="4" s="1"/>
  <c r="BD59" i="4" s="1"/>
  <c r="BE59" i="4" s="1"/>
  <c r="BF59" i="4" s="1"/>
  <c r="BG59" i="4" s="1"/>
  <c r="BH59" i="4" s="1"/>
  <c r="BI59" i="4" s="1"/>
  <c r="BJ59" i="4" s="1"/>
  <c r="BK59" i="4" s="1"/>
  <c r="D56" i="4"/>
  <c r="I12" i="4"/>
  <c r="N104" i="2"/>
  <c r="O104" i="2" s="1"/>
  <c r="J107" i="2"/>
  <c r="J14" i="4"/>
  <c r="K14" i="4" s="1"/>
  <c r="D52" i="3"/>
  <c r="K107" i="2" l="1"/>
  <c r="L107" i="2" s="1"/>
  <c r="M107" i="2" s="1"/>
  <c r="P104" i="2"/>
  <c r="J13" i="4"/>
  <c r="J12" i="4" s="1"/>
  <c r="L14" i="4"/>
  <c r="K13" i="4"/>
  <c r="Q104" i="2" l="1"/>
  <c r="BT103" i="2" s="1"/>
  <c r="N107" i="2"/>
  <c r="K12" i="4"/>
  <c r="L13" i="4"/>
  <c r="M14" i="4"/>
  <c r="R104" i="2" l="1"/>
  <c r="O107" i="2"/>
  <c r="L12" i="4"/>
  <c r="N14" i="4"/>
  <c r="M13" i="4"/>
  <c r="S104" i="2" l="1"/>
  <c r="T104" i="2" s="1"/>
  <c r="U104" i="2" s="1"/>
  <c r="V104" i="2" s="1"/>
  <c r="P107" i="2"/>
  <c r="Q107" i="2" s="1"/>
  <c r="R107" i="2" s="1"/>
  <c r="S107" i="2" s="1"/>
  <c r="T107" i="2" s="1"/>
  <c r="U107" i="2" s="1"/>
  <c r="V107" i="2" s="1"/>
  <c r="W107" i="2" s="1"/>
  <c r="X107" i="2" s="1"/>
  <c r="Y107" i="2" s="1"/>
  <c r="Z107" i="2" s="1"/>
  <c r="AA107" i="2" s="1"/>
  <c r="AB107" i="2" s="1"/>
  <c r="AC107" i="2" s="1"/>
  <c r="M12" i="4"/>
  <c r="N13" i="4"/>
  <c r="O14" i="4"/>
  <c r="BT104" i="2" l="1"/>
  <c r="N12" i="4"/>
  <c r="W104" i="2"/>
  <c r="X104" i="2" s="1"/>
  <c r="Y104" i="2" s="1"/>
  <c r="Z104" i="2" s="1"/>
  <c r="AA104" i="2" s="1"/>
  <c r="AB104" i="2" s="1"/>
  <c r="AC104" i="2" s="1"/>
  <c r="AD104" i="2" s="1"/>
  <c r="AE104" i="2" s="1"/>
  <c r="AF104" i="2" s="1"/>
  <c r="AG104" i="2" s="1"/>
  <c r="AH104" i="2" s="1"/>
  <c r="AI104" i="2" s="1"/>
  <c r="AJ104" i="2" s="1"/>
  <c r="AK104" i="2" s="1"/>
  <c r="AL104" i="2" s="1"/>
  <c r="AM104" i="2" s="1"/>
  <c r="AN104" i="2" s="1"/>
  <c r="AO104" i="2" s="1"/>
  <c r="AP104" i="2" s="1"/>
  <c r="AQ104" i="2" s="1"/>
  <c r="AR104" i="2" s="1"/>
  <c r="AS104" i="2" s="1"/>
  <c r="AT104" i="2" s="1"/>
  <c r="AU104" i="2" s="1"/>
  <c r="AV104" i="2" s="1"/>
  <c r="AW104" i="2" s="1"/>
  <c r="AX104" i="2" s="1"/>
  <c r="AY104" i="2" s="1"/>
  <c r="AZ104" i="2" s="1"/>
  <c r="BA104" i="2" s="1"/>
  <c r="BB104" i="2" s="1"/>
  <c r="BC104" i="2" s="1"/>
  <c r="BD104" i="2" s="1"/>
  <c r="BE104" i="2" s="1"/>
  <c r="BF104" i="2" s="1"/>
  <c r="BG104" i="2" s="1"/>
  <c r="BH104" i="2" s="1"/>
  <c r="BI104" i="2" s="1"/>
  <c r="BJ104" i="2" s="1"/>
  <c r="BK104" i="2" s="1"/>
  <c r="BL104" i="2" s="1"/>
  <c r="BM104" i="2" s="1"/>
  <c r="BN104" i="2" s="1"/>
  <c r="BO104" i="2" s="1"/>
  <c r="BP104" i="2" s="1"/>
  <c r="BQ104" i="2" s="1"/>
  <c r="O13" i="4"/>
  <c r="P14" i="4"/>
  <c r="O12" i="4" l="1"/>
  <c r="Q14" i="4"/>
  <c r="P13" i="4"/>
  <c r="P12" i="4" l="1"/>
  <c r="Q13" i="4"/>
  <c r="R14" i="4"/>
  <c r="Q12" i="4" l="1"/>
  <c r="R13" i="4"/>
  <c r="S14" i="4"/>
  <c r="R12" i="4" l="1"/>
  <c r="T14" i="4"/>
  <c r="S13" i="4"/>
  <c r="S12" i="4" l="1"/>
  <c r="U14" i="4"/>
  <c r="T13" i="4"/>
  <c r="T12" i="4" l="1"/>
  <c r="V14" i="4"/>
  <c r="U13" i="4"/>
  <c r="U12" i="4" l="1"/>
  <c r="W14" i="4"/>
  <c r="V13" i="4"/>
  <c r="V12" i="4" l="1"/>
  <c r="X14" i="4"/>
  <c r="W13" i="4"/>
  <c r="W12" i="4" l="1"/>
  <c r="Y14" i="4"/>
  <c r="X13" i="4"/>
  <c r="X12" i="4" l="1"/>
  <c r="Y13" i="4"/>
  <c r="Z14" i="4"/>
  <c r="Y12" i="4" l="1"/>
  <c r="Z13" i="4"/>
  <c r="AA14" i="4"/>
  <c r="Z12" i="4" l="1"/>
  <c r="AA13" i="4"/>
  <c r="AB14" i="4"/>
  <c r="AA12" i="4" l="1"/>
  <c r="AC14" i="4"/>
  <c r="AB13" i="4"/>
  <c r="AB12" i="4" l="1"/>
  <c r="AD14" i="4"/>
  <c r="AC13" i="4"/>
  <c r="AC12" i="4" s="1"/>
  <c r="AE14" i="4" l="1"/>
  <c r="AD13" i="4"/>
  <c r="AD12" i="4" s="1"/>
  <c r="AE13" i="4" l="1"/>
  <c r="AE12" i="4" s="1"/>
  <c r="AF14" i="4"/>
  <c r="AF13" i="4" l="1"/>
  <c r="AF12" i="4" s="1"/>
  <c r="AG14" i="4"/>
  <c r="AG13" i="4" l="1"/>
  <c r="AG12" i="4" s="1"/>
  <c r="AH14" i="4"/>
  <c r="AI14" i="4" l="1"/>
  <c r="AH13" i="4"/>
  <c r="AH12" i="4" s="1"/>
  <c r="AI13" i="4" l="1"/>
  <c r="AI12" i="4" s="1"/>
  <c r="AJ14" i="4"/>
  <c r="AK14" i="4" l="1"/>
  <c r="AJ13" i="4"/>
  <c r="AJ12" i="4" s="1"/>
  <c r="AK13" i="4" l="1"/>
  <c r="AK12" i="4" s="1"/>
  <c r="AL14" i="4"/>
  <c r="AL13" i="4" l="1"/>
  <c r="AL12" i="4" s="1"/>
  <c r="AM14" i="4"/>
  <c r="AN14" i="4" l="1"/>
  <c r="AM13" i="4"/>
  <c r="AM12" i="4" s="1"/>
  <c r="AN13" i="4" l="1"/>
  <c r="AN12" i="4" s="1"/>
  <c r="AO14" i="4"/>
  <c r="AP14" i="4" l="1"/>
  <c r="AO13" i="4"/>
  <c r="AO12" i="4" s="1"/>
  <c r="AP13" i="4" l="1"/>
  <c r="AP12" i="4" s="1"/>
  <c r="AQ14" i="4"/>
  <c r="AR14" i="4" l="1"/>
  <c r="AQ13" i="4"/>
  <c r="AQ12" i="4" s="1"/>
  <c r="AR13" i="4" l="1"/>
  <c r="AR12" i="4" s="1"/>
  <c r="AS14" i="4"/>
  <c r="AT14" i="4" l="1"/>
  <c r="AS13" i="4"/>
  <c r="AS12" i="4" s="1"/>
  <c r="AT13" i="4" l="1"/>
  <c r="AT12" i="4" s="1"/>
  <c r="AU14" i="4"/>
  <c r="AV14" i="4" l="1"/>
  <c r="AU13" i="4"/>
  <c r="AU12" i="4" s="1"/>
  <c r="AV13" i="4" l="1"/>
  <c r="AV12" i="4" s="1"/>
  <c r="AW14" i="4"/>
  <c r="AX14" i="4" l="1"/>
  <c r="AW13" i="4"/>
  <c r="AW12" i="4" s="1"/>
  <c r="AX13" i="4" l="1"/>
  <c r="AX12" i="4" s="1"/>
  <c r="AY14" i="4"/>
  <c r="AY13" i="4" l="1"/>
  <c r="AY12" i="4" s="1"/>
  <c r="AZ14" i="4"/>
  <c r="AZ13" i="4" l="1"/>
  <c r="AZ12" i="4" s="1"/>
  <c r="BA14" i="4"/>
  <c r="BB14" i="4" l="1"/>
  <c r="BA13" i="4"/>
  <c r="BA12" i="4" s="1"/>
  <c r="BB13" i="4" l="1"/>
  <c r="BB12" i="4" s="1"/>
  <c r="BC14" i="4"/>
  <c r="BC13" i="4" l="1"/>
  <c r="BC12" i="4" s="1"/>
  <c r="BD14" i="4"/>
  <c r="BE14" i="4" l="1"/>
  <c r="BD13" i="4"/>
  <c r="BD12" i="4" s="1"/>
  <c r="BF14" i="4" l="1"/>
  <c r="BE13" i="4"/>
  <c r="BE12" i="4" s="1"/>
  <c r="BG14" i="4" l="1"/>
  <c r="BF13" i="4"/>
  <c r="BF12" i="4" s="1"/>
  <c r="BG13" i="4" l="1"/>
  <c r="BG12" i="4" s="1"/>
  <c r="BH14" i="4"/>
  <c r="BH13" i="4" l="1"/>
  <c r="BH12" i="4" s="1"/>
  <c r="BI14" i="4"/>
  <c r="BI13" i="4" l="1"/>
  <c r="BI12" i="4" s="1"/>
  <c r="BJ14" i="4"/>
  <c r="BJ13" i="4" l="1"/>
  <c r="BJ12" i="4" s="1"/>
  <c r="BK14" i="4"/>
  <c r="BL14" i="4" l="1"/>
  <c r="BK13" i="4"/>
  <c r="BK12" i="4" s="1"/>
  <c r="BM14" i="4" l="1"/>
  <c r="BL13" i="4"/>
  <c r="BL12" i="4" s="1"/>
  <c r="BN14" i="4" l="1"/>
  <c r="BM13" i="4"/>
  <c r="BM12" i="4" s="1"/>
  <c r="BO14" i="4" l="1"/>
  <c r="BN13" i="4"/>
  <c r="BN12" i="4" s="1"/>
  <c r="BO13" i="4" l="1"/>
  <c r="BO12" i="4" s="1"/>
  <c r="BP14" i="4"/>
  <c r="BQ14" i="4" l="1"/>
  <c r="BP13" i="4"/>
  <c r="BP12" i="4" s="1"/>
  <c r="BR14" i="4" l="1"/>
  <c r="BQ13" i="4"/>
  <c r="BQ12" i="4" s="1"/>
  <c r="BR13" i="4" l="1"/>
  <c r="BR12" i="4" s="1"/>
  <c r="BS14" i="4"/>
  <c r="BT14" i="4" l="1"/>
  <c r="BS13" i="4"/>
  <c r="BS12" i="4" s="1"/>
  <c r="BT13" i="4" l="1"/>
  <c r="BT12" i="4" s="1"/>
  <c r="BU14" i="4"/>
  <c r="BV14" i="4" l="1"/>
  <c r="BU13" i="4"/>
  <c r="BU12" i="4" s="1"/>
  <c r="BV13" i="4" l="1"/>
  <c r="BV12" i="4" s="1"/>
  <c r="BW14" i="4"/>
  <c r="BW13" i="4" l="1"/>
  <c r="BW12" i="4" s="1"/>
  <c r="BX14" i="4"/>
  <c r="BX13" i="4" l="1"/>
  <c r="BX12" i="4" s="1"/>
  <c r="BY14" i="4"/>
  <c r="BZ14" i="4" l="1"/>
  <c r="BY13" i="4"/>
  <c r="BY12" i="4" s="1"/>
  <c r="CA14" i="4" l="1"/>
  <c r="BZ13" i="4"/>
  <c r="BZ12" i="4" s="1"/>
  <c r="CB14" i="4" l="1"/>
  <c r="CA13" i="4"/>
  <c r="CA12" i="4" s="1"/>
  <c r="CB13" i="4" l="1"/>
  <c r="CB12" i="4" s="1"/>
  <c r="CC14" i="4"/>
  <c r="CC13" i="4" l="1"/>
  <c r="CC12" i="4" s="1"/>
  <c r="CD14" i="4"/>
  <c r="CD13" i="4" l="1"/>
  <c r="CD12" i="4" s="1"/>
  <c r="CE14" i="4"/>
  <c r="CF14" i="4" l="1"/>
  <c r="CE13" i="4"/>
  <c r="CE12" i="4" s="1"/>
  <c r="CG14" i="4" l="1"/>
  <c r="CF13" i="4"/>
  <c r="CF12" i="4" s="1"/>
  <c r="CH14" i="4" l="1"/>
  <c r="CG13" i="4"/>
  <c r="CG12" i="4" s="1"/>
  <c r="CH13" i="4" l="1"/>
  <c r="CH12" i="4" s="1"/>
  <c r="CI14" i="4"/>
  <c r="CJ14" i="4" l="1"/>
  <c r="CI13" i="4"/>
  <c r="CI12" i="4" s="1"/>
  <c r="CK14" i="4" l="1"/>
  <c r="CJ13" i="4"/>
  <c r="CJ12" i="4" s="1"/>
  <c r="CK13" i="4" l="1"/>
  <c r="CK12" i="4" s="1"/>
  <c r="CL14" i="4"/>
  <c r="CL13" i="4" l="1"/>
  <c r="CL12" i="4" s="1"/>
  <c r="CM14" i="4"/>
  <c r="CM13" i="4" l="1"/>
  <c r="CM12" i="4" s="1"/>
  <c r="CN14" i="4"/>
  <c r="CO14" i="4" l="1"/>
  <c r="CN13" i="4"/>
  <c r="CN12" i="4" s="1"/>
  <c r="CO13" i="4" l="1"/>
  <c r="CO12" i="4" s="1"/>
  <c r="CP14" i="4"/>
  <c r="CQ14" i="4" l="1"/>
  <c r="CP13" i="4"/>
  <c r="CP12" i="4" s="1"/>
  <c r="CQ13" i="4" l="1"/>
  <c r="CQ12" i="4" s="1"/>
  <c r="CR14" i="4"/>
  <c r="CS14" i="4" l="1"/>
  <c r="CR13" i="4"/>
  <c r="CR12" i="4" s="1"/>
  <c r="CS13" i="4" l="1"/>
  <c r="CS12" i="4" s="1"/>
  <c r="CT14" i="4"/>
  <c r="CU14" i="4" l="1"/>
  <c r="CT13" i="4"/>
  <c r="CT12" i="4" s="1"/>
  <c r="CU13" i="4" l="1"/>
  <c r="CU12" i="4" s="1"/>
  <c r="CV14" i="4"/>
  <c r="CW14" i="4" l="1"/>
  <c r="CV13" i="4"/>
  <c r="CV12" i="4" s="1"/>
  <c r="CW13" i="4" l="1"/>
  <c r="CW12" i="4" s="1"/>
  <c r="CX14" i="4"/>
  <c r="CY14" i="4" l="1"/>
  <c r="CX13" i="4"/>
  <c r="CX12" i="4" s="1"/>
  <c r="CZ14" i="4" l="1"/>
  <c r="CY13" i="4"/>
  <c r="CY12" i="4" s="1"/>
  <c r="CZ13" i="4" l="1"/>
  <c r="CZ12" i="4" s="1"/>
  <c r="DA14" i="4"/>
  <c r="DB14" i="4" l="1"/>
  <c r="DA13" i="4"/>
  <c r="DA12" i="4" s="1"/>
  <c r="DB13" i="4" l="1"/>
  <c r="DB12" i="4" s="1"/>
  <c r="DC14" i="4"/>
  <c r="DD14" i="4" l="1"/>
  <c r="DC13" i="4"/>
  <c r="DC12" i="4" s="1"/>
  <c r="DD13" i="4" l="1"/>
  <c r="DD12" i="4" s="1"/>
  <c r="DE14" i="4"/>
  <c r="DF14" i="4" l="1"/>
  <c r="DE13" i="4"/>
  <c r="DE12" i="4" s="1"/>
  <c r="DF13" i="4" l="1"/>
  <c r="DF12" i="4" s="1"/>
  <c r="DG14" i="4"/>
  <c r="DH14" i="4" l="1"/>
  <c r="DG13" i="4"/>
  <c r="DG12" i="4" s="1"/>
  <c r="DH13" i="4" l="1"/>
  <c r="DH12" i="4" s="1"/>
  <c r="DI14" i="4"/>
  <c r="DJ14" i="4" l="1"/>
  <c r="DI13" i="4"/>
  <c r="DI12" i="4" s="1"/>
  <c r="DJ13" i="4" l="1"/>
  <c r="DJ12" i="4" s="1"/>
  <c r="DK14" i="4"/>
  <c r="DL14" i="4" l="1"/>
  <c r="DK13" i="4"/>
  <c r="DK12" i="4" s="1"/>
  <c r="DL13" i="4" l="1"/>
  <c r="DL12" i="4" s="1"/>
  <c r="DM14" i="4"/>
  <c r="DN14" i="4" l="1"/>
  <c r="DM13" i="4"/>
  <c r="DM12" i="4" s="1"/>
  <c r="DN13" i="4" l="1"/>
  <c r="DN12" i="4" s="1"/>
  <c r="DO14" i="4"/>
  <c r="DO13" i="4" l="1"/>
  <c r="DO12" i="4" s="1"/>
  <c r="DP14" i="4"/>
  <c r="DQ14" i="4" l="1"/>
  <c r="DP13" i="4"/>
  <c r="DP12" i="4" s="1"/>
  <c r="DQ13" i="4" l="1"/>
  <c r="DQ12" i="4" s="1"/>
  <c r="DR14" i="4"/>
  <c r="DS14" i="4" l="1"/>
  <c r="DR13" i="4"/>
  <c r="DR12" i="4" s="1"/>
  <c r="DS13" i="4" l="1"/>
  <c r="DS12" i="4" s="1"/>
  <c r="DT14" i="4"/>
  <c r="DU14" i="4" l="1"/>
  <c r="DT13" i="4"/>
  <c r="DT12" i="4" s="1"/>
  <c r="DU13" i="4" l="1"/>
  <c r="DU12" i="4" s="1"/>
  <c r="DV14" i="4"/>
  <c r="DW14" i="4" l="1"/>
  <c r="DV13" i="4"/>
  <c r="DV12" i="4" s="1"/>
  <c r="DW13" i="4" l="1"/>
  <c r="DW12" i="4" s="1"/>
  <c r="DX14" i="4"/>
  <c r="DY14" i="4" l="1"/>
  <c r="DX13" i="4"/>
  <c r="DX12" i="4" s="1"/>
  <c r="DY13" i="4" l="1"/>
  <c r="DY12" i="4" s="1"/>
  <c r="DZ14" i="4"/>
  <c r="EA14" i="4" l="1"/>
  <c r="DZ13" i="4"/>
  <c r="DZ12" i="4" s="1"/>
  <c r="EB14" i="4" l="1"/>
  <c r="EA13" i="4"/>
  <c r="EA12" i="4" s="1"/>
  <c r="EC14" i="4" l="1"/>
  <c r="EB13" i="4"/>
  <c r="EB12" i="4" s="1"/>
  <c r="EC13" i="4" l="1"/>
  <c r="EC12" i="4" s="1"/>
  <c r="ED14" i="4"/>
  <c r="ED13" i="4" l="1"/>
  <c r="ED12" i="4" s="1"/>
  <c r="EE14" i="4"/>
  <c r="EF14" i="4" l="1"/>
  <c r="EE13" i="4"/>
  <c r="EE12" i="4" s="1"/>
  <c r="EF13" i="4" l="1"/>
  <c r="EF12" i="4" s="1"/>
  <c r="EG14" i="4"/>
  <c r="EG13" i="4" l="1"/>
  <c r="EG12" i="4" s="1"/>
  <c r="EH14" i="4"/>
  <c r="EH13" i="4" l="1"/>
  <c r="EH12" i="4" s="1"/>
  <c r="EI14" i="4"/>
  <c r="EJ14" i="4" l="1"/>
  <c r="EI13" i="4"/>
  <c r="EI12" i="4" s="1"/>
  <c r="EK14" i="4" l="1"/>
  <c r="EJ13" i="4"/>
  <c r="EJ12" i="4" s="1"/>
  <c r="EL14" i="4" l="1"/>
  <c r="EK13" i="4"/>
  <c r="EK12" i="4" s="1"/>
  <c r="EL13" i="4" l="1"/>
  <c r="EL12" i="4" s="1"/>
  <c r="EM14" i="4"/>
  <c r="EM13" i="4" l="1"/>
  <c r="EM12" i="4" s="1"/>
  <c r="EN14" i="4"/>
  <c r="EN13" i="4" l="1"/>
  <c r="EN12" i="4" s="1"/>
  <c r="EO14" i="4"/>
  <c r="EP14" i="4" l="1"/>
  <c r="EO13" i="4"/>
  <c r="EO12" i="4" s="1"/>
  <c r="EQ14" i="4" l="1"/>
  <c r="EP13" i="4"/>
  <c r="EP12" i="4" s="1"/>
  <c r="ER14" i="4" l="1"/>
  <c r="EQ13" i="4"/>
  <c r="EQ12" i="4" s="1"/>
  <c r="ER13" i="4" l="1"/>
  <c r="ER12" i="4" s="1"/>
  <c r="ES14" i="4"/>
  <c r="ES13" i="4" l="1"/>
  <c r="ES12" i="4" s="1"/>
  <c r="ET14" i="4"/>
  <c r="ET13" i="4" l="1"/>
  <c r="ET12" i="4" s="1"/>
  <c r="EU14" i="4"/>
  <c r="EU13" i="4" l="1"/>
  <c r="EU12" i="4" s="1"/>
  <c r="EV14" i="4"/>
  <c r="EV13" i="4" l="1"/>
  <c r="EV12" i="4" s="1"/>
  <c r="EW14" i="4"/>
  <c r="EW13" i="4" l="1"/>
  <c r="EW12" i="4" s="1"/>
  <c r="EX14" i="4"/>
  <c r="EY14" i="4" l="1"/>
  <c r="EX13" i="4"/>
  <c r="EX12" i="4" s="1"/>
  <c r="EZ14" i="4" l="1"/>
  <c r="EY13" i="4"/>
  <c r="EY12" i="4" s="1"/>
  <c r="FA14" i="4" l="1"/>
  <c r="EZ13" i="4"/>
  <c r="EZ12" i="4" s="1"/>
  <c r="FA13" i="4" l="1"/>
  <c r="FA12" i="4" s="1"/>
  <c r="FB14" i="4"/>
  <c r="FB13" i="4" l="1"/>
  <c r="FB12" i="4" s="1"/>
  <c r="FC14" i="4"/>
  <c r="FC13" i="4" l="1"/>
  <c r="FC12" i="4" s="1"/>
  <c r="FD14" i="4"/>
  <c r="FE14" i="4" l="1"/>
  <c r="FD13" i="4"/>
  <c r="FD12" i="4" s="1"/>
  <c r="FF14" i="4" l="1"/>
  <c r="FE13" i="4"/>
  <c r="FE12" i="4" s="1"/>
  <c r="FG14" i="4" l="1"/>
  <c r="FF13" i="4"/>
  <c r="FF12" i="4" s="1"/>
  <c r="FG13" i="4" l="1"/>
  <c r="FG12" i="4" s="1"/>
  <c r="FH14" i="4"/>
  <c r="FH13" i="4" l="1"/>
  <c r="FH12" i="4" s="1"/>
  <c r="FI14" i="4"/>
  <c r="FI13" i="4" l="1"/>
  <c r="FI12" i="4" s="1"/>
  <c r="FJ14" i="4"/>
  <c r="FK14" i="4" l="1"/>
  <c r="FJ13" i="4"/>
  <c r="FJ12" i="4" s="1"/>
  <c r="FK13" i="4" l="1"/>
  <c r="FK12" i="4" s="1"/>
  <c r="FL14" i="4"/>
  <c r="FL13" i="4" l="1"/>
  <c r="FL12" i="4" s="1"/>
  <c r="FM14" i="4"/>
  <c r="FM13" i="4" l="1"/>
  <c r="FM12" i="4" s="1"/>
  <c r="FN14" i="4"/>
  <c r="FO14" i="4" l="1"/>
  <c r="FN13" i="4"/>
  <c r="FN12" i="4" s="1"/>
  <c r="FP14" i="4" l="1"/>
  <c r="FO13" i="4"/>
  <c r="FO12" i="4" s="1"/>
  <c r="FQ14" i="4" l="1"/>
  <c r="FP13" i="4"/>
  <c r="FP12" i="4" s="1"/>
  <c r="FQ13" i="4" l="1"/>
  <c r="FQ12" i="4" s="1"/>
  <c r="FR14" i="4"/>
  <c r="FR13" i="4" l="1"/>
  <c r="FR12" i="4" s="1"/>
  <c r="FS14" i="4"/>
  <c r="FT14" i="4" l="1"/>
  <c r="FS13" i="4"/>
  <c r="FS12" i="4" s="1"/>
  <c r="FU14" i="4" l="1"/>
  <c r="FT13" i="4"/>
  <c r="FT12" i="4" s="1"/>
  <c r="FV14" i="4" l="1"/>
  <c r="FU13" i="4"/>
  <c r="FU12" i="4" s="1"/>
  <c r="FV13" i="4" l="1"/>
  <c r="FV12" i="4" s="1"/>
  <c r="FW14" i="4"/>
  <c r="FW13" i="4" l="1"/>
  <c r="FW12" i="4" s="1"/>
  <c r="FX14" i="4"/>
  <c r="FX13" i="4" l="1"/>
  <c r="FX12" i="4" s="1"/>
  <c r="FY14" i="4"/>
  <c r="FZ14" i="4" l="1"/>
  <c r="FY13" i="4"/>
  <c r="FY12" i="4" s="1"/>
  <c r="GA14" i="4" l="1"/>
  <c r="FZ13" i="4"/>
  <c r="FZ12" i="4" s="1"/>
  <c r="GA13" i="4" l="1"/>
  <c r="GA12" i="4" s="1"/>
  <c r="GB14" i="4"/>
  <c r="GC14" i="4" l="1"/>
  <c r="GB13" i="4"/>
  <c r="GB12" i="4" s="1"/>
  <c r="GC13" i="4" l="1"/>
  <c r="GC12" i="4" s="1"/>
  <c r="GD14" i="4"/>
  <c r="GE14" i="4" l="1"/>
  <c r="GD13" i="4"/>
  <c r="GD12" i="4" s="1"/>
  <c r="GE13" i="4" l="1"/>
  <c r="GE12" i="4" s="1"/>
  <c r="GF14" i="4"/>
  <c r="GG14" i="4" l="1"/>
  <c r="GF13" i="4"/>
  <c r="GF12" i="4" s="1"/>
  <c r="GG13" i="4" l="1"/>
  <c r="GG12" i="4" s="1"/>
  <c r="GH14" i="4"/>
  <c r="GI14" i="4" l="1"/>
  <c r="GH13" i="4"/>
  <c r="GH12" i="4" s="1"/>
  <c r="GJ14" i="4" l="1"/>
  <c r="GI13" i="4"/>
  <c r="GI12" i="4" s="1"/>
  <c r="GK14" i="4" l="1"/>
  <c r="GJ13" i="4"/>
  <c r="GJ12" i="4" s="1"/>
  <c r="GK13" i="4" l="1"/>
  <c r="GK12" i="4" s="1"/>
  <c r="GL14" i="4"/>
  <c r="GL13" i="4" l="1"/>
  <c r="GL12" i="4" s="1"/>
  <c r="GM14" i="4"/>
  <c r="GM13" i="4" l="1"/>
  <c r="GM12" i="4" s="1"/>
  <c r="GN14" i="4"/>
  <c r="GO14" i="4" l="1"/>
  <c r="GN13" i="4"/>
  <c r="GN12" i="4" s="1"/>
  <c r="GP14" i="4" l="1"/>
  <c r="GO13" i="4"/>
  <c r="GO12" i="4" s="1"/>
  <c r="GQ14" i="4" l="1"/>
  <c r="GP13" i="4"/>
  <c r="GP12" i="4" s="1"/>
  <c r="GR14" i="4" l="1"/>
  <c r="GQ13" i="4"/>
  <c r="GQ12" i="4" s="1"/>
  <c r="GS14" i="4" l="1"/>
  <c r="GR13" i="4"/>
  <c r="GR12" i="4" s="1"/>
  <c r="GS13" i="4" l="1"/>
  <c r="GS12" i="4" s="1"/>
  <c r="GT14" i="4"/>
  <c r="GU14" i="4" l="1"/>
  <c r="GT13" i="4"/>
  <c r="GT12" i="4" s="1"/>
  <c r="GU13" i="4" l="1"/>
  <c r="GU12" i="4" s="1"/>
  <c r="GV14" i="4"/>
  <c r="GW14" i="4" l="1"/>
  <c r="GV13" i="4"/>
  <c r="GV12" i="4" s="1"/>
  <c r="GW13" i="4" l="1"/>
  <c r="GW12" i="4" s="1"/>
  <c r="GX14" i="4"/>
  <c r="GY14" i="4" l="1"/>
  <c r="GX13" i="4"/>
  <c r="GX12" i="4" s="1"/>
  <c r="GZ14" i="4" l="1"/>
  <c r="GY13" i="4"/>
  <c r="GY12" i="4" s="1"/>
  <c r="HA14" i="4" l="1"/>
  <c r="GZ13" i="4"/>
  <c r="GZ12" i="4" s="1"/>
  <c r="HA13" i="4" l="1"/>
  <c r="HA12" i="4" s="1"/>
  <c r="HB14" i="4"/>
  <c r="HB13" i="4" l="1"/>
  <c r="HB12" i="4" s="1"/>
  <c r="HC14" i="4"/>
  <c r="HC13" i="4" l="1"/>
  <c r="HC12" i="4" s="1"/>
  <c r="HD14" i="4"/>
  <c r="HE14" i="4" l="1"/>
  <c r="HD13" i="4"/>
  <c r="HD12" i="4" s="1"/>
  <c r="HF14" i="4" l="1"/>
  <c r="HE13" i="4"/>
  <c r="HE12" i="4" s="1"/>
  <c r="HG14" i="4" l="1"/>
  <c r="HF13" i="4"/>
  <c r="HF12" i="4" s="1"/>
  <c r="HH14" i="4" l="1"/>
  <c r="HG13" i="4"/>
  <c r="HG12" i="4" s="1"/>
  <c r="HI14" i="4" l="1"/>
  <c r="HH13" i="4"/>
  <c r="HH12" i="4" s="1"/>
  <c r="HI13" i="4" l="1"/>
  <c r="HI12" i="4" s="1"/>
  <c r="HJ14" i="4"/>
  <c r="HJ13" i="4" l="1"/>
  <c r="HJ12" i="4" s="1"/>
  <c r="HK14" i="4"/>
  <c r="HK13" i="4" l="1"/>
  <c r="HK12" i="4" s="1"/>
  <c r="HL14" i="4"/>
  <c r="HM14" i="4" l="1"/>
  <c r="HL13" i="4"/>
  <c r="HL12" i="4" s="1"/>
  <c r="HN14" i="4" l="1"/>
  <c r="HM13" i="4"/>
  <c r="HM12" i="4" s="1"/>
  <c r="HO14" i="4" l="1"/>
  <c r="HN13" i="4"/>
  <c r="HN12" i="4" s="1"/>
  <c r="HP14" i="4" l="1"/>
  <c r="HO13" i="4"/>
  <c r="HO12" i="4" s="1"/>
  <c r="HP13" i="4" l="1"/>
  <c r="HP12" i="4" s="1"/>
  <c r="HQ14" i="4"/>
  <c r="HQ13" i="4" l="1"/>
  <c r="HQ12" i="4" s="1"/>
  <c r="HR14" i="4"/>
  <c r="HR13" i="4" l="1"/>
  <c r="HR12" i="4" s="1"/>
  <c r="HS14" i="4"/>
  <c r="HT14" i="4" l="1"/>
  <c r="HS13" i="4"/>
  <c r="HS12" i="4" s="1"/>
  <c r="HU14" i="4" l="1"/>
  <c r="HT13" i="4"/>
  <c r="HT12" i="4" s="1"/>
  <c r="HV14" i="4" l="1"/>
  <c r="HU13" i="4"/>
  <c r="HU12" i="4" s="1"/>
  <c r="HV13" i="4" l="1"/>
  <c r="HV12" i="4" s="1"/>
  <c r="HW14" i="4"/>
  <c r="HX14" i="4" l="1"/>
  <c r="HW13" i="4"/>
  <c r="HW12" i="4" s="1"/>
  <c r="HY14" i="4" l="1"/>
  <c r="HX13" i="4"/>
  <c r="HX12" i="4" s="1"/>
  <c r="HZ14" i="4" l="1"/>
  <c r="HY13" i="4"/>
  <c r="HY12" i="4" s="1"/>
  <c r="HZ13" i="4" l="1"/>
  <c r="HZ12" i="4" s="1"/>
  <c r="IA14" i="4"/>
  <c r="IB14" i="4" l="1"/>
  <c r="IA13" i="4"/>
  <c r="IA12" i="4" s="1"/>
  <c r="IB13" i="4" l="1"/>
  <c r="IB12" i="4" s="1"/>
  <c r="IC14" i="4"/>
  <c r="ID14" i="4" l="1"/>
  <c r="IC13" i="4"/>
  <c r="IC12" i="4" s="1"/>
  <c r="ID13" i="4" l="1"/>
  <c r="ID12" i="4" s="1"/>
  <c r="IE14" i="4"/>
  <c r="IE13" i="4" l="1"/>
  <c r="IE12" i="4" s="1"/>
  <c r="IF14" i="4"/>
  <c r="IF13" i="4" l="1"/>
  <c r="IF12" i="4" s="1"/>
  <c r="IG14" i="4"/>
  <c r="IH14" i="4" l="1"/>
  <c r="IG13" i="4"/>
  <c r="IG12" i="4" s="1"/>
  <c r="II14" i="4" l="1"/>
  <c r="IH13" i="4"/>
  <c r="IH12" i="4" s="1"/>
  <c r="IJ14" i="4" l="1"/>
  <c r="II13" i="4"/>
  <c r="II12" i="4" s="1"/>
  <c r="IJ13" i="4" l="1"/>
  <c r="IJ12" i="4" s="1"/>
  <c r="IK14" i="4"/>
  <c r="IK13" i="4" l="1"/>
  <c r="IK12" i="4" s="1"/>
  <c r="IL14" i="4"/>
  <c r="IL13" i="4" l="1"/>
  <c r="IL12" i="4" s="1"/>
  <c r="IM14" i="4"/>
  <c r="IM13" i="4" l="1"/>
  <c r="IM12" i="4" s="1"/>
  <c r="IN14" i="4"/>
  <c r="IN13" i="4" l="1"/>
  <c r="IN12" i="4" s="1"/>
  <c r="IO14" i="4"/>
  <c r="IP14" i="4" l="1"/>
  <c r="IO13" i="4"/>
  <c r="IO12" i="4" s="1"/>
  <c r="IQ14" i="4" l="1"/>
  <c r="IP13" i="4"/>
  <c r="IP12" i="4" s="1"/>
  <c r="IQ13" i="4" l="1"/>
  <c r="IQ12" i="4" s="1"/>
  <c r="IR14" i="4"/>
  <c r="IR13" i="4" l="1"/>
  <c r="IR12" i="4" s="1"/>
  <c r="IS14" i="4"/>
  <c r="IS13" i="4" l="1"/>
  <c r="IS12" i="4" s="1"/>
  <c r="IT14" i="4"/>
  <c r="IU14" i="4" l="1"/>
  <c r="IT13" i="4"/>
  <c r="IT12" i="4" s="1"/>
  <c r="IU13" i="4" l="1"/>
  <c r="IU12" i="4" s="1"/>
  <c r="IV14" i="4"/>
  <c r="IW14" i="4" l="1"/>
  <c r="IV13" i="4"/>
  <c r="IV12" i="4" s="1"/>
  <c r="IW13" i="4" l="1"/>
  <c r="IW12" i="4" s="1"/>
  <c r="IX14" i="4"/>
  <c r="IY14" i="4" l="1"/>
  <c r="IX13" i="4"/>
  <c r="IX12" i="4" s="1"/>
  <c r="IY13" i="4" l="1"/>
  <c r="IY12" i="4" s="1"/>
  <c r="IZ14" i="4"/>
  <c r="JA14" i="4" l="1"/>
  <c r="IZ13" i="4"/>
  <c r="IZ12" i="4" s="1"/>
  <c r="JA13" i="4" l="1"/>
  <c r="JA12" i="4" s="1"/>
  <c r="JB14" i="4"/>
  <c r="JC14" i="4" l="1"/>
  <c r="JB13" i="4"/>
  <c r="JB12" i="4" s="1"/>
  <c r="JD14" i="4" l="1"/>
  <c r="JC13" i="4"/>
  <c r="JC12" i="4" s="1"/>
  <c r="JD13" i="4" l="1"/>
  <c r="JD12" i="4" s="1"/>
  <c r="JE14" i="4"/>
  <c r="JE13" i="4" l="1"/>
  <c r="JE12" i="4" s="1"/>
  <c r="JF14" i="4"/>
  <c r="JF13" i="4" l="1"/>
  <c r="JF12" i="4" s="1"/>
  <c r="JG14" i="4"/>
  <c r="JG13" i="4" l="1"/>
  <c r="JG12" i="4" s="1"/>
  <c r="JH14" i="4"/>
  <c r="JI14" i="4" l="1"/>
  <c r="JH13" i="4"/>
  <c r="JH12" i="4" s="1"/>
  <c r="JJ14" i="4" l="1"/>
  <c r="JI13" i="4"/>
  <c r="JI12" i="4" s="1"/>
  <c r="JK14" i="4" l="1"/>
  <c r="JJ13" i="4"/>
  <c r="JJ12" i="4" s="1"/>
  <c r="JL14" i="4" l="1"/>
  <c r="JK13" i="4"/>
  <c r="JK12" i="4" s="1"/>
  <c r="JL13" i="4" l="1"/>
  <c r="JL12" i="4" s="1"/>
  <c r="JM14" i="4"/>
  <c r="JM13" i="4" l="1"/>
  <c r="JM12" i="4" s="1"/>
  <c r="JN14" i="4"/>
  <c r="JN13" i="4" l="1"/>
  <c r="JN12" i="4" s="1"/>
  <c r="JO14" i="4"/>
  <c r="JP14" i="4" l="1"/>
  <c r="JO13" i="4"/>
  <c r="JO12" i="4" s="1"/>
  <c r="JQ14" i="4" l="1"/>
  <c r="JP13" i="4"/>
  <c r="JP12" i="4" s="1"/>
  <c r="JR14" i="4" l="1"/>
  <c r="JQ13" i="4"/>
  <c r="JQ12" i="4" s="1"/>
  <c r="JS14" i="4" l="1"/>
  <c r="JR13" i="4"/>
  <c r="JR12" i="4" s="1"/>
  <c r="JT14" i="4" l="1"/>
  <c r="JS13" i="4"/>
  <c r="JS12" i="4" s="1"/>
  <c r="JU14" i="4" l="1"/>
  <c r="JT13" i="4"/>
  <c r="JT12" i="4" s="1"/>
  <c r="JU13" i="4" l="1"/>
  <c r="JU12" i="4" s="1"/>
  <c r="JV14" i="4"/>
  <c r="JV13" i="4" l="1"/>
  <c r="JV12" i="4" s="1"/>
  <c r="JW14" i="4"/>
  <c r="JX14" i="4" l="1"/>
  <c r="JW13" i="4"/>
  <c r="JW12" i="4" s="1"/>
  <c r="JY14" i="4" l="1"/>
  <c r="JX13" i="4"/>
  <c r="JX12" i="4" s="1"/>
  <c r="JZ14" i="4" l="1"/>
  <c r="JY13" i="4"/>
  <c r="JY12" i="4" s="1"/>
  <c r="JZ13" i="4" l="1"/>
  <c r="JZ12" i="4" s="1"/>
  <c r="KA14" i="4"/>
  <c r="KA13" i="4" l="1"/>
  <c r="KA12" i="4" s="1"/>
  <c r="KB14" i="4"/>
  <c r="KB13" i="4" l="1"/>
  <c r="KB12" i="4" s="1"/>
  <c r="KC14" i="4"/>
  <c r="KD14" i="4" l="1"/>
  <c r="KC13" i="4"/>
  <c r="KC12" i="4" s="1"/>
  <c r="KE14" i="4" l="1"/>
  <c r="KD13" i="4"/>
  <c r="KD12" i="4" s="1"/>
  <c r="KF14" i="4" l="1"/>
  <c r="KE13" i="4"/>
  <c r="KE12" i="4" s="1"/>
  <c r="KF13" i="4" l="1"/>
  <c r="KF12" i="4" s="1"/>
  <c r="KG14" i="4"/>
  <c r="KG13" i="4" l="1"/>
  <c r="KG12" i="4" s="1"/>
  <c r="KH14" i="4"/>
  <c r="KH13" i="4" l="1"/>
  <c r="KH12" i="4" s="1"/>
  <c r="KI14" i="4"/>
  <c r="KI13" i="4" l="1"/>
  <c r="KI12" i="4" s="1"/>
  <c r="KJ14" i="4"/>
  <c r="KJ13" i="4" l="1"/>
  <c r="KJ12" i="4" s="1"/>
  <c r="KK14" i="4"/>
  <c r="KL14" i="4" l="1"/>
  <c r="KK13" i="4"/>
  <c r="KK12" i="4" s="1"/>
  <c r="KM14" i="4" l="1"/>
  <c r="KL13" i="4"/>
  <c r="KL12" i="4" s="1"/>
  <c r="KM13" i="4" l="1"/>
  <c r="KM12" i="4" s="1"/>
  <c r="KN14" i="4"/>
  <c r="KN13" i="4" l="1"/>
  <c r="KN12" i="4" s="1"/>
  <c r="KO14" i="4"/>
  <c r="KO13" i="4" l="1"/>
  <c r="KO12" i="4" s="1"/>
  <c r="KP14" i="4"/>
  <c r="KQ14" i="4" l="1"/>
  <c r="KP13" i="4"/>
  <c r="KP12" i="4" s="1"/>
  <c r="KQ13" i="4" l="1"/>
  <c r="KQ12" i="4" s="1"/>
  <c r="KR14" i="4"/>
  <c r="KR13" i="4" l="1"/>
  <c r="KR12" i="4" s="1"/>
  <c r="KS14" i="4"/>
  <c r="KS13" i="4" l="1"/>
  <c r="KS12" i="4" s="1"/>
  <c r="KT14" i="4"/>
  <c r="KU14" i="4" l="1"/>
  <c r="KT13" i="4"/>
  <c r="KT12" i="4" s="1"/>
  <c r="KV14" i="4" l="1"/>
  <c r="KU13" i="4"/>
  <c r="KU12" i="4" s="1"/>
  <c r="KW14" i="4" l="1"/>
  <c r="KV13" i="4"/>
  <c r="KV12" i="4" s="1"/>
  <c r="KX14" i="4" l="1"/>
  <c r="KW13" i="4"/>
  <c r="KW12" i="4" s="1"/>
  <c r="KX13" i="4" l="1"/>
  <c r="KX12" i="4" s="1"/>
  <c r="KY14" i="4"/>
  <c r="KZ14" i="4" l="1"/>
  <c r="KY13" i="4"/>
  <c r="KY12" i="4" s="1"/>
  <c r="LA14" i="4" l="1"/>
  <c r="KZ13" i="4"/>
  <c r="KZ12" i="4" s="1"/>
  <c r="LB14" i="4" l="1"/>
  <c r="LA13" i="4"/>
  <c r="LA12" i="4" s="1"/>
  <c r="LB13" i="4" l="1"/>
  <c r="LB12" i="4" s="1"/>
  <c r="LC14" i="4"/>
  <c r="LD14" i="4" l="1"/>
  <c r="LC13" i="4"/>
  <c r="LC12" i="4" s="1"/>
  <c r="LD13" i="4" l="1"/>
  <c r="LD12" i="4" s="1"/>
  <c r="LE14" i="4"/>
  <c r="LF14" i="4" l="1"/>
  <c r="LE13" i="4"/>
  <c r="LE12" i="4" s="1"/>
  <c r="LF13" i="4" l="1"/>
  <c r="LF12" i="4" s="1"/>
  <c r="LG14" i="4"/>
  <c r="LH14" i="4" l="1"/>
  <c r="LG13" i="4"/>
  <c r="LG12" i="4" s="1"/>
  <c r="LH13" i="4" l="1"/>
  <c r="LH12" i="4" s="1"/>
  <c r="LI14" i="4"/>
  <c r="LJ14" i="4" l="1"/>
  <c r="LI13" i="4"/>
  <c r="LI12" i="4" s="1"/>
  <c r="LJ13" i="4" l="1"/>
  <c r="LJ12" i="4" s="1"/>
  <c r="LK14" i="4"/>
  <c r="LL14" i="4" l="1"/>
  <c r="LK13" i="4"/>
  <c r="LK12" i="4" s="1"/>
  <c r="LL13" i="4" l="1"/>
  <c r="LL12" i="4" s="1"/>
  <c r="LM14" i="4"/>
  <c r="LM13" i="4" l="1"/>
  <c r="LM12" i="4" s="1"/>
  <c r="LN14" i="4"/>
  <c r="LN13" i="4" l="1"/>
  <c r="LN12" i="4" s="1"/>
  <c r="LO14" i="4"/>
  <c r="LO13" i="4" l="1"/>
  <c r="LO12" i="4" s="1"/>
  <c r="LP14" i="4"/>
  <c r="LP13" i="4" l="1"/>
  <c r="LP12" i="4" s="1"/>
  <c r="LQ14" i="4"/>
  <c r="LR14" i="4" l="1"/>
  <c r="LQ13" i="4"/>
  <c r="LQ12" i="4" s="1"/>
  <c r="LS14" i="4" l="1"/>
  <c r="LR13" i="4"/>
  <c r="LR12" i="4" s="1"/>
  <c r="LS13" i="4" l="1"/>
  <c r="LS12" i="4" s="1"/>
  <c r="LT14" i="4"/>
  <c r="LT13" i="4" l="1"/>
  <c r="LT12" i="4" s="1"/>
  <c r="LU14" i="4"/>
  <c r="LU13" i="4" l="1"/>
  <c r="LU12" i="4" s="1"/>
  <c r="LV14" i="4"/>
  <c r="LW14" i="4" l="1"/>
  <c r="LV13" i="4"/>
  <c r="LV12" i="4" s="1"/>
  <c r="LX14" i="4" l="1"/>
  <c r="LW13" i="4"/>
  <c r="LW12" i="4" s="1"/>
  <c r="LY14" i="4" l="1"/>
  <c r="LX13" i="4"/>
  <c r="LX12" i="4" s="1"/>
  <c r="LY13" i="4" l="1"/>
  <c r="LY12" i="4" s="1"/>
  <c r="LZ14" i="4"/>
  <c r="LZ13" i="4" l="1"/>
  <c r="LZ12" i="4" s="1"/>
  <c r="MA14" i="4"/>
  <c r="MA13" i="4" l="1"/>
  <c r="MA12" i="4" s="1"/>
  <c r="MB14" i="4"/>
  <c r="MC14" i="4" l="1"/>
  <c r="MB13" i="4"/>
  <c r="MB12" i="4" s="1"/>
  <c r="MD14" i="4" l="1"/>
  <c r="MC13" i="4"/>
  <c r="MC12" i="4" s="1"/>
  <c r="ME14" i="4" l="1"/>
  <c r="MD13" i="4"/>
  <c r="MD12" i="4" s="1"/>
  <c r="MF14" i="4" l="1"/>
  <c r="ME13" i="4"/>
  <c r="ME12" i="4" s="1"/>
  <c r="MG14" i="4" l="1"/>
  <c r="MF13" i="4"/>
  <c r="MF12" i="4" s="1"/>
  <c r="MG13" i="4" l="1"/>
  <c r="MG12" i="4" s="1"/>
  <c r="MH14" i="4"/>
  <c r="MH13" i="4" l="1"/>
  <c r="MH12" i="4" s="1"/>
  <c r="MI14" i="4"/>
  <c r="MJ14" i="4" l="1"/>
  <c r="MI13" i="4"/>
  <c r="MI12" i="4" s="1"/>
  <c r="MJ13" i="4" l="1"/>
  <c r="MJ12" i="4" s="1"/>
  <c r="MK14" i="4"/>
  <c r="ML14" i="4" l="1"/>
  <c r="MK13" i="4"/>
  <c r="MK12" i="4" s="1"/>
  <c r="ML13" i="4" l="1"/>
  <c r="ML12" i="4" s="1"/>
  <c r="MM14" i="4"/>
  <c r="MN14" i="4" l="1"/>
  <c r="MM13" i="4"/>
  <c r="MM12" i="4" s="1"/>
  <c r="MN13" i="4" l="1"/>
  <c r="MN12" i="4" s="1"/>
  <c r="MO14" i="4"/>
  <c r="MP14" i="4" l="1"/>
  <c r="MO13" i="4"/>
  <c r="MO12" i="4" s="1"/>
  <c r="MP13" i="4" l="1"/>
  <c r="MP12" i="4" s="1"/>
  <c r="MQ14" i="4"/>
  <c r="MR14" i="4" l="1"/>
  <c r="MQ13" i="4"/>
  <c r="MQ12" i="4" s="1"/>
  <c r="MR13" i="4" l="1"/>
  <c r="MR12" i="4" s="1"/>
  <c r="MS14" i="4"/>
  <c r="MT14" i="4" l="1"/>
  <c r="MS13" i="4"/>
  <c r="MS12" i="4" s="1"/>
  <c r="MT13" i="4" l="1"/>
  <c r="MT12" i="4" s="1"/>
  <c r="MU14" i="4"/>
  <c r="MU13" i="4" l="1"/>
  <c r="MU12" i="4" s="1"/>
  <c r="MV14" i="4"/>
  <c r="MW14" i="4" l="1"/>
  <c r="MV13" i="4"/>
  <c r="MV12" i="4" s="1"/>
  <c r="MX14" i="4" l="1"/>
  <c r="MW13" i="4"/>
  <c r="MW12" i="4" s="1"/>
  <c r="MY14" i="4" l="1"/>
  <c r="MX13" i="4"/>
  <c r="MX12" i="4" s="1"/>
  <c r="MZ14" i="4" l="1"/>
  <c r="MY13" i="4"/>
  <c r="MY12" i="4" s="1"/>
  <c r="MZ13" i="4" l="1"/>
  <c r="MZ12" i="4" s="1"/>
  <c r="NA14" i="4"/>
  <c r="NA13" i="4" l="1"/>
  <c r="NA12" i="4" s="1"/>
  <c r="NB14" i="4"/>
  <c r="NB13" i="4" l="1"/>
  <c r="NB12" i="4" s="1"/>
  <c r="NC14" i="4"/>
  <c r="ND14" i="4" l="1"/>
  <c r="NC13" i="4"/>
  <c r="NC12" i="4" s="1"/>
  <c r="NE14" i="4" l="1"/>
  <c r="ND13" i="4"/>
  <c r="ND12" i="4" s="1"/>
  <c r="NF14" i="4" l="1"/>
  <c r="NE13" i="4"/>
  <c r="NE12" i="4" s="1"/>
  <c r="NF13" i="4" l="1"/>
  <c r="NF12" i="4" s="1"/>
  <c r="NG14" i="4"/>
  <c r="NG13" i="4" l="1"/>
  <c r="NG12" i="4" s="1"/>
  <c r="NH14" i="4"/>
  <c r="NH13" i="4" l="1"/>
  <c r="NH12" i="4" s="1"/>
  <c r="NI14" i="4"/>
  <c r="NJ14" i="4" l="1"/>
  <c r="NI13" i="4"/>
  <c r="NI12" i="4" s="1"/>
  <c r="NK14" i="4" l="1"/>
  <c r="NJ13" i="4"/>
  <c r="NJ12" i="4" s="1"/>
  <c r="NK13" i="4" l="1"/>
  <c r="NK12" i="4" s="1"/>
  <c r="NL14" i="4"/>
  <c r="NM14" i="4" l="1"/>
  <c r="NL13" i="4"/>
  <c r="NL12" i="4" s="1"/>
  <c r="NM13" i="4" l="1"/>
  <c r="NM12" i="4" s="1"/>
  <c r="NN14" i="4"/>
  <c r="NO14" i="4" l="1"/>
  <c r="NN13" i="4"/>
  <c r="NN12" i="4" s="1"/>
  <c r="NP14" i="4" l="1"/>
  <c r="NO13" i="4"/>
  <c r="NO12" i="4" s="1"/>
  <c r="NQ14" i="4" l="1"/>
  <c r="NP13" i="4"/>
  <c r="NP12" i="4" s="1"/>
  <c r="NQ13" i="4" l="1"/>
  <c r="NQ12" i="4" s="1"/>
  <c r="NR14" i="4"/>
  <c r="NR13" i="4" l="1"/>
  <c r="NR12" i="4" s="1"/>
  <c r="NS14" i="4"/>
  <c r="NS13" i="4" l="1"/>
  <c r="NS12" i="4" s="1"/>
  <c r="NT14" i="4"/>
  <c r="NU14" i="4" l="1"/>
  <c r="NT13" i="4"/>
  <c r="NT12" i="4" s="1"/>
  <c r="NV14" i="4" l="1"/>
  <c r="NU13" i="4"/>
  <c r="NU12" i="4" s="1"/>
  <c r="NW14" i="4" l="1"/>
  <c r="NV13" i="4"/>
  <c r="NV12" i="4" s="1"/>
  <c r="NX14" i="4" l="1"/>
  <c r="NW13" i="4"/>
  <c r="NW12" i="4" s="1"/>
  <c r="NY14" i="4" l="1"/>
  <c r="NX13" i="4"/>
  <c r="NX12" i="4" s="1"/>
  <c r="NZ14" i="4" l="1"/>
  <c r="NY13" i="4"/>
  <c r="NY12" i="4" s="1"/>
  <c r="NZ13" i="4" l="1"/>
  <c r="NZ12" i="4" s="1"/>
  <c r="OA14" i="4"/>
  <c r="OB14" i="4" l="1"/>
  <c r="OA13" i="4"/>
  <c r="OA12" i="4" s="1"/>
  <c r="OC14" i="4" l="1"/>
  <c r="OB13" i="4"/>
  <c r="OB12" i="4" s="1"/>
  <c r="OC13" i="4" l="1"/>
  <c r="OC12" i="4" s="1"/>
  <c r="OD14" i="4"/>
  <c r="OD13" i="4" l="1"/>
  <c r="OD12" i="4" s="1"/>
  <c r="OE14" i="4"/>
  <c r="OF14" i="4" l="1"/>
  <c r="OE13" i="4"/>
  <c r="OE12" i="4" s="1"/>
  <c r="OG14" i="4" l="1"/>
  <c r="OF13" i="4"/>
  <c r="OF12" i="4" s="1"/>
  <c r="OH14" i="4" l="1"/>
  <c r="OG13" i="4"/>
  <c r="OG12" i="4" s="1"/>
  <c r="OH13" i="4" l="1"/>
  <c r="OH12" i="4" s="1"/>
  <c r="OI14" i="4"/>
  <c r="OI13" i="4" l="1"/>
  <c r="OI12" i="4" s="1"/>
  <c r="OJ14" i="4"/>
  <c r="OJ13" i="4" l="1"/>
  <c r="OJ12" i="4" s="1"/>
  <c r="OK14" i="4"/>
  <c r="OL14" i="4" l="1"/>
  <c r="OK13" i="4"/>
  <c r="OK12" i="4" s="1"/>
  <c r="OL13" i="4" l="1"/>
  <c r="OL12" i="4" s="1"/>
  <c r="OM14" i="4"/>
  <c r="ON14" i="4" l="1"/>
  <c r="OM13" i="4"/>
  <c r="OM12" i="4" s="1"/>
  <c r="ON13" i="4" l="1"/>
  <c r="ON12" i="4" s="1"/>
  <c r="OO14" i="4"/>
  <c r="OP14" i="4" l="1"/>
  <c r="OO13" i="4"/>
  <c r="OO12" i="4" s="1"/>
  <c r="OP13" i="4" l="1"/>
  <c r="OP12" i="4" s="1"/>
  <c r="OQ14" i="4"/>
  <c r="OQ13" i="4" l="1"/>
  <c r="OQ12" i="4" s="1"/>
  <c r="OR14" i="4"/>
  <c r="OS14" i="4" l="1"/>
  <c r="OR13" i="4"/>
  <c r="OR12" i="4" s="1"/>
  <c r="OT14" i="4" l="1"/>
  <c r="OS13" i="4"/>
  <c r="OS12" i="4" s="1"/>
  <c r="OT13" i="4" l="1"/>
  <c r="OT12" i="4" s="1"/>
  <c r="OU14" i="4"/>
  <c r="OV14" i="4" l="1"/>
  <c r="OU13" i="4"/>
  <c r="OU12" i="4" s="1"/>
  <c r="OV13" i="4" l="1"/>
  <c r="OV12" i="4" s="1"/>
  <c r="OW14" i="4"/>
  <c r="OX14" i="4" l="1"/>
  <c r="OW13" i="4"/>
  <c r="OW12" i="4" s="1"/>
  <c r="OX13" i="4" l="1"/>
  <c r="OX12" i="4" s="1"/>
  <c r="OY14" i="4"/>
  <c r="OZ14" i="4" l="1"/>
  <c r="OY13" i="4"/>
  <c r="OY12" i="4" s="1"/>
  <c r="OZ13" i="4" l="1"/>
  <c r="OZ12" i="4" s="1"/>
  <c r="PA14" i="4"/>
  <c r="PB14" i="4" l="1"/>
  <c r="PA13" i="4"/>
  <c r="PA12" i="4" s="1"/>
  <c r="PB13" i="4" l="1"/>
  <c r="PB12" i="4" s="1"/>
  <c r="PC14" i="4"/>
  <c r="PD14" i="4" l="1"/>
  <c r="PC13" i="4"/>
  <c r="PC12" i="4" s="1"/>
  <c r="PD13" i="4" l="1"/>
  <c r="PD12" i="4" s="1"/>
  <c r="PE14" i="4"/>
  <c r="PF14" i="4" l="1"/>
  <c r="PE13" i="4"/>
  <c r="PE12" i="4" s="1"/>
  <c r="PF13" i="4" l="1"/>
  <c r="PF12" i="4" s="1"/>
  <c r="PG14" i="4"/>
  <c r="PG13" i="4" l="1"/>
  <c r="PG12" i="4" s="1"/>
  <c r="PH14" i="4"/>
  <c r="PI14" i="4" l="1"/>
  <c r="PH13" i="4"/>
  <c r="PH12" i="4" s="1"/>
  <c r="PJ14" i="4" l="1"/>
  <c r="PI13" i="4"/>
  <c r="PI12" i="4" s="1"/>
  <c r="PK14" i="4" l="1"/>
  <c r="PJ13" i="4"/>
  <c r="PJ12" i="4" s="1"/>
  <c r="PL14" i="4" l="1"/>
  <c r="PK13" i="4"/>
  <c r="PK12" i="4" s="1"/>
  <c r="PL13" i="4" l="1"/>
  <c r="PL12" i="4" s="1"/>
  <c r="PM14" i="4"/>
  <c r="PM13" i="4" l="1"/>
  <c r="PM12" i="4" s="1"/>
  <c r="PN14" i="4"/>
  <c r="PN13" i="4" l="1"/>
  <c r="PN12" i="4" s="1"/>
  <c r="PO14" i="4"/>
  <c r="PO13" i="4" l="1"/>
  <c r="PO12" i="4" s="1"/>
  <c r="PP14" i="4"/>
  <c r="PQ14" i="4" l="1"/>
  <c r="PP13" i="4"/>
  <c r="PP12" i="4" s="1"/>
  <c r="PR14" i="4" l="1"/>
  <c r="PQ13" i="4"/>
  <c r="PQ12" i="4" s="1"/>
  <c r="PS14" i="4" l="1"/>
  <c r="PR13" i="4"/>
  <c r="PR12" i="4" s="1"/>
  <c r="PS13" i="4" l="1"/>
  <c r="PS12" i="4" s="1"/>
  <c r="PT14" i="4"/>
  <c r="PT13" i="4" l="1"/>
  <c r="PT12" i="4" s="1"/>
  <c r="PU14" i="4"/>
  <c r="PU13" i="4" l="1"/>
  <c r="PU12" i="4" s="1"/>
  <c r="PV14" i="4"/>
  <c r="PV13" i="4" l="1"/>
  <c r="PV12" i="4" s="1"/>
  <c r="PW14" i="4"/>
  <c r="PW13" i="4" l="1"/>
  <c r="PW12" i="4" s="1"/>
  <c r="PX14" i="4"/>
  <c r="PX13" i="4" l="1"/>
  <c r="PX12" i="4" s="1"/>
  <c r="PY14" i="4"/>
  <c r="PZ14" i="4" l="1"/>
  <c r="PY13" i="4"/>
  <c r="PY12" i="4" s="1"/>
  <c r="QA14" i="4" l="1"/>
  <c r="PZ13" i="4"/>
  <c r="PZ12" i="4" s="1"/>
  <c r="QA13" i="4" l="1"/>
  <c r="QA12" i="4" s="1"/>
  <c r="QB14" i="4"/>
  <c r="QB13" i="4" l="1"/>
  <c r="QB12" i="4" s="1"/>
  <c r="QC14" i="4"/>
  <c r="QD14" i="4" l="1"/>
  <c r="QC13" i="4"/>
  <c r="QC12" i="4" s="1"/>
  <c r="QD13" i="4" l="1"/>
  <c r="QD12" i="4" s="1"/>
  <c r="QE14" i="4"/>
  <c r="QF14" i="4" l="1"/>
  <c r="QE13" i="4"/>
  <c r="QE12" i="4" s="1"/>
  <c r="QF13" i="4" l="1"/>
  <c r="QF12" i="4" s="1"/>
  <c r="QG14" i="4"/>
  <c r="QH14" i="4" l="1"/>
  <c r="QG13" i="4"/>
  <c r="QG12" i="4" s="1"/>
  <c r="QH13" i="4" l="1"/>
  <c r="QH12" i="4" s="1"/>
  <c r="QI14" i="4"/>
  <c r="QI13" i="4" l="1"/>
  <c r="QI12" i="4" s="1"/>
  <c r="QJ14" i="4"/>
  <c r="QJ13" i="4" l="1"/>
  <c r="QJ12" i="4" s="1"/>
  <c r="QK14" i="4"/>
  <c r="QL14" i="4" l="1"/>
  <c r="QK13" i="4"/>
  <c r="QK12" i="4" s="1"/>
  <c r="QM14" i="4" l="1"/>
  <c r="QL13" i="4"/>
  <c r="QL12" i="4" s="1"/>
  <c r="QN14" i="4" l="1"/>
  <c r="QM13" i="4"/>
  <c r="QM12" i="4" s="1"/>
  <c r="QN13" i="4" l="1"/>
  <c r="QN12" i="4" s="1"/>
  <c r="QO14" i="4"/>
  <c r="QO13" i="4" l="1"/>
  <c r="QO12" i="4" s="1"/>
  <c r="QP14" i="4"/>
  <c r="QP13" i="4" l="1"/>
  <c r="QP12" i="4" s="1"/>
  <c r="QQ14" i="4"/>
  <c r="QR14" i="4" l="1"/>
  <c r="QQ13" i="4"/>
  <c r="QQ12" i="4" s="1"/>
  <c r="QS14" i="4" l="1"/>
  <c r="QR13" i="4"/>
  <c r="QR12" i="4" s="1"/>
  <c r="QT14" i="4" l="1"/>
  <c r="QS13" i="4"/>
  <c r="QS12" i="4" s="1"/>
  <c r="QU14" i="4" l="1"/>
  <c r="QT13" i="4"/>
  <c r="QT12" i="4" s="1"/>
  <c r="QU13" i="4" l="1"/>
  <c r="QU12" i="4" s="1"/>
  <c r="QV14" i="4"/>
  <c r="QV13" i="4" l="1"/>
  <c r="QV12" i="4" s="1"/>
  <c r="QW14" i="4"/>
  <c r="QW13" i="4" l="1"/>
  <c r="QW12" i="4" s="1"/>
  <c r="QX14" i="4"/>
  <c r="QY14" i="4" l="1"/>
  <c r="QX13" i="4"/>
  <c r="QX12" i="4" s="1"/>
  <c r="QY13" i="4" l="1"/>
  <c r="QY12" i="4" s="1"/>
  <c r="QZ14" i="4"/>
  <c r="RA14" i="4" l="1"/>
  <c r="QZ13" i="4"/>
  <c r="QZ12" i="4" s="1"/>
  <c r="RA13" i="4" l="1"/>
  <c r="RA12" i="4" s="1"/>
  <c r="RB14" i="4"/>
  <c r="RC14" i="4" l="1"/>
  <c r="RB13" i="4"/>
  <c r="RB12" i="4" s="1"/>
  <c r="RC13" i="4" l="1"/>
  <c r="RC12" i="4" s="1"/>
  <c r="RD14" i="4"/>
  <c r="RD13" i="4" l="1"/>
  <c r="RD12" i="4" s="1"/>
  <c r="RE14" i="4"/>
  <c r="RE13" i="4" l="1"/>
  <c r="RE12" i="4" s="1"/>
  <c r="RF14" i="4"/>
  <c r="RG14" i="4" l="1"/>
  <c r="RF13" i="4"/>
  <c r="RF12" i="4" s="1"/>
  <c r="RH14" i="4" l="1"/>
  <c r="RG13" i="4"/>
  <c r="RG12" i="4" s="1"/>
  <c r="RI14" i="4" l="1"/>
  <c r="RH13" i="4"/>
  <c r="RH12" i="4" s="1"/>
  <c r="RI13" i="4" l="1"/>
  <c r="RI12" i="4" s="1"/>
  <c r="RJ14" i="4"/>
  <c r="RK14" i="4" l="1"/>
  <c r="RJ13" i="4"/>
  <c r="RJ12" i="4" s="1"/>
  <c r="RK13" i="4" l="1"/>
  <c r="RK12" i="4" s="1"/>
  <c r="RL14" i="4"/>
  <c r="RM14" i="4" l="1"/>
  <c r="RL13" i="4"/>
  <c r="RL12" i="4" s="1"/>
  <c r="RM13" i="4" l="1"/>
  <c r="RM12" i="4" s="1"/>
  <c r="RN14" i="4"/>
  <c r="RO14" i="4" l="1"/>
  <c r="RN13" i="4"/>
  <c r="RN12" i="4" s="1"/>
  <c r="RP14" i="4" l="1"/>
  <c r="RO13" i="4"/>
  <c r="RO12" i="4" s="1"/>
  <c r="RQ14" i="4" l="1"/>
  <c r="RP13" i="4"/>
  <c r="RP12" i="4" s="1"/>
  <c r="RQ13" i="4" l="1"/>
  <c r="RQ12" i="4" s="1"/>
  <c r="RR14" i="4"/>
  <c r="RR13" i="4" l="1"/>
  <c r="RR12" i="4" s="1"/>
  <c r="RS14" i="4"/>
  <c r="RS13" i="4" l="1"/>
  <c r="RS12" i="4" s="1"/>
  <c r="RT14" i="4"/>
  <c r="RU14" i="4" l="1"/>
  <c r="RT13" i="4"/>
  <c r="RT12" i="4" s="1"/>
  <c r="RV14" i="4" l="1"/>
  <c r="RU13" i="4"/>
  <c r="RU12" i="4" s="1"/>
  <c r="RW14" i="4" l="1"/>
  <c r="RV13" i="4"/>
  <c r="RV12" i="4" s="1"/>
  <c r="RW13" i="4" l="1"/>
  <c r="RW12" i="4" s="1"/>
  <c r="RX14" i="4"/>
  <c r="RX13" i="4" l="1"/>
  <c r="RX12" i="4" s="1"/>
  <c r="RY14" i="4"/>
  <c r="RY13" i="4" l="1"/>
  <c r="RY12" i="4" s="1"/>
  <c r="RZ14" i="4"/>
  <c r="RZ13" i="4" l="1"/>
  <c r="RZ12" i="4" s="1"/>
  <c r="SA14" i="4"/>
  <c r="SB14" i="4" l="1"/>
  <c r="SA13" i="4"/>
  <c r="SA12" i="4" s="1"/>
  <c r="SC14" i="4" l="1"/>
  <c r="SB13" i="4"/>
  <c r="SB12" i="4" s="1"/>
  <c r="SD14" i="4" l="1"/>
  <c r="SC13" i="4"/>
  <c r="SC12" i="4" s="1"/>
  <c r="SD13" i="4" l="1"/>
  <c r="SD12" i="4" s="1"/>
  <c r="SE14" i="4"/>
  <c r="SF14" i="4" l="1"/>
  <c r="SE13" i="4"/>
  <c r="SE12" i="4" s="1"/>
  <c r="SF13" i="4" l="1"/>
  <c r="SF12" i="4" s="1"/>
  <c r="SG14" i="4"/>
  <c r="SH14" i="4" l="1"/>
  <c r="SG13" i="4"/>
  <c r="SG12" i="4" s="1"/>
  <c r="SH13" i="4" l="1"/>
  <c r="SH12" i="4" s="1"/>
  <c r="SI14" i="4"/>
  <c r="SJ14" i="4" l="1"/>
  <c r="SI13" i="4"/>
  <c r="SI12" i="4" s="1"/>
  <c r="SJ13" i="4" l="1"/>
  <c r="SJ12" i="4" s="1"/>
  <c r="SK14" i="4"/>
  <c r="SL14" i="4" l="1"/>
  <c r="SK13" i="4"/>
  <c r="SK12" i="4" s="1"/>
  <c r="SL13" i="4" l="1"/>
  <c r="SL12" i="4" s="1"/>
  <c r="SM14" i="4"/>
  <c r="SN14" i="4" l="1"/>
  <c r="SM13" i="4"/>
  <c r="SM12" i="4" s="1"/>
  <c r="SN13" i="4" l="1"/>
  <c r="SN12" i="4" s="1"/>
  <c r="SO14" i="4"/>
  <c r="SP14" i="4" l="1"/>
  <c r="SO13" i="4"/>
  <c r="SO12" i="4" s="1"/>
  <c r="SQ14" i="4" l="1"/>
  <c r="SP13" i="4"/>
  <c r="SP12" i="4" s="1"/>
  <c r="SR14" i="4" l="1"/>
  <c r="SQ13" i="4"/>
  <c r="SQ12" i="4" s="1"/>
  <c r="SR13" i="4" l="1"/>
  <c r="SR12" i="4" s="1"/>
  <c r="SS14" i="4"/>
  <c r="SS13" i="4" l="1"/>
  <c r="SS12" i="4" s="1"/>
  <c r="ST14" i="4"/>
  <c r="ST13" i="4" l="1"/>
  <c r="ST12" i="4" s="1"/>
  <c r="SU14" i="4"/>
  <c r="SU13" i="4" l="1"/>
  <c r="SU12" i="4" s="1"/>
  <c r="SV14" i="4"/>
  <c r="SW14" i="4" l="1"/>
  <c r="SV13" i="4"/>
  <c r="SV12" i="4" s="1"/>
  <c r="SX14" i="4" l="1"/>
  <c r="SW13" i="4"/>
  <c r="SW12" i="4" s="1"/>
  <c r="SY14" i="4" l="1"/>
  <c r="SX13" i="4"/>
  <c r="SX12" i="4" s="1"/>
  <c r="SY13" i="4" l="1"/>
  <c r="SY12" i="4" s="1"/>
  <c r="SZ14" i="4"/>
  <c r="SZ13" i="4" l="1"/>
  <c r="SZ12" i="4" s="1"/>
  <c r="TA14" i="4"/>
  <c r="TA13" i="4" l="1"/>
  <c r="TA12" i="4" s="1"/>
  <c r="TB14" i="4"/>
  <c r="TC14" i="4" l="1"/>
  <c r="TB13" i="4"/>
  <c r="TB12" i="4" s="1"/>
  <c r="TD14" i="4" l="1"/>
  <c r="TC13" i="4"/>
  <c r="TC12" i="4" s="1"/>
  <c r="TE14" i="4" l="1"/>
  <c r="TD13" i="4"/>
  <c r="TD12" i="4" s="1"/>
  <c r="TE13" i="4" l="1"/>
  <c r="TE12" i="4" s="1"/>
  <c r="TF14" i="4"/>
  <c r="TG14" i="4" l="1"/>
  <c r="TF13" i="4"/>
  <c r="TF12" i="4" s="1"/>
  <c r="TG13" i="4" l="1"/>
  <c r="TG12" i="4" s="1"/>
  <c r="TH14" i="4"/>
  <c r="TI14" i="4" l="1"/>
  <c r="TH13" i="4"/>
  <c r="TH12" i="4" s="1"/>
  <c r="TI13" i="4" l="1"/>
  <c r="TI12" i="4" s="1"/>
  <c r="TJ14" i="4"/>
  <c r="TK14" i="4" l="1"/>
  <c r="TJ13" i="4"/>
  <c r="TJ12" i="4" s="1"/>
  <c r="TL14" i="4" l="1"/>
  <c r="TK13" i="4"/>
  <c r="TK12" i="4" s="1"/>
  <c r="TM14" i="4" l="1"/>
  <c r="TL13" i="4"/>
  <c r="TL12" i="4" s="1"/>
  <c r="TM13" i="4" l="1"/>
  <c r="TM12" i="4" s="1"/>
  <c r="TN14" i="4"/>
  <c r="TN13" i="4" l="1"/>
  <c r="TN12" i="4" s="1"/>
  <c r="TO14" i="4"/>
  <c r="TO13" i="4" l="1"/>
  <c r="TO12" i="4" s="1"/>
  <c r="TP14" i="4"/>
  <c r="TQ14" i="4" l="1"/>
  <c r="TP13" i="4"/>
  <c r="TP12" i="4" s="1"/>
  <c r="TR14" i="4" l="1"/>
  <c r="TQ13" i="4"/>
  <c r="TQ12" i="4" s="1"/>
  <c r="TS14" i="4" l="1"/>
  <c r="TR13" i="4"/>
  <c r="TR12" i="4" s="1"/>
  <c r="TS13" i="4" l="1"/>
  <c r="TS12" i="4" s="1"/>
  <c r="TT14" i="4"/>
  <c r="TT13" i="4" l="1"/>
  <c r="TT12" i="4" s="1"/>
  <c r="TU14" i="4"/>
  <c r="TU13" i="4" l="1"/>
  <c r="TU12" i="4" s="1"/>
  <c r="TV14" i="4"/>
  <c r="TV13" i="4" l="1"/>
  <c r="TV12" i="4" s="1"/>
  <c r="TW14" i="4"/>
  <c r="TX14" i="4" l="1"/>
  <c r="TW13" i="4"/>
  <c r="TW12" i="4" s="1"/>
  <c r="TY14" i="4" l="1"/>
  <c r="TX13" i="4"/>
  <c r="TX12" i="4" s="1"/>
  <c r="TZ14" i="4" l="1"/>
  <c r="TY13" i="4"/>
  <c r="TY12" i="4" s="1"/>
  <c r="TZ13" i="4" l="1"/>
  <c r="TZ12" i="4" s="1"/>
  <c r="UA14" i="4"/>
  <c r="UB14" i="4" l="1"/>
  <c r="UA13" i="4"/>
  <c r="UA12" i="4" s="1"/>
  <c r="UB13" i="4" l="1"/>
  <c r="UB12" i="4" s="1"/>
  <c r="UC14" i="4"/>
  <c r="UD14" i="4" l="1"/>
  <c r="UC13" i="4"/>
  <c r="UC12" i="4" s="1"/>
  <c r="UD13" i="4" l="1"/>
  <c r="UD12" i="4" s="1"/>
  <c r="UE14" i="4"/>
  <c r="UF14" i="4" l="1"/>
  <c r="UE13" i="4"/>
  <c r="UE12" i="4" s="1"/>
  <c r="UF13" i="4" l="1"/>
  <c r="UF12" i="4" s="1"/>
  <c r="UG14" i="4"/>
  <c r="UH14" i="4" l="1"/>
  <c r="UG13" i="4"/>
  <c r="UG12" i="4" s="1"/>
  <c r="UH13" i="4" l="1"/>
  <c r="UH12" i="4" s="1"/>
  <c r="UI14" i="4"/>
  <c r="UJ14" i="4" l="1"/>
  <c r="UI13" i="4"/>
  <c r="UI12" i="4" s="1"/>
  <c r="UJ13" i="4" l="1"/>
  <c r="UJ12" i="4" s="1"/>
  <c r="UK14" i="4"/>
  <c r="UL14" i="4" l="1"/>
  <c r="UK13" i="4"/>
  <c r="UK12" i="4" s="1"/>
  <c r="UM14" i="4" l="1"/>
  <c r="UL13" i="4"/>
  <c r="UL12" i="4" s="1"/>
  <c r="UN14" i="4" l="1"/>
  <c r="UM13" i="4"/>
  <c r="UM12" i="4" s="1"/>
  <c r="UN13" i="4" l="1"/>
  <c r="UN12" i="4" s="1"/>
  <c r="UO14" i="4"/>
  <c r="UO13" i="4" l="1"/>
  <c r="UO12" i="4" s="1"/>
  <c r="UP14" i="4"/>
  <c r="UP13" i="4" l="1"/>
  <c r="UP12" i="4" s="1"/>
  <c r="UQ14" i="4"/>
  <c r="UQ13" i="4" l="1"/>
  <c r="UQ12" i="4" s="1"/>
  <c r="UR14" i="4"/>
  <c r="US14" i="4" l="1"/>
  <c r="US13" i="4" s="1"/>
  <c r="UR13" i="4"/>
  <c r="UR12" i="4" s="1"/>
  <c r="US12" i="4" l="1"/>
  <c r="AU88" i="3" l="1"/>
  <c r="AR100" i="3"/>
  <c r="T65" i="3"/>
  <c r="BC90" i="3"/>
  <c r="N101" i="3"/>
  <c r="BY95" i="3"/>
  <c r="BZ94" i="3"/>
  <c r="AZ86" i="3"/>
  <c r="AQ94" i="3"/>
  <c r="N78" i="3"/>
  <c r="V99" i="3"/>
  <c r="CA88" i="3"/>
  <c r="V74" i="3"/>
  <c r="BT94" i="3"/>
  <c r="BC80" i="3"/>
  <c r="F93" i="3"/>
  <c r="AS79" i="3"/>
  <c r="G95" i="3"/>
  <c r="BS74" i="3"/>
  <c r="L68" i="3"/>
  <c r="BF101" i="3"/>
  <c r="BA80" i="3"/>
  <c r="Y74" i="3"/>
  <c r="Z83" i="3"/>
  <c r="H88" i="3"/>
  <c r="AT86" i="3"/>
  <c r="J91" i="3"/>
  <c r="AQ74" i="3"/>
  <c r="X98" i="3"/>
  <c r="AX82" i="3"/>
  <c r="AW91" i="3"/>
  <c r="P89" i="3"/>
  <c r="AC72" i="3"/>
  <c r="AW82" i="3"/>
  <c r="S87" i="3"/>
  <c r="G70" i="3"/>
  <c r="BI70" i="3"/>
  <c r="BE81" i="3"/>
  <c r="BU84" i="3"/>
  <c r="Q88" i="3"/>
  <c r="CA72" i="3"/>
  <c r="BE96" i="3"/>
  <c r="AZ67" i="3"/>
  <c r="F67" i="3"/>
  <c r="AS65" i="3"/>
  <c r="W84" i="3"/>
  <c r="AI89" i="3"/>
  <c r="BV87" i="3"/>
  <c r="Z82" i="3"/>
  <c r="T92" i="3"/>
  <c r="BF99" i="3"/>
  <c r="AJ67" i="3"/>
  <c r="AR94" i="3"/>
  <c r="BR66" i="3"/>
  <c r="Y85" i="3"/>
  <c r="CF74" i="3"/>
  <c r="H70" i="3"/>
  <c r="K91" i="3"/>
  <c r="BN96" i="3"/>
  <c r="BE79" i="3"/>
  <c r="BE67" i="3"/>
  <c r="AB85" i="3"/>
  <c r="Q83" i="3"/>
  <c r="AQ85" i="3"/>
  <c r="BU67" i="3"/>
  <c r="BA65" i="3"/>
  <c r="AA94" i="3"/>
  <c r="K92" i="3"/>
  <c r="CF75" i="3"/>
  <c r="AX101" i="3"/>
  <c r="AH80" i="3"/>
  <c r="BV91" i="3"/>
  <c r="BZ98" i="3"/>
  <c r="AU65" i="3"/>
  <c r="AJ89" i="3"/>
  <c r="CC84" i="3"/>
  <c r="AH100" i="3"/>
  <c r="Q101" i="3"/>
  <c r="BK83" i="3"/>
  <c r="CD82" i="3"/>
  <c r="J80" i="3"/>
  <c r="M82" i="3"/>
  <c r="CE96" i="3"/>
  <c r="Q75" i="3"/>
  <c r="AT79" i="3"/>
  <c r="BD74" i="3"/>
  <c r="BC88" i="3"/>
  <c r="BI100" i="3"/>
  <c r="AB102" i="3"/>
  <c r="L93" i="3"/>
  <c r="BO102" i="3"/>
  <c r="BY93" i="3"/>
  <c r="F94" i="3"/>
  <c r="BU86" i="3"/>
  <c r="K94" i="3"/>
  <c r="Q93" i="3"/>
  <c r="AT72" i="3"/>
  <c r="J65" i="3"/>
  <c r="AG88" i="3"/>
  <c r="BO65" i="3"/>
  <c r="CD100" i="3"/>
  <c r="AW86" i="3"/>
  <c r="AI100" i="3"/>
  <c r="T84" i="3"/>
  <c r="BB90" i="3"/>
  <c r="AQ89" i="3"/>
  <c r="M78" i="3"/>
  <c r="AN94" i="3"/>
  <c r="T70" i="3"/>
  <c r="O81" i="3"/>
  <c r="AU70" i="3"/>
  <c r="X87" i="3"/>
  <c r="R102" i="3"/>
  <c r="AZ98" i="3"/>
  <c r="U75" i="3"/>
  <c r="W96" i="3"/>
  <c r="AH69" i="3"/>
  <c r="AR79" i="3"/>
  <c r="AT94" i="3"/>
  <c r="K86" i="3"/>
  <c r="W93" i="3"/>
  <c r="CF82" i="3"/>
  <c r="BN92" i="3"/>
  <c r="BZ101" i="3"/>
  <c r="O68" i="3"/>
  <c r="BL78" i="3"/>
  <c r="BA94" i="3"/>
  <c r="BQ88" i="3"/>
  <c r="O97" i="3"/>
  <c r="BJ95" i="3"/>
  <c r="T73" i="3"/>
  <c r="V69" i="3"/>
  <c r="AL93" i="3"/>
  <c r="AX76" i="3"/>
  <c r="AI80" i="3"/>
  <c r="BW81" i="3"/>
  <c r="BQ83" i="3"/>
  <c r="AJ83" i="3"/>
  <c r="BC89" i="3"/>
  <c r="AE67" i="3"/>
  <c r="BC66" i="3"/>
  <c r="BD97" i="3"/>
  <c r="I94" i="3"/>
  <c r="AV80" i="3"/>
  <c r="AV94" i="3"/>
  <c r="O102" i="3"/>
  <c r="AS100" i="3"/>
  <c r="N73" i="3"/>
  <c r="R70" i="3"/>
  <c r="X65" i="3"/>
  <c r="BX85" i="3"/>
  <c r="BX94" i="3"/>
  <c r="Y84" i="3"/>
  <c r="AQ99" i="3"/>
  <c r="BC93" i="3"/>
  <c r="BL97" i="3"/>
  <c r="K73" i="3"/>
  <c r="AR95" i="3"/>
  <c r="CB98" i="3"/>
  <c r="BG99" i="3"/>
  <c r="AQ84" i="3"/>
  <c r="M91" i="3"/>
  <c r="BV92" i="3"/>
  <c r="S96" i="3"/>
  <c r="M96" i="3"/>
  <c r="BY80" i="3"/>
  <c r="BA73" i="3"/>
  <c r="BA95" i="3"/>
  <c r="CC76" i="3"/>
  <c r="BP76" i="3"/>
  <c r="BJ76" i="3"/>
  <c r="BV66" i="3"/>
  <c r="AT69" i="3"/>
  <c r="AP95" i="3"/>
  <c r="BI78" i="3"/>
  <c r="CE87" i="3"/>
  <c r="AN100" i="3"/>
  <c r="P101" i="3"/>
  <c r="BT84" i="3"/>
  <c r="AE93" i="3"/>
  <c r="H69" i="3"/>
  <c r="P83" i="3"/>
  <c r="G73" i="3"/>
  <c r="AK85" i="3"/>
  <c r="AE88" i="3"/>
  <c r="AU100" i="3"/>
  <c r="BQ68" i="3"/>
  <c r="AC81" i="3"/>
  <c r="R72" i="3"/>
  <c r="Z96" i="3"/>
  <c r="BE89" i="3"/>
  <c r="BW67" i="3"/>
  <c r="BD69" i="3"/>
  <c r="AZ65" i="3"/>
  <c r="L74" i="3"/>
  <c r="BG70" i="3"/>
  <c r="BV69" i="3"/>
  <c r="BD77" i="3"/>
  <c r="AI102" i="3"/>
  <c r="AY88" i="3"/>
  <c r="BD82" i="3"/>
  <c r="AN75" i="3"/>
  <c r="AG76" i="3"/>
  <c r="X81" i="3"/>
  <c r="CG92" i="3"/>
  <c r="AY89" i="3"/>
  <c r="AE94" i="3"/>
  <c r="BQ90" i="3"/>
  <c r="AE75" i="3"/>
  <c r="BA97" i="3"/>
  <c r="AR78" i="3"/>
  <c r="BT101" i="3"/>
  <c r="H73" i="3"/>
  <c r="L102" i="3"/>
  <c r="BA83" i="3"/>
  <c r="CF93" i="3"/>
  <c r="BN67" i="3"/>
  <c r="AK78" i="3"/>
  <c r="AR92" i="3"/>
  <c r="N81" i="3"/>
  <c r="AS76" i="3"/>
  <c r="L85" i="3"/>
  <c r="AM76" i="3"/>
  <c r="BD92" i="3"/>
  <c r="CD75" i="3"/>
  <c r="G91" i="3"/>
  <c r="BK82" i="3"/>
  <c r="BF100" i="3"/>
  <c r="BB87" i="3"/>
  <c r="N67" i="3"/>
  <c r="AZ66" i="3"/>
  <c r="G66" i="3"/>
  <c r="AL89" i="3"/>
  <c r="F65" i="3"/>
  <c r="AH99" i="3"/>
  <c r="BT98" i="3"/>
  <c r="W77" i="3"/>
  <c r="AZ85" i="3"/>
  <c r="AI98" i="3"/>
  <c r="AW102" i="3"/>
  <c r="BT82" i="3"/>
  <c r="CA85" i="3"/>
  <c r="BM91" i="3"/>
  <c r="AB68" i="3"/>
  <c r="Z68" i="3"/>
  <c r="AL95" i="3"/>
  <c r="BZ89" i="3"/>
  <c r="BA86" i="3"/>
  <c r="AW88" i="3"/>
  <c r="AL101" i="3"/>
  <c r="AW80" i="3"/>
  <c r="CB84" i="3"/>
  <c r="BP98" i="3"/>
  <c r="AC80" i="3"/>
  <c r="AT66" i="3"/>
  <c r="BR77" i="3"/>
  <c r="AT80" i="3"/>
  <c r="AO80" i="3"/>
  <c r="N99" i="3"/>
  <c r="AD70" i="3"/>
  <c r="H98" i="3"/>
  <c r="BI83" i="3"/>
  <c r="AR97" i="3"/>
  <c r="BE80" i="3"/>
  <c r="V83" i="3"/>
  <c r="AZ92" i="3"/>
  <c r="AJ80" i="3"/>
  <c r="AL67" i="3"/>
  <c r="AQ66" i="3"/>
  <c r="AE86" i="3"/>
  <c r="Z77" i="3"/>
  <c r="BC79" i="3"/>
  <c r="BR82" i="3"/>
  <c r="BY65" i="3"/>
  <c r="AE100" i="3"/>
  <c r="K77" i="3"/>
  <c r="I86" i="3"/>
  <c r="BU78" i="3"/>
  <c r="S92" i="3"/>
  <c r="Y78" i="3"/>
  <c r="CB78" i="3"/>
  <c r="BT66" i="3"/>
  <c r="BM67" i="3"/>
  <c r="W87" i="3"/>
  <c r="BD95" i="3"/>
  <c r="CG95" i="3"/>
  <c r="AR70" i="3"/>
  <c r="AB100" i="3"/>
  <c r="V65" i="3"/>
  <c r="N82" i="3"/>
  <c r="BL79" i="3"/>
  <c r="Q92" i="3"/>
  <c r="BT91" i="3"/>
  <c r="O99" i="3"/>
  <c r="CA68" i="3"/>
  <c r="AE80" i="3"/>
  <c r="BN93" i="3"/>
  <c r="BB99" i="3"/>
  <c r="BM84" i="3"/>
  <c r="K78" i="3"/>
  <c r="BP73" i="3"/>
  <c r="H96" i="3"/>
  <c r="AQ90" i="3"/>
  <c r="AM65" i="3"/>
  <c r="CD101" i="3"/>
  <c r="BF75" i="3"/>
  <c r="AA86" i="3"/>
  <c r="BB93" i="3"/>
  <c r="AK89" i="3"/>
  <c r="U67" i="3"/>
  <c r="BB65" i="3"/>
  <c r="F88" i="3"/>
  <c r="AH98" i="3"/>
  <c r="AP91" i="3"/>
  <c r="BT69" i="3"/>
  <c r="AO81" i="3"/>
  <c r="BR69" i="3"/>
  <c r="BJ102" i="3"/>
  <c r="L98" i="3"/>
  <c r="AL88" i="3"/>
  <c r="BY78" i="3"/>
  <c r="BE102" i="3"/>
  <c r="AX66" i="3"/>
  <c r="AJ69" i="3"/>
  <c r="T83" i="3"/>
  <c r="BL83" i="3"/>
  <c r="AS66" i="3"/>
  <c r="BG78" i="3"/>
  <c r="BM83" i="3"/>
  <c r="BE77" i="3"/>
  <c r="CF76" i="3"/>
  <c r="V87" i="3"/>
  <c r="X69" i="3"/>
  <c r="AU97" i="3"/>
  <c r="R92" i="3"/>
  <c r="AI66" i="3"/>
  <c r="BB84" i="3"/>
  <c r="M93" i="3"/>
  <c r="BK91" i="3"/>
  <c r="Q81" i="3"/>
  <c r="H97" i="3"/>
  <c r="AN77" i="3"/>
  <c r="AM86" i="3"/>
  <c r="BJ96" i="3"/>
  <c r="V82" i="3"/>
  <c r="AK72" i="3"/>
  <c r="BX83" i="3"/>
  <c r="AL81" i="3"/>
  <c r="Y75" i="3"/>
  <c r="G87" i="3"/>
  <c r="AG75" i="3"/>
  <c r="N70" i="3"/>
  <c r="T99" i="3"/>
  <c r="K72" i="3"/>
  <c r="CG99" i="3"/>
  <c r="I78" i="3"/>
  <c r="BR97" i="3"/>
  <c r="BR88" i="3"/>
  <c r="R66" i="3"/>
  <c r="U91" i="3"/>
  <c r="AI81" i="3"/>
  <c r="BH65" i="3"/>
  <c r="G102" i="3"/>
  <c r="CD73" i="3"/>
  <c r="X102" i="3"/>
  <c r="AX98" i="3"/>
  <c r="AZ70" i="3"/>
  <c r="AG72" i="3"/>
  <c r="H85" i="3"/>
  <c r="BU79" i="3"/>
  <c r="CA79" i="3"/>
  <c r="AR98" i="3"/>
  <c r="BG74" i="3"/>
  <c r="AI90" i="3"/>
  <c r="CG91" i="3"/>
  <c r="Z97" i="3"/>
  <c r="M69" i="3"/>
  <c r="CA97" i="3"/>
  <c r="BB67" i="3"/>
  <c r="CC88" i="3"/>
  <c r="J84" i="3"/>
  <c r="AQ75" i="3"/>
  <c r="AG98" i="3"/>
  <c r="AV101" i="3"/>
  <c r="AA76" i="3"/>
  <c r="F82" i="3"/>
  <c r="BG88" i="3"/>
  <c r="AD95" i="3"/>
  <c r="Y88" i="3"/>
  <c r="X79" i="3"/>
  <c r="AG67" i="3"/>
  <c r="BH99" i="3"/>
  <c r="AV65" i="3"/>
  <c r="W83" i="3"/>
  <c r="BR68" i="3"/>
  <c r="J78" i="3"/>
  <c r="BZ87" i="3"/>
  <c r="BF96" i="3"/>
  <c r="K95" i="3"/>
  <c r="V67" i="3"/>
  <c r="AQ78" i="3"/>
  <c r="BY90" i="3"/>
  <c r="AR67" i="3"/>
  <c r="BY97" i="3"/>
  <c r="AM67" i="3"/>
  <c r="BE95" i="3"/>
  <c r="H102" i="3"/>
  <c r="BC97" i="3"/>
  <c r="T89" i="3"/>
  <c r="L92" i="3"/>
  <c r="J73" i="3"/>
  <c r="K83" i="3"/>
  <c r="BW94" i="3"/>
  <c r="AT93" i="3"/>
  <c r="AN98" i="3"/>
  <c r="CA81" i="3"/>
  <c r="CB79" i="3"/>
  <c r="BM66" i="3"/>
  <c r="AX88" i="3"/>
  <c r="AI79" i="3"/>
  <c r="AS78" i="3"/>
  <c r="BJ87" i="3"/>
  <c r="AT75" i="3"/>
  <c r="CA69" i="3"/>
  <c r="AV97" i="3"/>
  <c r="AC91" i="3"/>
  <c r="AE78" i="3"/>
  <c r="AO87" i="3"/>
  <c r="AY93" i="3"/>
  <c r="AF99" i="3"/>
  <c r="AC99" i="3"/>
  <c r="H66" i="3"/>
  <c r="I70" i="3"/>
  <c r="V72" i="3"/>
  <c r="CA73" i="3"/>
  <c r="AI67" i="3"/>
  <c r="G82" i="3"/>
  <c r="BO83" i="3"/>
  <c r="R90" i="3"/>
  <c r="J95" i="3"/>
  <c r="BZ84" i="3"/>
  <c r="BU99" i="3"/>
  <c r="BS96" i="3"/>
  <c r="BZ82" i="3"/>
  <c r="F101" i="3"/>
  <c r="AC86" i="3"/>
  <c r="AW69" i="3"/>
  <c r="AA77" i="3"/>
  <c r="AC93" i="3"/>
  <c r="V101" i="3"/>
  <c r="BH77" i="3"/>
  <c r="BL73" i="3"/>
  <c r="BU93" i="3"/>
  <c r="AU91" i="3"/>
  <c r="AY65" i="3"/>
  <c r="BI99" i="3"/>
  <c r="AC76" i="3"/>
  <c r="K97" i="3"/>
  <c r="O86" i="3"/>
  <c r="AJ92" i="3"/>
  <c r="BF76" i="3"/>
  <c r="AR87" i="3"/>
  <c r="AA93" i="3"/>
  <c r="X84" i="3"/>
  <c r="BG67" i="3"/>
  <c r="BU70" i="3"/>
  <c r="BM98" i="3"/>
  <c r="S74" i="3"/>
  <c r="AT88" i="3"/>
  <c r="AR66" i="3"/>
  <c r="BR74" i="3"/>
  <c r="AF65" i="3"/>
  <c r="T86" i="3"/>
  <c r="BI69" i="3"/>
  <c r="AA74" i="3"/>
  <c r="BT67" i="3"/>
  <c r="BY70" i="3"/>
  <c r="BJ94" i="3"/>
  <c r="CC90" i="3"/>
  <c r="Z69" i="3"/>
  <c r="BS81" i="3"/>
  <c r="AW84" i="3"/>
  <c r="BC87" i="3"/>
  <c r="AA97" i="3"/>
  <c r="BI66" i="3"/>
  <c r="BP74" i="3"/>
  <c r="BC84" i="3"/>
  <c r="BD75" i="3"/>
  <c r="AT89" i="3"/>
  <c r="BH94" i="3"/>
  <c r="V78" i="3"/>
  <c r="BI90" i="3"/>
  <c r="BG85" i="3"/>
  <c r="CF80" i="3"/>
  <c r="W101" i="3"/>
  <c r="W78" i="3"/>
  <c r="CC83" i="3"/>
  <c r="V88" i="3"/>
  <c r="AD97" i="3"/>
  <c r="AS74" i="3"/>
  <c r="T90" i="3"/>
  <c r="AX86" i="3"/>
  <c r="AC100" i="3"/>
  <c r="BN90" i="3"/>
  <c r="P96" i="3"/>
  <c r="AN81" i="3"/>
  <c r="M76" i="3"/>
  <c r="AZ78" i="3"/>
  <c r="AW83" i="3"/>
  <c r="BI72" i="3"/>
  <c r="U78" i="3"/>
  <c r="BS95" i="3"/>
  <c r="Y96" i="3"/>
  <c r="BT78" i="3"/>
  <c r="AD93" i="3"/>
  <c r="AP101" i="3"/>
  <c r="I66" i="3"/>
  <c r="AW65" i="3"/>
  <c r="AZ91" i="3"/>
  <c r="L75" i="3"/>
  <c r="I88" i="3"/>
  <c r="P69" i="3"/>
  <c r="AV66" i="3"/>
  <c r="AL86" i="3"/>
  <c r="BK79" i="3"/>
  <c r="P80" i="3"/>
  <c r="AH89" i="3"/>
  <c r="N88" i="3"/>
  <c r="AS94" i="3"/>
  <c r="K99" i="3"/>
  <c r="X101" i="3"/>
  <c r="I68" i="3"/>
  <c r="BY96" i="3"/>
  <c r="AA75" i="3"/>
  <c r="AC79" i="3"/>
  <c r="P76" i="3"/>
  <c r="AS70" i="3"/>
  <c r="CG89" i="3"/>
  <c r="AR90" i="3"/>
  <c r="BP89" i="3"/>
  <c r="I95" i="3"/>
  <c r="AG73" i="3"/>
  <c r="AN72" i="3"/>
  <c r="AS81" i="3"/>
  <c r="G78" i="3"/>
  <c r="G100" i="3"/>
  <c r="J94" i="3"/>
  <c r="Z78" i="3"/>
  <c r="AT99" i="3"/>
  <c r="K74" i="3"/>
  <c r="BI77" i="3"/>
  <c r="AF79" i="3"/>
  <c r="AB65" i="3"/>
  <c r="CD88" i="3"/>
  <c r="AV81" i="3"/>
  <c r="AO98" i="3"/>
  <c r="AG91" i="3"/>
  <c r="BH86" i="3"/>
  <c r="AP81" i="3"/>
  <c r="AD94" i="3"/>
  <c r="BR73" i="3"/>
  <c r="J98" i="3"/>
  <c r="BN79" i="3"/>
  <c r="BF70" i="3"/>
  <c r="CG73" i="3"/>
  <c r="K65" i="3"/>
  <c r="AC83" i="3"/>
  <c r="L77" i="3"/>
  <c r="AK96" i="3"/>
  <c r="CD83" i="3"/>
  <c r="L82" i="3"/>
  <c r="AA87" i="3"/>
  <c r="AL80" i="3"/>
  <c r="BJ81" i="3"/>
  <c r="P65" i="3"/>
  <c r="AA68" i="3"/>
  <c r="AQ98" i="3"/>
  <c r="BT73" i="3"/>
  <c r="T81" i="3"/>
  <c r="BY74" i="3"/>
  <c r="BY91" i="3"/>
  <c r="AH94" i="3"/>
  <c r="BP82" i="3"/>
  <c r="W65" i="3"/>
  <c r="AM79" i="3"/>
  <c r="O69" i="3"/>
  <c r="M84" i="3"/>
  <c r="AK91" i="3"/>
  <c r="BN85" i="3"/>
  <c r="CA95" i="3"/>
  <c r="BE87" i="3"/>
  <c r="AU98" i="3"/>
  <c r="BV74" i="3"/>
  <c r="BF102" i="3"/>
  <c r="I74" i="3"/>
  <c r="BZ67" i="3"/>
  <c r="BZ80" i="3"/>
  <c r="BG87" i="3"/>
  <c r="AJ74" i="3"/>
  <c r="AY96" i="3"/>
  <c r="BV73" i="3"/>
  <c r="R74" i="3"/>
  <c r="S67" i="3"/>
  <c r="AI91" i="3"/>
  <c r="L70" i="3"/>
  <c r="S84" i="3"/>
  <c r="T102" i="3"/>
  <c r="W95" i="3"/>
  <c r="AB76" i="3"/>
  <c r="CB77" i="3"/>
  <c r="O93" i="3"/>
  <c r="BP92" i="3"/>
  <c r="BB83" i="3"/>
  <c r="BN89" i="3"/>
  <c r="AX84" i="3"/>
  <c r="BV78" i="3"/>
  <c r="BK80" i="3"/>
  <c r="Q86" i="3"/>
  <c r="CB72" i="3"/>
  <c r="O78" i="3"/>
  <c r="AP99" i="3"/>
  <c r="BQ86" i="3"/>
  <c r="BW77" i="3"/>
  <c r="BV84" i="3"/>
  <c r="BK73" i="3"/>
  <c r="AN65" i="3"/>
  <c r="CF78" i="3"/>
  <c r="AM73" i="3"/>
  <c r="BR91" i="3"/>
  <c r="T74" i="3"/>
  <c r="BM76" i="3"/>
  <c r="CB70" i="3"/>
  <c r="CC89" i="3"/>
  <c r="Z75" i="3"/>
  <c r="AD78" i="3"/>
  <c r="AB78" i="3"/>
  <c r="AP85" i="3"/>
  <c r="L73" i="3"/>
  <c r="R85" i="3"/>
  <c r="Z80" i="3"/>
  <c r="BF83" i="3"/>
  <c r="BK102" i="3"/>
  <c r="AD75" i="3"/>
  <c r="BW72" i="3"/>
  <c r="AI95" i="3"/>
  <c r="BF73" i="3"/>
  <c r="BW86" i="3"/>
  <c r="CG87" i="3"/>
  <c r="CE84" i="3"/>
  <c r="AP68" i="3"/>
  <c r="BE74" i="3"/>
  <c r="F80" i="3"/>
  <c r="N98" i="3"/>
  <c r="CE92" i="3"/>
  <c r="G84" i="3"/>
  <c r="M94" i="3"/>
  <c r="BF78" i="3"/>
  <c r="Y90" i="3"/>
  <c r="BL77" i="3"/>
  <c r="N80" i="3"/>
  <c r="BZ93" i="3"/>
  <c r="BS100" i="3"/>
  <c r="AM85" i="3"/>
  <c r="AH85" i="3"/>
  <c r="AI84" i="3"/>
  <c r="N89" i="3"/>
  <c r="BL94" i="3"/>
  <c r="CF95" i="3"/>
  <c r="L69" i="3"/>
  <c r="BB82" i="3"/>
  <c r="BT74" i="3"/>
  <c r="AC98" i="3"/>
  <c r="AH101" i="3"/>
  <c r="AN74" i="3"/>
  <c r="J93" i="3"/>
  <c r="BR98" i="3"/>
  <c r="M99" i="3"/>
  <c r="BT70" i="3"/>
  <c r="BZ97" i="3"/>
  <c r="BK75" i="3"/>
  <c r="BS65" i="3"/>
  <c r="BB94" i="3"/>
  <c r="AH65" i="3"/>
  <c r="CC66" i="3"/>
  <c r="K102" i="3"/>
  <c r="BY101" i="3"/>
  <c r="BI93" i="3"/>
  <c r="L76" i="3"/>
  <c r="M101" i="3"/>
  <c r="AH74" i="3"/>
  <c r="H89" i="3"/>
  <c r="AP94" i="3"/>
  <c r="G74" i="3"/>
  <c r="T94" i="3"/>
  <c r="R101" i="3"/>
  <c r="AK81" i="3"/>
  <c r="AE81" i="3"/>
  <c r="BN91" i="3"/>
  <c r="K82" i="3"/>
  <c r="U65" i="3"/>
  <c r="AA78" i="3"/>
  <c r="AA83" i="3"/>
  <c r="T79" i="3"/>
  <c r="S72" i="3"/>
  <c r="BF84" i="3"/>
  <c r="AY99" i="3"/>
  <c r="F72" i="3"/>
  <c r="BQ102" i="3"/>
  <c r="G75" i="3"/>
  <c r="F100" i="3"/>
  <c r="BQ74" i="3"/>
  <c r="AE76" i="3"/>
  <c r="AK95" i="3"/>
  <c r="AU68" i="3"/>
  <c r="BC102" i="3"/>
  <c r="CD102" i="3"/>
  <c r="G99" i="3"/>
  <c r="CE91" i="3"/>
  <c r="N93" i="3"/>
  <c r="CB73" i="3"/>
  <c r="AU76" i="3"/>
  <c r="AA73" i="3"/>
  <c r="CC98" i="3"/>
  <c r="CF86" i="3"/>
  <c r="AD79" i="3"/>
  <c r="U92" i="3"/>
  <c r="BL66" i="3"/>
  <c r="BC86" i="3"/>
  <c r="BZ95" i="3"/>
  <c r="CG96" i="3"/>
  <c r="AZ73" i="3"/>
  <c r="BC91" i="3"/>
  <c r="AE85" i="3"/>
  <c r="AF85" i="3"/>
  <c r="BC98" i="3"/>
  <c r="BQ70" i="3"/>
  <c r="BW65" i="3"/>
  <c r="AL85" i="3"/>
  <c r="AE66" i="3"/>
  <c r="AZ68" i="3"/>
  <c r="CG82" i="3"/>
  <c r="AO96" i="3"/>
  <c r="AT102" i="3"/>
  <c r="BG94" i="3"/>
  <c r="BB77" i="3"/>
  <c r="V77" i="3"/>
  <c r="BR65" i="3"/>
  <c r="AA99" i="3"/>
  <c r="AE87" i="3"/>
  <c r="Z84" i="3"/>
  <c r="BF67" i="3"/>
  <c r="AV85" i="3"/>
  <c r="AA84" i="3"/>
  <c r="AX91" i="3"/>
  <c r="AP89" i="3"/>
  <c r="BH93" i="3"/>
  <c r="M65" i="3"/>
  <c r="BF68" i="3"/>
  <c r="I81" i="3"/>
  <c r="W85" i="3"/>
  <c r="BS75" i="3"/>
  <c r="I100" i="3"/>
  <c r="AT73" i="3"/>
  <c r="V76" i="3"/>
  <c r="AG70" i="3"/>
  <c r="AF95" i="3"/>
  <c r="BT83" i="3"/>
  <c r="I72" i="3"/>
  <c r="BY98" i="3"/>
  <c r="BK81" i="3"/>
  <c r="S70" i="3"/>
  <c r="AT101" i="3"/>
  <c r="H101" i="3"/>
  <c r="J76" i="3"/>
  <c r="BD81" i="3"/>
  <c r="BQ91" i="3"/>
  <c r="AY75" i="3"/>
  <c r="AF102" i="3"/>
  <c r="H100" i="3"/>
  <c r="AU95" i="3"/>
  <c r="S77" i="3"/>
  <c r="BQ80" i="3"/>
  <c r="Y81" i="3"/>
  <c r="R86" i="3"/>
  <c r="CC65" i="3"/>
  <c r="CA90" i="3"/>
  <c r="BX89" i="3"/>
  <c r="BH88" i="3"/>
  <c r="R88" i="3"/>
  <c r="AI86" i="3"/>
  <c r="F87" i="3"/>
  <c r="AV88" i="3"/>
  <c r="AD66" i="3"/>
  <c r="S85" i="3"/>
  <c r="CA98" i="3"/>
  <c r="AK87" i="3"/>
  <c r="BC92" i="3"/>
  <c r="BZ96" i="3"/>
  <c r="U99" i="3"/>
  <c r="CF81" i="3"/>
  <c r="AX90" i="3"/>
  <c r="AB83" i="3"/>
  <c r="CG79" i="3"/>
  <c r="U69" i="3"/>
  <c r="AX75" i="3"/>
  <c r="G96" i="3"/>
  <c r="BU77" i="3"/>
  <c r="BP101" i="3"/>
  <c r="AL90" i="3"/>
  <c r="BP68" i="3"/>
  <c r="AI101" i="3"/>
  <c r="S69" i="3"/>
  <c r="AP90" i="3"/>
  <c r="O70" i="3"/>
  <c r="CC87" i="3"/>
  <c r="R73" i="3"/>
  <c r="BY89" i="3"/>
  <c r="Q68" i="3"/>
  <c r="BP80" i="3"/>
  <c r="AN76" i="3"/>
  <c r="BP67" i="3"/>
  <c r="AD86" i="3"/>
  <c r="AC85" i="3"/>
  <c r="BN88" i="3"/>
  <c r="BX77" i="3"/>
  <c r="AU85" i="3"/>
  <c r="T75" i="3"/>
  <c r="AF98" i="3"/>
  <c r="BW91" i="3"/>
  <c r="BB76" i="3"/>
  <c r="BO77" i="3"/>
  <c r="BR81" i="3"/>
  <c r="AU73" i="3"/>
  <c r="BN101" i="3"/>
  <c r="BC85" i="3"/>
  <c r="Y92" i="3"/>
  <c r="Y95" i="3"/>
  <c r="AS85" i="3"/>
  <c r="W89" i="3"/>
  <c r="AK101" i="3"/>
  <c r="AE91" i="3"/>
  <c r="BF72" i="3"/>
  <c r="J100" i="3"/>
  <c r="N97" i="3"/>
  <c r="BV98" i="3"/>
  <c r="AL78" i="3"/>
  <c r="CE81" i="3"/>
  <c r="BL67" i="3"/>
  <c r="BO91" i="3"/>
  <c r="BH81" i="3"/>
  <c r="AT76" i="3"/>
  <c r="AJ98" i="3"/>
  <c r="T101" i="3"/>
  <c r="AB90" i="3"/>
  <c r="BT100" i="3"/>
  <c r="P72" i="3"/>
  <c r="BJ92" i="3"/>
  <c r="K84" i="3"/>
  <c r="AF91" i="3"/>
  <c r="AO68" i="3"/>
  <c r="AA67" i="3"/>
  <c r="BG76" i="3"/>
  <c r="Q97" i="3"/>
  <c r="BX98" i="3"/>
  <c r="AE97" i="3"/>
  <c r="AG89" i="3"/>
  <c r="F75" i="3"/>
  <c r="BT81" i="3"/>
  <c r="AU92" i="3"/>
  <c r="I87" i="3"/>
  <c r="AD77" i="3"/>
  <c r="BF65" i="3"/>
  <c r="AU69" i="3"/>
  <c r="K98" i="3"/>
  <c r="AO82" i="3"/>
  <c r="BO99" i="3"/>
  <c r="M70" i="3"/>
  <c r="AG68" i="3"/>
  <c r="H90" i="3"/>
  <c r="BC78" i="3"/>
  <c r="AG69" i="3"/>
  <c r="AT83" i="3"/>
  <c r="CE72" i="3"/>
  <c r="R67" i="3"/>
  <c r="F84" i="3"/>
  <c r="BY100" i="3"/>
  <c r="S81" i="3"/>
  <c r="AD83" i="3"/>
  <c r="CC73" i="3"/>
  <c r="AL84" i="3"/>
  <c r="BH74" i="3"/>
  <c r="BT86" i="3"/>
  <c r="AO100" i="3"/>
  <c r="AO88" i="3"/>
  <c r="BW93" i="3"/>
  <c r="BT77" i="3"/>
  <c r="BE65" i="3"/>
  <c r="AA70" i="3"/>
  <c r="BX88" i="3"/>
  <c r="BE90" i="3"/>
  <c r="BL91" i="3"/>
  <c r="M72" i="3"/>
  <c r="BR96" i="3"/>
  <c r="BH84" i="3"/>
  <c r="BN70" i="3"/>
  <c r="AY80" i="3"/>
  <c r="CD91" i="3"/>
  <c r="AK73" i="3"/>
  <c r="T97" i="3"/>
  <c r="AM93" i="3"/>
  <c r="AE73" i="3"/>
  <c r="AY102" i="3"/>
  <c r="AO97" i="3"/>
  <c r="BJ101" i="3"/>
  <c r="AN85" i="3"/>
  <c r="CF85" i="3"/>
  <c r="Y76" i="3"/>
  <c r="BO78" i="3"/>
  <c r="H84" i="3"/>
  <c r="AU90" i="3"/>
  <c r="BA81" i="3"/>
  <c r="BL76" i="3"/>
  <c r="T82" i="3"/>
  <c r="BQ69" i="3"/>
  <c r="CB101" i="3"/>
  <c r="J92" i="3"/>
  <c r="BR87" i="3"/>
  <c r="AD73" i="3"/>
  <c r="AU74" i="3"/>
  <c r="BN95" i="3"/>
  <c r="P98" i="3"/>
  <c r="AV98" i="3"/>
  <c r="BN77" i="3"/>
  <c r="CF88" i="3"/>
  <c r="CE79" i="3"/>
  <c r="CD98" i="3"/>
  <c r="CE95" i="3"/>
  <c r="I97" i="3"/>
  <c r="AZ95" i="3"/>
  <c r="AH88" i="3"/>
  <c r="I76" i="3"/>
  <c r="G97" i="3"/>
  <c r="AH82" i="3"/>
  <c r="R78" i="3"/>
  <c r="X89" i="3"/>
  <c r="BJ78" i="3"/>
  <c r="K79" i="3"/>
  <c r="CA83" i="3"/>
  <c r="L78" i="3"/>
  <c r="AH77" i="3"/>
  <c r="CE85" i="3"/>
  <c r="AZ75" i="3"/>
  <c r="H75" i="3"/>
  <c r="R76" i="3"/>
  <c r="N68" i="3"/>
  <c r="CB81" i="3"/>
  <c r="AW93" i="3"/>
  <c r="CC95" i="3"/>
  <c r="BK69" i="3"/>
  <c r="AL69" i="3"/>
  <c r="CG72" i="3"/>
  <c r="AG95" i="3"/>
  <c r="M81" i="3"/>
  <c r="AS92" i="3"/>
  <c r="BY76" i="3"/>
  <c r="AC87" i="3"/>
  <c r="BW79" i="3"/>
  <c r="V92" i="3"/>
  <c r="AH73" i="3"/>
  <c r="M90" i="3"/>
  <c r="BO85" i="3"/>
  <c r="R69" i="3"/>
  <c r="U70" i="3"/>
  <c r="BX90" i="3"/>
  <c r="I67" i="3"/>
  <c r="W66" i="3"/>
  <c r="BD93" i="3"/>
  <c r="BI75" i="3"/>
  <c r="R80" i="3"/>
  <c r="AX96" i="3"/>
  <c r="L72" i="3"/>
  <c r="BL100" i="3"/>
  <c r="Q82" i="3"/>
  <c r="AY84" i="3"/>
  <c r="AM81" i="3"/>
  <c r="BE70" i="3"/>
  <c r="R79" i="3"/>
  <c r="O74" i="3"/>
  <c r="CC70" i="3"/>
  <c r="AN80" i="3"/>
  <c r="AQ73" i="3"/>
  <c r="AH87" i="3"/>
  <c r="W94" i="3"/>
  <c r="AJ77" i="3"/>
  <c r="CB83" i="3"/>
  <c r="Z94" i="3"/>
  <c r="BJ74" i="3"/>
  <c r="AV82" i="3"/>
  <c r="R98" i="3"/>
  <c r="BP91" i="3"/>
  <c r="AB95" i="3"/>
  <c r="BD86" i="3"/>
  <c r="BR92" i="3"/>
  <c r="AM69" i="3"/>
  <c r="BD76" i="3"/>
  <c r="BC82" i="3"/>
  <c r="W79" i="3"/>
  <c r="BX80" i="3"/>
  <c r="BL101" i="3"/>
  <c r="BM87" i="3"/>
  <c r="BQ75" i="3"/>
  <c r="AS77" i="3"/>
  <c r="BX66" i="3"/>
  <c r="V97" i="3"/>
  <c r="AW92" i="3"/>
  <c r="BP86" i="3"/>
  <c r="AW74" i="3"/>
  <c r="AD89" i="3"/>
  <c r="K76" i="3"/>
  <c r="I91" i="3"/>
  <c r="CE100" i="3"/>
  <c r="CD86" i="3"/>
  <c r="N94" i="3"/>
  <c r="AB70" i="3"/>
  <c r="AJ91" i="3"/>
  <c r="BO70" i="3"/>
  <c r="BZ85" i="3"/>
  <c r="AQ91" i="3"/>
  <c r="BX99" i="3"/>
  <c r="AX92" i="3"/>
  <c r="BA102" i="3"/>
  <c r="AR80" i="3"/>
  <c r="BA66" i="3"/>
  <c r="AV68" i="3"/>
  <c r="AK67" i="3"/>
  <c r="BP100" i="3"/>
  <c r="BU97" i="3"/>
  <c r="Y83" i="3"/>
  <c r="P92" i="3"/>
  <c r="AW79" i="3"/>
  <c r="AR65" i="3"/>
  <c r="BC72" i="3"/>
  <c r="I65" i="3"/>
  <c r="CB76" i="3"/>
  <c r="Y69" i="3"/>
  <c r="BJ99" i="3"/>
  <c r="BC68" i="3"/>
  <c r="BC77" i="3"/>
  <c r="BU91" i="3"/>
  <c r="AG83" i="3"/>
  <c r="AJ75" i="3"/>
  <c r="Z100" i="3"/>
  <c r="Z70" i="3"/>
  <c r="AP86" i="3"/>
  <c r="CF83" i="3"/>
  <c r="Z72" i="3"/>
  <c r="CC78" i="3"/>
  <c r="S79" i="3"/>
  <c r="H68" i="3"/>
  <c r="L86" i="3"/>
  <c r="AH91" i="3"/>
  <c r="BQ98" i="3"/>
  <c r="AJ93" i="3"/>
  <c r="BG91" i="3"/>
  <c r="AJ95" i="3"/>
  <c r="BC99" i="3"/>
  <c r="CG75" i="3"/>
  <c r="O66" i="3"/>
  <c r="S90" i="3"/>
  <c r="AV99" i="3"/>
  <c r="AC73" i="3"/>
  <c r="BH72" i="3"/>
  <c r="BS93" i="3"/>
  <c r="P70" i="3"/>
  <c r="AX80" i="3"/>
  <c r="L81" i="3"/>
  <c r="AS98" i="3"/>
  <c r="AC70" i="3"/>
  <c r="CC94" i="3"/>
  <c r="U95" i="3"/>
  <c r="AC74" i="3"/>
  <c r="AR96" i="3"/>
  <c r="AM72" i="3"/>
  <c r="CE88" i="3"/>
  <c r="L96" i="3"/>
  <c r="AB87" i="3"/>
  <c r="L89" i="3"/>
  <c r="BB66" i="3"/>
  <c r="BU94" i="3"/>
  <c r="AN73" i="3"/>
  <c r="J77" i="3"/>
  <c r="BF85" i="3"/>
  <c r="AP93" i="3"/>
  <c r="AU66" i="3"/>
  <c r="P82" i="3"/>
  <c r="H92" i="3"/>
  <c r="BX79" i="3"/>
  <c r="BV82" i="3"/>
  <c r="L99" i="3"/>
  <c r="AQ76" i="3"/>
  <c r="BZ65" i="3"/>
  <c r="S100" i="3"/>
  <c r="BQ78" i="3"/>
  <c r="AS69" i="3"/>
  <c r="V96" i="3"/>
  <c r="S91" i="3"/>
  <c r="AY83" i="3"/>
  <c r="BY88" i="3"/>
  <c r="CD74" i="3"/>
  <c r="BW90" i="3"/>
  <c r="F102" i="3"/>
  <c r="AZ102" i="3"/>
  <c r="AY90" i="3"/>
  <c r="AQ77" i="3"/>
  <c r="BV67" i="3"/>
  <c r="CF102" i="3"/>
  <c r="BV76" i="3"/>
  <c r="AW75" i="3"/>
  <c r="BO66" i="3"/>
  <c r="AU83" i="3"/>
  <c r="Q76" i="3"/>
  <c r="CF73" i="3"/>
  <c r="BF93" i="3"/>
  <c r="BY92" i="3"/>
  <c r="CA74" i="3"/>
  <c r="BF95" i="3"/>
  <c r="AF92" i="3"/>
  <c r="BA85" i="3"/>
  <c r="AD81" i="3"/>
  <c r="AK80" i="3"/>
  <c r="F69" i="3"/>
  <c r="BP99" i="3"/>
  <c r="H76" i="3"/>
  <c r="P73" i="3"/>
  <c r="BJ69" i="3"/>
  <c r="W102" i="3"/>
  <c r="AT85" i="3"/>
  <c r="BX67" i="3"/>
  <c r="BQ67" i="3"/>
  <c r="J86" i="3"/>
  <c r="O89" i="3"/>
  <c r="I99" i="3"/>
  <c r="BX72" i="3"/>
  <c r="CF101" i="3"/>
  <c r="AV73" i="3"/>
  <c r="Z67" i="3"/>
  <c r="BR102" i="3"/>
  <c r="V84" i="3"/>
  <c r="AR85" i="3"/>
  <c r="AG66" i="3"/>
  <c r="BG69" i="3"/>
  <c r="AX77" i="3"/>
  <c r="AJ68" i="3"/>
  <c r="AP78" i="3"/>
  <c r="BS101" i="3"/>
  <c r="U88" i="3"/>
  <c r="BH90" i="3"/>
  <c r="BD101" i="3"/>
  <c r="BL92" i="3"/>
  <c r="BB75" i="3"/>
  <c r="M68" i="3"/>
  <c r="BV85" i="3"/>
  <c r="BI68" i="3"/>
  <c r="AC95" i="3"/>
  <c r="BJ65" i="3"/>
  <c r="M88" i="3"/>
  <c r="T76" i="3"/>
  <c r="BJ66" i="3"/>
  <c r="N95" i="3"/>
  <c r="AI83" i="3"/>
  <c r="T87" i="3"/>
  <c r="BG102" i="3"/>
  <c r="AW67" i="3"/>
  <c r="AE72" i="3"/>
  <c r="BA78" i="3"/>
  <c r="AG79" i="3"/>
  <c r="BV72" i="3"/>
  <c r="CA96" i="3"/>
  <c r="AT78" i="3"/>
  <c r="BE69" i="3"/>
  <c r="K68" i="3"/>
  <c r="AN90" i="3"/>
  <c r="AI73" i="3"/>
  <c r="AT98" i="3"/>
  <c r="AK102" i="3"/>
  <c r="AM78" i="3"/>
  <c r="S76" i="3"/>
  <c r="BV100" i="3"/>
  <c r="AO70" i="3"/>
  <c r="AK70" i="3"/>
  <c r="Y93" i="3"/>
  <c r="AV83" i="3"/>
  <c r="Q67" i="3"/>
  <c r="BG82" i="3"/>
  <c r="AG102" i="3"/>
  <c r="U74" i="3"/>
  <c r="AO90" i="3"/>
  <c r="Q70" i="3"/>
  <c r="AM94" i="3"/>
  <c r="AJ97" i="3"/>
  <c r="BM95" i="3"/>
  <c r="CB75" i="3"/>
  <c r="K89" i="3"/>
  <c r="AW76" i="3"/>
  <c r="CC85" i="3"/>
  <c r="BX96" i="3"/>
  <c r="CD79" i="3"/>
  <c r="CF84" i="3"/>
  <c r="AD67" i="3"/>
  <c r="M86" i="3"/>
  <c r="AE65" i="3"/>
  <c r="Y98" i="3"/>
  <c r="AU75" i="3"/>
  <c r="AR93" i="3"/>
  <c r="BP97" i="3"/>
  <c r="V70" i="3"/>
  <c r="X76" i="3"/>
  <c r="AR72" i="3"/>
  <c r="AF80" i="3"/>
  <c r="AW100" i="3"/>
  <c r="BS88" i="3"/>
  <c r="AB89" i="3"/>
  <c r="CC69" i="3"/>
  <c r="BK89" i="3"/>
  <c r="U66" i="3"/>
  <c r="M80" i="3"/>
  <c r="AA92" i="3"/>
  <c r="O87" i="3"/>
  <c r="Q65" i="3"/>
  <c r="BF94" i="3"/>
  <c r="AN96" i="3"/>
  <c r="BA101" i="3"/>
  <c r="AF94" i="3"/>
  <c r="S89" i="3"/>
  <c r="AN101" i="3"/>
  <c r="J75" i="3"/>
  <c r="BQ81" i="3"/>
  <c r="AI65" i="3"/>
  <c r="AN88" i="3"/>
  <c r="BB91" i="3"/>
  <c r="AA65" i="3"/>
  <c r="J88" i="3"/>
  <c r="AV102" i="3"/>
  <c r="BY99" i="3"/>
  <c r="AO78" i="3"/>
  <c r="P75" i="3"/>
  <c r="P77" i="3"/>
  <c r="BV70" i="3"/>
  <c r="BO88" i="3"/>
  <c r="BO79" i="3"/>
  <c r="U80" i="3"/>
  <c r="BP93" i="3"/>
  <c r="BJ79" i="3"/>
  <c r="Y94" i="3"/>
  <c r="AF86" i="3"/>
  <c r="K93" i="3"/>
  <c r="BM93" i="3"/>
  <c r="M95" i="3"/>
  <c r="BU89" i="3"/>
  <c r="AY68" i="3"/>
  <c r="J72" i="3"/>
  <c r="BT75" i="3"/>
  <c r="BL93" i="3"/>
  <c r="AW72" i="3"/>
  <c r="CD92" i="3"/>
  <c r="AD101" i="3"/>
  <c r="Y66" i="3"/>
  <c r="AM87" i="3"/>
  <c r="BT65" i="3"/>
  <c r="H99" i="3"/>
  <c r="CD84" i="3"/>
  <c r="BD78" i="3"/>
  <c r="BK93" i="3"/>
  <c r="K100" i="3"/>
  <c r="BU65" i="3"/>
  <c r="BZ75" i="3"/>
  <c r="BN80" i="3"/>
  <c r="AQ86" i="3"/>
  <c r="CB96" i="3"/>
  <c r="BJ72" i="3"/>
  <c r="AZ82" i="3"/>
  <c r="R87" i="3"/>
  <c r="BK97" i="3"/>
  <c r="H91" i="3"/>
  <c r="BJ91" i="3"/>
  <c r="G69" i="3"/>
  <c r="L87" i="3"/>
  <c r="BA70" i="3"/>
  <c r="BM92" i="3"/>
  <c r="AV84" i="3"/>
  <c r="AB91" i="3"/>
  <c r="BT72" i="3"/>
  <c r="BC65" i="3"/>
  <c r="CA92" i="3"/>
  <c r="X96" i="3"/>
  <c r="BC95" i="3"/>
  <c r="AD92" i="3"/>
  <c r="CC67" i="3"/>
  <c r="BW82" i="3"/>
  <c r="BF90" i="3"/>
  <c r="Q66" i="3"/>
  <c r="CD72" i="3"/>
  <c r="AB69" i="3"/>
  <c r="V98" i="3"/>
  <c r="CG90" i="3"/>
  <c r="J79" i="3"/>
  <c r="H95" i="3"/>
  <c r="AV95" i="3"/>
  <c r="BY67" i="3"/>
  <c r="BU88" i="3"/>
  <c r="AV92" i="3"/>
  <c r="BD79" i="3"/>
  <c r="BH87" i="3"/>
  <c r="BB88" i="3"/>
  <c r="BK72" i="3"/>
  <c r="BP96" i="3"/>
  <c r="AF101" i="3"/>
  <c r="BL69" i="3"/>
  <c r="CB66" i="3"/>
  <c r="Z87" i="3"/>
  <c r="AQ80" i="3"/>
  <c r="AM77" i="3"/>
  <c r="BU98" i="3"/>
  <c r="F78" i="3"/>
  <c r="BW83" i="3"/>
  <c r="AK79" i="3"/>
  <c r="BJ68" i="3"/>
  <c r="BA77" i="3"/>
  <c r="BD94" i="3"/>
  <c r="BI102" i="3"/>
  <c r="AK84" i="3"/>
  <c r="BM88" i="3"/>
  <c r="AS73" i="3"/>
  <c r="BR95" i="3"/>
  <c r="L90" i="3"/>
  <c r="AJ73" i="3"/>
  <c r="N77" i="3"/>
  <c r="BI94" i="3"/>
  <c r="AH81" i="3"/>
  <c r="BS94" i="3"/>
  <c r="I85" i="3"/>
  <c r="Z88" i="3"/>
  <c r="BH102" i="3"/>
  <c r="AI72" i="3"/>
  <c r="BL95" i="3"/>
  <c r="AG84" i="3"/>
  <c r="BA92" i="3"/>
  <c r="CC79" i="3"/>
  <c r="AV69" i="3"/>
  <c r="AJ79" i="3"/>
  <c r="BU66" i="3"/>
  <c r="AR102" i="3"/>
  <c r="R65" i="3"/>
  <c r="AT87" i="3"/>
  <c r="M87" i="3"/>
  <c r="I79" i="3"/>
  <c r="AU86" i="3"/>
  <c r="W68" i="3"/>
  <c r="AI92" i="3"/>
  <c r="AK68" i="3"/>
  <c r="BV88" i="3"/>
  <c r="AN83" i="3"/>
  <c r="AS68" i="3"/>
  <c r="BV80" i="3"/>
  <c r="BK70" i="3"/>
  <c r="AF67" i="3"/>
  <c r="AA98" i="3"/>
  <c r="AI68" i="3"/>
  <c r="CB87" i="3"/>
  <c r="CB93" i="3"/>
  <c r="M73" i="3"/>
  <c r="BD68" i="3"/>
  <c r="S78" i="3"/>
  <c r="H65" i="3"/>
  <c r="F68" i="3"/>
  <c r="BQ82" i="3"/>
  <c r="BF98" i="3"/>
  <c r="BW70" i="3"/>
  <c r="AN68" i="3"/>
  <c r="AT70" i="3"/>
  <c r="AX70" i="3"/>
  <c r="BN76" i="3"/>
  <c r="BP85" i="3"/>
  <c r="BO81" i="3"/>
  <c r="BP95" i="3"/>
  <c r="BC83" i="3"/>
  <c r="AW96" i="3"/>
  <c r="BL72" i="3"/>
  <c r="Y99" i="3"/>
  <c r="AJ88" i="3"/>
  <c r="AC77" i="3"/>
  <c r="AB72" i="3"/>
  <c r="P95" i="3"/>
  <c r="K101" i="3"/>
  <c r="BW68" i="3"/>
  <c r="BN84" i="3"/>
  <c r="BK99" i="3"/>
  <c r="AL91" i="3"/>
  <c r="BO93" i="3"/>
  <c r="X80" i="3"/>
  <c r="AY73" i="3"/>
  <c r="AN70" i="3"/>
  <c r="BI80" i="3"/>
  <c r="AJ84" i="3"/>
  <c r="BK87" i="3"/>
  <c r="BZ66" i="3"/>
  <c r="BN72" i="3"/>
  <c r="CB74" i="3"/>
  <c r="S65" i="3"/>
  <c r="AY95" i="3"/>
  <c r="BG81" i="3"/>
  <c r="AT67" i="3"/>
  <c r="AF96" i="3"/>
  <c r="AY74" i="3"/>
  <c r="X93" i="3"/>
  <c r="CC91" i="3"/>
  <c r="AJ102" i="3"/>
  <c r="CE94" i="3"/>
  <c r="BP102" i="3"/>
  <c r="H93" i="3"/>
  <c r="CB68" i="3"/>
  <c r="I90" i="3"/>
  <c r="BR90" i="3"/>
  <c r="BX82" i="3"/>
  <c r="BP75" i="3"/>
  <c r="AF93" i="3"/>
  <c r="AK92" i="3"/>
  <c r="BS98" i="3"/>
  <c r="BK66" i="3"/>
  <c r="J90" i="3"/>
  <c r="BB89" i="3"/>
  <c r="BJ82" i="3"/>
  <c r="AW101" i="3"/>
  <c r="BE98" i="3"/>
  <c r="BW98" i="3"/>
  <c r="BM72" i="3"/>
  <c r="AL79" i="3"/>
  <c r="J66" i="3"/>
  <c r="BH83" i="3"/>
  <c r="N76" i="3"/>
  <c r="BF79" i="3"/>
  <c r="AA85" i="3"/>
  <c r="BH97" i="3"/>
  <c r="Y100" i="3"/>
  <c r="AL72" i="3"/>
  <c r="AW81" i="3"/>
  <c r="AJ85" i="3"/>
  <c r="AK69" i="3"/>
  <c r="AX81" i="3"/>
  <c r="BR76" i="3"/>
  <c r="CF94" i="3"/>
  <c r="W69" i="3"/>
  <c r="BZ69" i="3"/>
  <c r="AQ70" i="3"/>
  <c r="Q91" i="3"/>
  <c r="BX102" i="3"/>
  <c r="BI81" i="3"/>
  <c r="AG101" i="3"/>
  <c r="CC77" i="3"/>
  <c r="AX72" i="3"/>
  <c r="CB65" i="3"/>
  <c r="BM81" i="3"/>
  <c r="AE92" i="3"/>
  <c r="AT81" i="3"/>
  <c r="AA82" i="3"/>
  <c r="CF100" i="3"/>
  <c r="BU73" i="3"/>
  <c r="BB86" i="3"/>
  <c r="V85" i="3"/>
  <c r="S94" i="3"/>
  <c r="AS95" i="3"/>
  <c r="P94" i="3"/>
  <c r="BY87" i="3"/>
  <c r="AQ65" i="3"/>
  <c r="BO95" i="3"/>
  <c r="T85" i="3"/>
  <c r="BS102" i="3"/>
  <c r="AD91" i="3"/>
  <c r="AX89" i="3"/>
  <c r="BA99" i="3"/>
  <c r="AF97" i="3"/>
  <c r="BR80" i="3"/>
  <c r="AM91" i="3"/>
  <c r="N86" i="3"/>
  <c r="BW96" i="3"/>
  <c r="BB97" i="3"/>
  <c r="F73" i="3"/>
  <c r="Q100" i="3"/>
  <c r="BC69" i="3"/>
  <c r="BY85" i="3"/>
  <c r="BJ70" i="3"/>
  <c r="BJ85" i="3"/>
  <c r="BH78" i="3"/>
  <c r="BP87" i="3"/>
  <c r="AI82" i="3"/>
  <c r="AO99" i="3"/>
  <c r="AN89" i="3"/>
  <c r="V95" i="3"/>
  <c r="Z101" i="3"/>
  <c r="BT80" i="3"/>
  <c r="AP70" i="3"/>
  <c r="T72" i="3"/>
  <c r="BI91" i="3"/>
  <c r="BF91" i="3"/>
  <c r="R97" i="3"/>
  <c r="BC70" i="3"/>
  <c r="BG101" i="3"/>
  <c r="CE90" i="3"/>
  <c r="AJ87" i="3"/>
  <c r="AE70" i="3"/>
  <c r="W92" i="3"/>
  <c r="AE83" i="3"/>
  <c r="AW97" i="3"/>
  <c r="X90" i="3"/>
  <c r="AB86" i="3"/>
  <c r="BP70" i="3"/>
  <c r="AM97" i="3"/>
  <c r="AE69" i="3"/>
  <c r="AK75" i="3"/>
  <c r="F77" i="3"/>
  <c r="AI69" i="3"/>
  <c r="BX93" i="3"/>
  <c r="BO67" i="3"/>
  <c r="AM74" i="3"/>
  <c r="BL74" i="3"/>
  <c r="W100" i="3"/>
  <c r="CD80" i="3"/>
  <c r="H86" i="3"/>
  <c r="CD81" i="3"/>
  <c r="AP67" i="3"/>
  <c r="V68" i="3"/>
  <c r="BQ94" i="3"/>
  <c r="BY84" i="3"/>
  <c r="G77" i="3"/>
  <c r="BH76" i="3"/>
  <c r="AL87" i="3"/>
  <c r="J99" i="3"/>
  <c r="O94" i="3"/>
  <c r="AR73" i="3"/>
  <c r="O92" i="3"/>
  <c r="Z98" i="3"/>
  <c r="BW87" i="3"/>
  <c r="BO73" i="3"/>
  <c r="BU90" i="3"/>
  <c r="BN87" i="3"/>
  <c r="AJ81" i="3"/>
  <c r="AO101" i="3"/>
  <c r="X78" i="3"/>
  <c r="BM85" i="3"/>
  <c r="BJ73" i="3"/>
  <c r="BI84" i="3"/>
  <c r="K70" i="3"/>
  <c r="AZ87" i="3"/>
  <c r="BK95" i="3"/>
  <c r="BU95" i="3"/>
  <c r="H78" i="3"/>
  <c r="AH93" i="3"/>
  <c r="AN91" i="3"/>
  <c r="AL73" i="3"/>
  <c r="T98" i="3"/>
  <c r="BY102" i="3"/>
  <c r="BB74" i="3"/>
  <c r="BD87" i="3"/>
  <c r="BE100" i="3"/>
  <c r="BN86" i="3"/>
  <c r="Y73" i="3"/>
  <c r="AZ84" i="3"/>
  <c r="AK77" i="3"/>
  <c r="AG80" i="3"/>
  <c r="BZ77" i="3"/>
  <c r="AX79" i="3"/>
  <c r="BE84" i="3"/>
  <c r="O96" i="3"/>
  <c r="BG77" i="3"/>
  <c r="W99" i="3"/>
  <c r="BL70" i="3"/>
  <c r="AU72" i="3"/>
  <c r="AR91" i="3"/>
  <c r="BR93" i="3"/>
  <c r="BM68" i="3"/>
  <c r="BO92" i="3"/>
  <c r="O67" i="3"/>
  <c r="CF77" i="3"/>
  <c r="BA96" i="3"/>
  <c r="AY92" i="3"/>
  <c r="BD88" i="3"/>
  <c r="J82" i="3"/>
  <c r="I69" i="3"/>
  <c r="BD84" i="3"/>
  <c r="AV74" i="3"/>
  <c r="Z79" i="3"/>
  <c r="BT97" i="3"/>
  <c r="BI101" i="3"/>
  <c r="J102" i="3"/>
  <c r="AL83" i="3"/>
  <c r="BO90" i="3"/>
  <c r="O95" i="3"/>
  <c r="AH96" i="3"/>
  <c r="BC76" i="3"/>
  <c r="AZ83" i="3"/>
  <c r="BE83" i="3"/>
  <c r="X75" i="3"/>
  <c r="AU82" i="3"/>
  <c r="AW87" i="3"/>
  <c r="AX85" i="3"/>
  <c r="BJ77" i="3"/>
  <c r="AY66" i="3"/>
  <c r="CA77" i="3"/>
  <c r="CA75" i="3"/>
  <c r="P100" i="3"/>
  <c r="AG65" i="3"/>
  <c r="BX91" i="3"/>
  <c r="BA75" i="3"/>
  <c r="L65" i="3"/>
  <c r="AS88" i="3"/>
  <c r="BJ75" i="3"/>
  <c r="P102" i="3"/>
  <c r="AO66" i="3"/>
  <c r="X74" i="3"/>
  <c r="AI85" i="3"/>
  <c r="BU92" i="3"/>
  <c r="BI87" i="3"/>
  <c r="W81" i="3"/>
  <c r="CC86" i="3"/>
  <c r="CG98" i="3"/>
  <c r="AI74" i="3"/>
  <c r="BP83" i="3"/>
  <c r="AA80" i="3"/>
  <c r="BK92" i="3"/>
  <c r="AT92" i="3"/>
  <c r="V100" i="3"/>
  <c r="AO91" i="3"/>
  <c r="AJ70" i="3"/>
  <c r="AP80" i="3"/>
  <c r="AY67" i="3"/>
  <c r="AO79" i="3"/>
  <c r="R95" i="3"/>
  <c r="V89" i="3"/>
  <c r="BV90" i="3"/>
  <c r="BH101" i="3"/>
  <c r="BI67" i="3"/>
  <c r="BT90" i="3"/>
  <c r="BM74" i="3"/>
  <c r="BG100" i="3"/>
  <c r="BP81" i="3"/>
  <c r="AF82" i="3"/>
  <c r="BA87" i="3"/>
  <c r="AW98" i="3"/>
  <c r="BY81" i="3"/>
  <c r="AT68" i="3"/>
  <c r="S88" i="3"/>
  <c r="CA89" i="3"/>
  <c r="CA84" i="3"/>
  <c r="CF92" i="3"/>
  <c r="AD85" i="3"/>
  <c r="BL98" i="3"/>
  <c r="I83" i="3"/>
  <c r="AM80" i="3"/>
  <c r="O76" i="3"/>
  <c r="BL89" i="3"/>
  <c r="BQ72" i="3"/>
  <c r="BN100" i="3"/>
  <c r="AY76" i="3"/>
  <c r="S82" i="3"/>
  <c r="AK86" i="3"/>
  <c r="G65" i="3"/>
  <c r="P79" i="3"/>
  <c r="BO82" i="3"/>
  <c r="CC74" i="3"/>
  <c r="BX65" i="3"/>
  <c r="AQ88" i="3"/>
  <c r="BB92" i="3"/>
  <c r="R68" i="3"/>
  <c r="BH73" i="3"/>
  <c r="AB98" i="3"/>
  <c r="BQ73" i="3"/>
  <c r="BL84" i="3"/>
  <c r="U96" i="3"/>
  <c r="AI99" i="3"/>
  <c r="F79" i="3"/>
  <c r="AM95" i="3"/>
  <c r="AW73" i="3"/>
  <c r="CE97" i="3"/>
  <c r="M74" i="3"/>
  <c r="Z89" i="3"/>
  <c r="AS99" i="3"/>
  <c r="AH86" i="3"/>
  <c r="W75" i="3"/>
  <c r="U83" i="3"/>
  <c r="BD85" i="3"/>
  <c r="AY77" i="3"/>
  <c r="K90" i="3"/>
  <c r="BA69" i="3"/>
  <c r="BK78" i="3"/>
  <c r="CG94" i="3"/>
  <c r="AD102" i="3"/>
  <c r="AW68" i="3"/>
  <c r="G76" i="3"/>
  <c r="BN97" i="3"/>
  <c r="AA81" i="3"/>
  <c r="BR70" i="3"/>
  <c r="BX84" i="3"/>
  <c r="AK99" i="3"/>
  <c r="BR78" i="3"/>
  <c r="BM69" i="3"/>
  <c r="BV93" i="3"/>
  <c r="BN74" i="3"/>
  <c r="S66" i="3"/>
  <c r="AN97" i="3"/>
  <c r="CG88" i="3"/>
  <c r="AZ88" i="3"/>
  <c r="BZ92" i="3"/>
  <c r="AY81" i="3"/>
  <c r="AX87" i="3"/>
  <c r="CE93" i="3"/>
  <c r="BH66" i="3"/>
  <c r="AG86" i="3"/>
  <c r="L83" i="3"/>
  <c r="AM70" i="3"/>
  <c r="BN94" i="3"/>
  <c r="CG74" i="3"/>
  <c r="AE84" i="3"/>
  <c r="BD98" i="3"/>
  <c r="AN66" i="3"/>
  <c r="BZ81" i="3"/>
  <c r="BA68" i="3"/>
  <c r="AK65" i="3"/>
  <c r="X82" i="3"/>
  <c r="AO93" i="3"/>
  <c r="BL82" i="3"/>
  <c r="AC89" i="3"/>
  <c r="CF89" i="3"/>
  <c r="BK65" i="3"/>
  <c r="N84" i="3"/>
  <c r="BV97" i="3"/>
  <c r="AJ96" i="3"/>
  <c r="Y72" i="3"/>
  <c r="BH92" i="3"/>
  <c r="AD98" i="3"/>
  <c r="AP75" i="3"/>
  <c r="F96" i="3"/>
  <c r="CE78" i="3"/>
  <c r="BL90" i="3"/>
  <c r="BA100" i="3"/>
  <c r="BR85" i="3"/>
  <c r="P99" i="3"/>
  <c r="AB81" i="3"/>
  <c r="AV72" i="3"/>
  <c r="BW80" i="3"/>
  <c r="BH69" i="3"/>
  <c r="BJ100" i="3"/>
  <c r="J89" i="3"/>
  <c r="BB70" i="3"/>
  <c r="BW75" i="3"/>
  <c r="AK74" i="3"/>
  <c r="AR84" i="3"/>
  <c r="BL75" i="3"/>
  <c r="BP79" i="3"/>
  <c r="I75" i="3"/>
  <c r="AS93" i="3"/>
  <c r="BN68" i="3"/>
  <c r="AY87" i="3"/>
  <c r="BU87" i="3"/>
  <c r="BT68" i="3"/>
  <c r="AU77" i="3"/>
  <c r="BO84" i="3"/>
  <c r="F81" i="3"/>
  <c r="BY82" i="3"/>
  <c r="AV100" i="3"/>
  <c r="BR89" i="3"/>
  <c r="AP83" i="3"/>
  <c r="S102" i="3"/>
  <c r="AA91" i="3"/>
  <c r="AZ69" i="3"/>
  <c r="AN78" i="3"/>
  <c r="BC96" i="3"/>
  <c r="AF89" i="3"/>
  <c r="BC74" i="3"/>
  <c r="CG97" i="3"/>
  <c r="P88" i="3"/>
  <c r="K80" i="3"/>
  <c r="AR77" i="3"/>
  <c r="AU89" i="3"/>
  <c r="G89" i="3"/>
  <c r="BG79" i="3"/>
  <c r="AE89" i="3"/>
  <c r="AL68" i="3"/>
  <c r="BZ76" i="3"/>
  <c r="X88" i="3"/>
  <c r="AI75" i="3"/>
  <c r="BS85" i="3"/>
  <c r="CD78" i="3"/>
  <c r="BX95" i="3"/>
  <c r="AB80" i="3"/>
  <c r="BM102" i="3"/>
  <c r="AF70" i="3"/>
  <c r="N69" i="3"/>
  <c r="Z65" i="3"/>
  <c r="J81" i="3"/>
  <c r="AC101" i="3"/>
  <c r="CC82" i="3"/>
  <c r="BM75" i="3"/>
  <c r="BV81" i="3"/>
  <c r="BT76" i="3"/>
  <c r="BC73" i="3"/>
  <c r="BS82" i="3"/>
  <c r="BO68" i="3"/>
  <c r="O72" i="3"/>
  <c r="M92" i="3"/>
  <c r="AT96" i="3"/>
  <c r="AU94" i="3"/>
  <c r="BA67" i="3"/>
  <c r="O98" i="3"/>
  <c r="BM101" i="3"/>
  <c r="BT95" i="3"/>
  <c r="BW66" i="3"/>
  <c r="BP65" i="3"/>
  <c r="W67" i="3"/>
  <c r="AA102" i="3"/>
  <c r="T78" i="3"/>
  <c r="AM84" i="3"/>
  <c r="AQ83" i="3"/>
  <c r="AO92" i="3"/>
  <c r="AF76" i="3"/>
  <c r="V73" i="3"/>
  <c r="BD70" i="3"/>
  <c r="BF82" i="3"/>
  <c r="Z81" i="3"/>
  <c r="AS83" i="3"/>
  <c r="W80" i="3"/>
  <c r="BF74" i="3"/>
  <c r="Q84" i="3"/>
  <c r="BO100" i="3"/>
  <c r="BA93" i="3"/>
  <c r="AA66" i="3"/>
  <c r="BY75" i="3"/>
  <c r="BZ68" i="3"/>
  <c r="AB79" i="3"/>
  <c r="O77" i="3"/>
  <c r="AV75" i="3"/>
  <c r="AK98" i="3"/>
  <c r="BH95" i="3"/>
  <c r="BX74" i="3"/>
  <c r="AF83" i="3"/>
  <c r="AD88" i="3"/>
  <c r="AW66" i="3"/>
  <c r="BO86" i="3"/>
  <c r="AN99" i="3"/>
  <c r="BD96" i="3"/>
  <c r="BX87" i="3"/>
  <c r="CD94" i="3"/>
  <c r="AN84" i="3"/>
  <c r="AV89" i="3"/>
  <c r="BQ101" i="3"/>
  <c r="BH67" i="3"/>
  <c r="AP87" i="3"/>
  <c r="BR84" i="3"/>
  <c r="AU87" i="3"/>
  <c r="J67" i="3"/>
  <c r="AC82" i="3"/>
  <c r="BD73" i="3"/>
  <c r="AC84" i="3"/>
  <c r="AM82" i="3"/>
  <c r="AY86" i="3"/>
  <c r="AJ90" i="3"/>
  <c r="AB96" i="3"/>
  <c r="BE68" i="3"/>
  <c r="BM97" i="3"/>
  <c r="AM99" i="3"/>
  <c r="I93" i="3"/>
  <c r="BZ86" i="3"/>
  <c r="CG78" i="3"/>
  <c r="J96" i="3"/>
  <c r="Z74" i="3"/>
  <c r="BM86" i="3"/>
  <c r="Q98" i="3"/>
  <c r="AF73" i="3"/>
  <c r="S95" i="3"/>
  <c r="I102" i="3"/>
  <c r="AU93" i="3"/>
  <c r="CC93" i="3"/>
  <c r="CG80" i="3"/>
  <c r="BV101" i="3"/>
  <c r="BA74" i="3"/>
  <c r="Z86" i="3"/>
  <c r="BX86" i="3"/>
  <c r="G88" i="3"/>
  <c r="BG97" i="3"/>
  <c r="X66" i="3"/>
  <c r="AU84" i="3"/>
  <c r="BM100" i="3"/>
  <c r="BB100" i="3"/>
  <c r="I82" i="3"/>
  <c r="Y101" i="3"/>
  <c r="AG96" i="3"/>
  <c r="AB74" i="3"/>
  <c r="BP66" i="3"/>
  <c r="V91" i="3"/>
  <c r="BZ83" i="3"/>
  <c r="X91" i="3"/>
  <c r="O85" i="3"/>
  <c r="BS99" i="3"/>
  <c r="Y89" i="3"/>
  <c r="BB95" i="3"/>
  <c r="H82" i="3"/>
  <c r="CA99" i="3"/>
  <c r="BA98" i="3"/>
  <c r="I77" i="3"/>
  <c r="AL96" i="3"/>
  <c r="BG73" i="3"/>
  <c r="AG92" i="3"/>
  <c r="BK90" i="3"/>
  <c r="P90" i="3"/>
  <c r="F95" i="3"/>
  <c r="X77" i="3"/>
  <c r="BJ88" i="3"/>
  <c r="BE85" i="3"/>
  <c r="CF99" i="3"/>
  <c r="BK86" i="3"/>
  <c r="AB75" i="3"/>
  <c r="CB69" i="3"/>
  <c r="AJ99" i="3"/>
  <c r="S68" i="3"/>
  <c r="BS97" i="3"/>
  <c r="AO65" i="3"/>
  <c r="AB66" i="3"/>
  <c r="AS80" i="3"/>
  <c r="BA76" i="3"/>
  <c r="AP98" i="3"/>
  <c r="AX97" i="3"/>
  <c r="AB73" i="3"/>
  <c r="CD99" i="3"/>
  <c r="AY79" i="3"/>
  <c r="BF88" i="3"/>
  <c r="CD85" i="3"/>
  <c r="R75" i="3"/>
  <c r="BJ84" i="3"/>
  <c r="BU100" i="3"/>
  <c r="AR88" i="3"/>
  <c r="CA100" i="3"/>
  <c r="CE98" i="3"/>
  <c r="BL87" i="3"/>
  <c r="AR76" i="3"/>
  <c r="BU83" i="3"/>
  <c r="BW84" i="3"/>
  <c r="G101" i="3"/>
  <c r="AG81" i="3"/>
  <c r="BW78" i="3"/>
  <c r="AZ77" i="3"/>
  <c r="X99" i="3"/>
  <c r="BZ91" i="3"/>
  <c r="AZ101" i="3"/>
  <c r="W82" i="3"/>
  <c r="BI74" i="3"/>
  <c r="BB80" i="3"/>
  <c r="AV79" i="3"/>
  <c r="L100" i="3"/>
  <c r="Q78" i="3"/>
  <c r="CC92" i="3"/>
  <c r="T68" i="3"/>
  <c r="AC97" i="3"/>
  <c r="P87" i="3"/>
  <c r="H81" i="3"/>
  <c r="BL80" i="3"/>
  <c r="L95" i="3"/>
  <c r="L101" i="3"/>
  <c r="BZ88" i="3"/>
  <c r="AL100" i="3"/>
  <c r="T91" i="3"/>
  <c r="H87" i="3"/>
  <c r="CF91" i="3"/>
  <c r="BY79" i="3"/>
  <c r="CE89" i="3"/>
  <c r="BE91" i="3"/>
  <c r="CE82" i="3"/>
  <c r="AR86" i="3"/>
  <c r="M89" i="3"/>
  <c r="AD90" i="3"/>
  <c r="AN86" i="3"/>
  <c r="BE97" i="3"/>
  <c r="S80" i="3"/>
  <c r="AH66" i="3"/>
  <c r="AC66" i="3"/>
  <c r="U98" i="3"/>
  <c r="F89" i="3"/>
  <c r="Y102" i="3"/>
  <c r="H77" i="3"/>
  <c r="AW99" i="3"/>
  <c r="AP76" i="3"/>
  <c r="AM102" i="3"/>
  <c r="M75" i="3"/>
  <c r="AC69" i="3"/>
  <c r="BX81" i="3"/>
  <c r="BB81" i="3"/>
  <c r="R99" i="3"/>
  <c r="BC75" i="3"/>
  <c r="BW92" i="3"/>
  <c r="BC101" i="3"/>
  <c r="BN83" i="3"/>
  <c r="BG98" i="3"/>
  <c r="H74" i="3"/>
  <c r="AG100" i="3"/>
  <c r="S101" i="3"/>
  <c r="BT79" i="3"/>
  <c r="BI88" i="3"/>
  <c r="AY94" i="3"/>
  <c r="AF90" i="3"/>
  <c r="U81" i="3"/>
  <c r="P84" i="3"/>
  <c r="R89" i="3"/>
  <c r="Z95" i="3"/>
  <c r="AG97" i="3"/>
  <c r="BR94" i="3"/>
  <c r="AW78" i="3"/>
  <c r="CF72" i="3"/>
  <c r="Z66" i="3"/>
  <c r="AE102" i="3"/>
  <c r="BO69" i="3"/>
  <c r="AS67" i="3"/>
  <c r="AQ72" i="3"/>
  <c r="L79" i="3"/>
  <c r="R91" i="3"/>
  <c r="AU80" i="3"/>
  <c r="N72" i="3"/>
  <c r="AP69" i="3"/>
  <c r="X83" i="3"/>
  <c r="BN99" i="3"/>
  <c r="AF100" i="3"/>
  <c r="CB86" i="3"/>
  <c r="AH97" i="3"/>
  <c r="CC81" i="3"/>
  <c r="BG65" i="3"/>
  <c r="BP88" i="3"/>
  <c r="CE74" i="3"/>
  <c r="AB93" i="3"/>
  <c r="AQ68" i="3"/>
  <c r="Q96" i="3"/>
  <c r="AB99" i="3"/>
  <c r="AH102" i="3"/>
  <c r="H80" i="3"/>
  <c r="BD102" i="3"/>
  <c r="BD80" i="3"/>
  <c r="AD100" i="3"/>
  <c r="CA76" i="3"/>
  <c r="AT77" i="3"/>
  <c r="P66" i="3"/>
  <c r="BW97" i="3"/>
  <c r="AL70" i="3"/>
  <c r="BW95" i="3"/>
  <c r="H94" i="3"/>
  <c r="Q90" i="3"/>
  <c r="CA93" i="3"/>
  <c r="BW76" i="3"/>
  <c r="AG93" i="3"/>
  <c r="BK96" i="3"/>
  <c r="AO83" i="3"/>
  <c r="U85" i="3"/>
  <c r="X85" i="3"/>
  <c r="F92" i="3"/>
  <c r="AE77" i="3"/>
  <c r="I98" i="3"/>
  <c r="Y68" i="3"/>
  <c r="AT82" i="3"/>
  <c r="G98" i="3"/>
  <c r="BR79" i="3"/>
  <c r="AG78" i="3"/>
  <c r="I92" i="3"/>
  <c r="AK93" i="3"/>
  <c r="BX101" i="3"/>
  <c r="CG77" i="3"/>
  <c r="AC92" i="3"/>
  <c r="P93" i="3"/>
  <c r="J83" i="3"/>
  <c r="Q95" i="3"/>
  <c r="BO80" i="3"/>
  <c r="AC65" i="3"/>
  <c r="AY78" i="3"/>
  <c r="AI70" i="3"/>
  <c r="P78" i="3"/>
  <c r="AQ101" i="3"/>
  <c r="AP72" i="3"/>
  <c r="AI76" i="3"/>
  <c r="CF96" i="3"/>
  <c r="AQ69" i="3"/>
  <c r="T67" i="3"/>
  <c r="AA100" i="3"/>
  <c r="G68" i="3"/>
  <c r="J69" i="3"/>
  <c r="AN79" i="3"/>
  <c r="Z92" i="3"/>
  <c r="V90" i="3"/>
  <c r="AZ72" i="3"/>
  <c r="N83" i="3"/>
  <c r="AK88" i="3"/>
  <c r="AF88" i="3"/>
  <c r="BB102" i="3"/>
  <c r="AW77" i="3"/>
  <c r="CC101" i="3"/>
  <c r="AQ100" i="3"/>
  <c r="BG90" i="3"/>
  <c r="AY70" i="3"/>
  <c r="BW99" i="3"/>
  <c r="F86" i="3"/>
  <c r="Q79" i="3"/>
  <c r="AI78" i="3"/>
  <c r="AD99" i="3"/>
  <c r="AS91" i="3"/>
  <c r="AX99" i="3"/>
  <c r="AV78" i="3"/>
  <c r="AM66" i="3"/>
  <c r="AX100" i="3"/>
  <c r="T80" i="3"/>
  <c r="AD69" i="3"/>
  <c r="AS84" i="3"/>
  <c r="K67" i="3"/>
  <c r="BO101" i="3"/>
  <c r="BC81" i="3"/>
  <c r="O79" i="3"/>
  <c r="BB98" i="3"/>
  <c r="AF75" i="3"/>
  <c r="BD83" i="3"/>
  <c r="CG84" i="3"/>
  <c r="BS76" i="3"/>
  <c r="Q85" i="3"/>
  <c r="Z76" i="3"/>
  <c r="CB97" i="3"/>
  <c r="AZ93" i="3"/>
  <c r="BG86" i="3"/>
  <c r="BE88" i="3"/>
  <c r="BU68" i="3"/>
  <c r="L88" i="3"/>
  <c r="AB94" i="3"/>
  <c r="BS67" i="3"/>
  <c r="BN66" i="3"/>
  <c r="N79" i="3"/>
  <c r="BO97" i="3"/>
  <c r="BQ77" i="3"/>
  <c r="BL88" i="3"/>
  <c r="U82" i="3"/>
  <c r="AS86" i="3"/>
  <c r="BS70" i="3"/>
  <c r="Z90" i="3"/>
  <c r="Q72" i="3"/>
  <c r="AL98" i="3"/>
  <c r="P68" i="3"/>
  <c r="CB82" i="3"/>
  <c r="BC94" i="3"/>
  <c r="F91" i="3"/>
  <c r="AL97" i="3"/>
  <c r="P67" i="3"/>
  <c r="BL96" i="3"/>
  <c r="AH72" i="3"/>
  <c r="AV91" i="3"/>
  <c r="AF87" i="3"/>
  <c r="AV77" i="3"/>
  <c r="J68" i="3"/>
  <c r="Z93" i="3"/>
  <c r="BI98" i="3"/>
  <c r="AY97" i="3"/>
  <c r="BA72" i="3"/>
  <c r="BQ95" i="3"/>
  <c r="S99" i="3"/>
  <c r="X68" i="3"/>
  <c r="U93" i="3"/>
  <c r="V79" i="3"/>
  <c r="AC75" i="3"/>
  <c r="AP97" i="3"/>
  <c r="AU101" i="3"/>
  <c r="CB90" i="3"/>
  <c r="AP84" i="3"/>
  <c r="AW70" i="3"/>
  <c r="N66" i="3"/>
  <c r="AH79" i="3"/>
  <c r="AN92" i="3"/>
  <c r="AI97" i="3"/>
  <c r="AC96" i="3"/>
  <c r="BN82" i="3"/>
  <c r="BQ100" i="3"/>
  <c r="BE76" i="3"/>
  <c r="CE76" i="3"/>
  <c r="CA66" i="3"/>
  <c r="M97" i="3"/>
  <c r="AE99" i="3"/>
  <c r="BW100" i="3"/>
  <c r="AM83" i="3"/>
  <c r="T100" i="3"/>
  <c r="BE99" i="3"/>
  <c r="AD74" i="3"/>
  <c r="CA65" i="3"/>
  <c r="AJ78" i="3"/>
  <c r="AC88" i="3"/>
  <c r="V80" i="3"/>
  <c r="BS87" i="3"/>
  <c r="BH98" i="3"/>
  <c r="AJ101" i="3"/>
  <c r="AG90" i="3"/>
  <c r="AM90" i="3"/>
  <c r="AO94" i="3"/>
  <c r="AY101" i="3"/>
  <c r="CC100" i="3"/>
  <c r="AJ86" i="3"/>
  <c r="Q87" i="3"/>
  <c r="O80" i="3"/>
  <c r="AG99" i="3"/>
  <c r="AX95" i="3"/>
  <c r="Y77" i="3"/>
  <c r="BI76" i="3"/>
  <c r="BB85" i="3"/>
  <c r="AR83" i="3"/>
  <c r="AP73" i="3"/>
  <c r="Z91" i="3"/>
  <c r="BY68" i="3"/>
  <c r="M102" i="3"/>
  <c r="N96" i="3"/>
  <c r="AQ95" i="3"/>
  <c r="Y86" i="3"/>
  <c r="BK68" i="3"/>
  <c r="BJ98" i="3"/>
  <c r="BP94" i="3"/>
  <c r="BX78" i="3"/>
  <c r="T93" i="3"/>
  <c r="AV70" i="3"/>
  <c r="V102" i="3"/>
  <c r="BA82" i="3"/>
  <c r="BA88" i="3"/>
  <c r="BL65" i="3"/>
  <c r="M77" i="3"/>
  <c r="AO74" i="3"/>
  <c r="CA91" i="3"/>
  <c r="BV89" i="3"/>
  <c r="CB92" i="3"/>
  <c r="AR75" i="3"/>
  <c r="CA78" i="3"/>
  <c r="CA102" i="3"/>
  <c r="G80" i="3"/>
  <c r="AM96" i="3"/>
  <c r="AP102" i="3"/>
  <c r="AM89" i="3"/>
  <c r="AM100" i="3"/>
  <c r="BZ78" i="3"/>
  <c r="AQ87" i="3"/>
  <c r="BA90" i="3"/>
  <c r="BB72" i="3"/>
  <c r="F74" i="3"/>
  <c r="AR69" i="3"/>
  <c r="P81" i="3"/>
  <c r="W70" i="3"/>
  <c r="BO96" i="3"/>
  <c r="AG94" i="3"/>
  <c r="BR100" i="3"/>
  <c r="AI94" i="3"/>
  <c r="J87" i="3"/>
  <c r="BO87" i="3"/>
  <c r="AU67" i="3"/>
  <c r="AZ89" i="3"/>
  <c r="AT97" i="3"/>
  <c r="M83" i="3"/>
  <c r="BG89" i="3"/>
  <c r="O91" i="3"/>
  <c r="I84" i="3"/>
  <c r="BM78" i="3"/>
  <c r="AB77" i="3"/>
  <c r="BJ80" i="3"/>
  <c r="CG83" i="3"/>
  <c r="AG74" i="3"/>
  <c r="AO72" i="3"/>
  <c r="O83" i="3"/>
  <c r="AW95" i="3"/>
  <c r="AQ97" i="3"/>
  <c r="BV68" i="3"/>
  <c r="H72" i="3"/>
  <c r="BL99" i="3"/>
  <c r="CG86" i="3"/>
  <c r="AY85" i="3"/>
  <c r="N65" i="3"/>
  <c r="AJ66" i="3"/>
  <c r="O84" i="3"/>
  <c r="BS77" i="3"/>
  <c r="J85" i="3"/>
  <c r="AT90" i="3"/>
  <c r="AL82" i="3"/>
  <c r="BM79" i="3"/>
  <c r="AP79" i="3"/>
  <c r="U100" i="3"/>
  <c r="BQ85" i="3"/>
  <c r="G72" i="3"/>
  <c r="K81" i="3"/>
  <c r="AG87" i="3"/>
  <c r="AO77" i="3"/>
  <c r="BX70" i="3"/>
  <c r="BE86" i="3"/>
  <c r="Y67" i="3"/>
  <c r="Y65" i="3"/>
  <c r="BD66" i="3"/>
  <c r="BN102" i="3"/>
  <c r="CF90" i="3"/>
  <c r="CE75" i="3"/>
  <c r="BH89" i="3"/>
  <c r="Z99" i="3"/>
  <c r="CC102" i="3"/>
  <c r="AM88" i="3"/>
  <c r="AP92" i="3"/>
  <c r="K69" i="3"/>
  <c r="AO73" i="3"/>
  <c r="BL68" i="3"/>
  <c r="BG80" i="3"/>
  <c r="BZ90" i="3"/>
  <c r="AQ67" i="3"/>
  <c r="CB102" i="3"/>
  <c r="R77" i="3"/>
  <c r="BN78" i="3"/>
  <c r="BT88" i="3"/>
  <c r="BQ65" i="3"/>
  <c r="J101" i="3"/>
  <c r="BZ74" i="3"/>
  <c r="BB96" i="3"/>
  <c r="CB80" i="3"/>
  <c r="AW89" i="3"/>
  <c r="AE68" i="3"/>
  <c r="M66" i="3"/>
  <c r="K87" i="3"/>
  <c r="BR67" i="3"/>
  <c r="BE94" i="3"/>
  <c r="BV86" i="3"/>
  <c r="BX68" i="3"/>
  <c r="BY83" i="3"/>
  <c r="AZ81" i="3"/>
  <c r="AI96" i="3"/>
  <c r="O73" i="3"/>
  <c r="J70" i="3"/>
  <c r="U68" i="3"/>
  <c r="AE96" i="3"/>
  <c r="K85" i="3"/>
  <c r="T96" i="3"/>
  <c r="G81" i="3"/>
  <c r="BH91" i="3"/>
  <c r="BU76" i="3"/>
  <c r="CG101" i="3"/>
  <c r="AZ97" i="3"/>
  <c r="BI65" i="3"/>
  <c r="AK82" i="3"/>
  <c r="BH100" i="3"/>
  <c r="U86" i="3"/>
  <c r="BV65" i="3"/>
  <c r="O100" i="3"/>
  <c r="AP88" i="3"/>
  <c r="AX83" i="3"/>
  <c r="CF87" i="3"/>
  <c r="P86" i="3"/>
  <c r="BK84" i="3"/>
  <c r="CE101" i="3"/>
  <c r="BS92" i="3"/>
  <c r="CD89" i="3"/>
  <c r="BU82" i="3"/>
  <c r="BM89" i="3"/>
  <c r="BO89" i="3"/>
  <c r="V93" i="3"/>
  <c r="CA101" i="3"/>
  <c r="AN93" i="3"/>
  <c r="I73" i="3"/>
  <c r="AI93" i="3"/>
  <c r="AR68" i="3"/>
  <c r="BJ89" i="3"/>
  <c r="BP77" i="3"/>
  <c r="AK97" i="3"/>
  <c r="CC68" i="3"/>
  <c r="AS82" i="3"/>
  <c r="AF72" i="3"/>
  <c r="N91" i="3"/>
  <c r="BM99" i="3"/>
  <c r="AS96" i="3"/>
  <c r="BD90" i="3"/>
  <c r="CC72" i="3"/>
  <c r="L94" i="3"/>
  <c r="X95" i="3"/>
  <c r="BN65" i="3"/>
  <c r="N102" i="3"/>
  <c r="BO94" i="3"/>
  <c r="O75" i="3"/>
  <c r="Q102" i="3"/>
  <c r="BQ66" i="3"/>
  <c r="BI79" i="3"/>
  <c r="AA79" i="3"/>
  <c r="AQ79" i="3"/>
  <c r="BK98" i="3"/>
  <c r="W97" i="3"/>
  <c r="BV102" i="3"/>
  <c r="BZ73" i="3"/>
  <c r="CB95" i="3"/>
  <c r="BP72" i="3"/>
  <c r="AT84" i="3"/>
  <c r="X73" i="3"/>
  <c r="AH68" i="3"/>
  <c r="BQ79" i="3"/>
  <c r="BQ87" i="3"/>
  <c r="W98" i="3"/>
  <c r="CG100" i="3"/>
  <c r="G93" i="3"/>
  <c r="S86" i="3"/>
  <c r="AU99" i="3"/>
  <c r="AJ65" i="3"/>
  <c r="J97" i="3"/>
  <c r="CF79" i="3"/>
  <c r="AO69" i="3"/>
  <c r="S83" i="3"/>
  <c r="BV77" i="3"/>
  <c r="AQ92" i="3"/>
  <c r="BY69" i="3"/>
  <c r="BH79" i="3"/>
  <c r="AE95" i="3"/>
  <c r="Y80" i="3"/>
  <c r="BO98" i="3"/>
  <c r="BB69" i="3"/>
  <c r="CB94" i="3"/>
  <c r="BQ76" i="3"/>
  <c r="AZ90" i="3"/>
  <c r="T88" i="3"/>
  <c r="AN82" i="3"/>
  <c r="CF98" i="3"/>
  <c r="AC94" i="3"/>
  <c r="BS83" i="3"/>
  <c r="AT74" i="3"/>
  <c r="BY72" i="3"/>
  <c r="BB73" i="3"/>
  <c r="BT85" i="3"/>
  <c r="BI95" i="3"/>
  <c r="BN69" i="3"/>
  <c r="AE79" i="3"/>
  <c r="K75" i="3"/>
  <c r="AY72" i="3"/>
  <c r="BD91" i="3"/>
  <c r="BM80" i="3"/>
  <c r="I80" i="3"/>
  <c r="G92" i="3"/>
  <c r="BD72" i="3"/>
  <c r="T77" i="3"/>
  <c r="AS101" i="3"/>
  <c r="BH85" i="3"/>
  <c r="AB82" i="3"/>
  <c r="BW73" i="3"/>
  <c r="BJ67" i="3"/>
  <c r="AD65" i="3"/>
  <c r="BZ70" i="3"/>
  <c r="U89" i="3"/>
  <c r="AA101" i="3"/>
  <c r="Q77" i="3"/>
  <c r="R93" i="3"/>
  <c r="BK77" i="3"/>
  <c r="R82" i="3"/>
  <c r="AG85" i="3"/>
  <c r="AD76" i="3"/>
  <c r="BM94" i="3"/>
  <c r="L91" i="3"/>
  <c r="N100" i="3"/>
  <c r="AY91" i="3"/>
  <c r="U87" i="3"/>
  <c r="F98" i="3"/>
  <c r="CC75" i="3"/>
  <c r="Z73" i="3"/>
  <c r="U77" i="3"/>
  <c r="AZ96" i="3"/>
  <c r="AN69" i="3"/>
  <c r="AO85" i="3"/>
  <c r="AP100" i="3"/>
  <c r="AL66" i="3"/>
  <c r="Y70" i="3"/>
  <c r="BF66" i="3"/>
  <c r="BK88" i="3"/>
  <c r="R83" i="3"/>
  <c r="P74" i="3"/>
  <c r="K66" i="3"/>
  <c r="AH76" i="3"/>
  <c r="U102" i="3"/>
  <c r="BD100" i="3"/>
  <c r="BM77" i="3"/>
  <c r="AA88" i="3"/>
  <c r="F97" i="3"/>
  <c r="BX73" i="3"/>
  <c r="W88" i="3"/>
  <c r="AO95" i="3"/>
  <c r="V66" i="3"/>
  <c r="BG92" i="3"/>
  <c r="G90" i="3"/>
  <c r="K96" i="3"/>
  <c r="BH70" i="3"/>
  <c r="BS84" i="3"/>
  <c r="O82" i="3"/>
  <c r="AP66" i="3"/>
  <c r="M100" i="3"/>
  <c r="AO102" i="3"/>
  <c r="V86" i="3"/>
  <c r="AO84" i="3"/>
  <c r="AX69" i="3"/>
  <c r="G85" i="3"/>
  <c r="V81" i="3"/>
  <c r="BT87" i="3"/>
  <c r="X94" i="3"/>
  <c r="AX68" i="3"/>
  <c r="AE74" i="3"/>
  <c r="AV76" i="3"/>
  <c r="AU81" i="3"/>
  <c r="AX102" i="3"/>
  <c r="BY73" i="3"/>
  <c r="AT65" i="3"/>
  <c r="AU78" i="3"/>
  <c r="G86" i="3"/>
  <c r="P85" i="3"/>
  <c r="BL81" i="3"/>
  <c r="G79" i="3"/>
  <c r="AP96" i="3"/>
  <c r="BT102" i="3"/>
  <c r="CE99" i="3"/>
  <c r="AM101" i="3"/>
  <c r="G94" i="3"/>
  <c r="AL76" i="3"/>
  <c r="AB101" i="3"/>
  <c r="I96" i="3"/>
  <c r="CD95" i="3"/>
  <c r="BT93" i="3"/>
  <c r="BK101" i="3"/>
  <c r="AZ94" i="3"/>
  <c r="N92" i="3"/>
  <c r="X92" i="3"/>
  <c r="AD82" i="3"/>
  <c r="CB88" i="3"/>
  <c r="BS86" i="3"/>
  <c r="L67" i="3"/>
  <c r="AV93" i="3"/>
  <c r="R96" i="3"/>
  <c r="CA94" i="3"/>
  <c r="AJ82" i="3"/>
  <c r="Y87" i="3"/>
  <c r="CF97" i="3"/>
  <c r="I101" i="3"/>
  <c r="AT95" i="3"/>
  <c r="BS89" i="3"/>
  <c r="AB97" i="3"/>
  <c r="AO86" i="3"/>
  <c r="AC68" i="3"/>
  <c r="BE93" i="3"/>
  <c r="BR72" i="3"/>
  <c r="AQ81" i="3"/>
  <c r="BE72" i="3"/>
  <c r="X100" i="3"/>
  <c r="BQ97" i="3"/>
  <c r="CC97" i="3"/>
  <c r="AF78" i="3"/>
  <c r="BI85" i="3"/>
  <c r="AX78" i="3"/>
  <c r="AD68" i="3"/>
  <c r="K88" i="3"/>
  <c r="P97" i="3"/>
  <c r="F70" i="3"/>
  <c r="BA89" i="3"/>
  <c r="AD96" i="3"/>
  <c r="BT92" i="3"/>
  <c r="BT99" i="3"/>
  <c r="AA90" i="3"/>
  <c r="Y97" i="3"/>
  <c r="AO89" i="3"/>
  <c r="AC90" i="3"/>
  <c r="BG68" i="3"/>
  <c r="CE73" i="3"/>
  <c r="AP77" i="3"/>
  <c r="Q80" i="3"/>
  <c r="BV99" i="3"/>
  <c r="BV96" i="3"/>
  <c r="BE92" i="3"/>
  <c r="Z85" i="3"/>
  <c r="I89" i="3"/>
  <c r="N85" i="3"/>
  <c r="BU80" i="3"/>
  <c r="Q99" i="3"/>
  <c r="CG81" i="3"/>
  <c r="AZ99" i="3"/>
  <c r="AN95" i="3"/>
  <c r="CD77" i="3"/>
  <c r="BX100" i="3"/>
  <c r="AB84" i="3"/>
  <c r="T95" i="3"/>
  <c r="BU81" i="3"/>
  <c r="BM70" i="3"/>
  <c r="M67" i="3"/>
  <c r="BV75" i="3"/>
  <c r="AN87" i="3"/>
  <c r="BR99" i="3"/>
  <c r="CD87" i="3"/>
  <c r="AO67" i="3"/>
  <c r="AH83" i="3"/>
  <c r="AK76" i="3"/>
  <c r="CD97" i="3"/>
  <c r="AP74" i="3"/>
  <c r="AK94" i="3"/>
  <c r="BW69" i="3"/>
  <c r="BQ99" i="3"/>
  <c r="U76" i="3"/>
  <c r="AR99" i="3"/>
  <c r="Y82" i="3"/>
  <c r="R81" i="3"/>
  <c r="BG84" i="3"/>
  <c r="U79" i="3"/>
  <c r="BE82" i="3"/>
  <c r="AM98" i="3"/>
  <c r="CA80" i="3"/>
  <c r="O90" i="3"/>
  <c r="AS102" i="3"/>
  <c r="BF81" i="3"/>
  <c r="AI88" i="3"/>
  <c r="BD99" i="3"/>
  <c r="Q74" i="3"/>
  <c r="BT89" i="3"/>
  <c r="BE73" i="3"/>
  <c r="AO76" i="3"/>
  <c r="BR75" i="3"/>
  <c r="CC80" i="3"/>
  <c r="BD67" i="3"/>
  <c r="AC67" i="3"/>
  <c r="AZ76" i="3"/>
  <c r="BE75" i="3"/>
  <c r="AP65" i="3"/>
  <c r="BB79" i="3"/>
  <c r="Q73" i="3"/>
  <c r="AD87" i="3"/>
  <c r="L66" i="3"/>
  <c r="Q69" i="3"/>
  <c r="U72" i="3"/>
  <c r="AZ80" i="3"/>
  <c r="AA72" i="3"/>
  <c r="AF77" i="3"/>
  <c r="AD72" i="3"/>
  <c r="BU85" i="3"/>
  <c r="BJ90" i="3"/>
  <c r="BO74" i="3"/>
  <c r="W74" i="3"/>
  <c r="F99" i="3"/>
  <c r="BL85" i="3"/>
  <c r="F85" i="3"/>
  <c r="W90" i="3"/>
  <c r="BW101" i="3"/>
  <c r="AX73" i="3"/>
  <c r="Z102" i="3"/>
  <c r="BZ72" i="3"/>
  <c r="BP84" i="3"/>
  <c r="CE80" i="3"/>
  <c r="AL77" i="3"/>
  <c r="R84" i="3"/>
  <c r="L80" i="3"/>
  <c r="CG76" i="3"/>
  <c r="BF92" i="3"/>
  <c r="BP78" i="3"/>
  <c r="X70" i="3"/>
  <c r="BX76" i="3"/>
  <c r="BZ100" i="3"/>
  <c r="AR89" i="3"/>
  <c r="BV79" i="3"/>
  <c r="M85" i="3"/>
  <c r="CA87" i="3"/>
  <c r="BU96" i="3"/>
  <c r="R100" i="3"/>
  <c r="M79" i="3"/>
  <c r="AX67" i="3"/>
  <c r="M98" i="3"/>
  <c r="AH70" i="3"/>
  <c r="BW88" i="3"/>
  <c r="AP82" i="3"/>
  <c r="AD80" i="3"/>
  <c r="BS90" i="3"/>
  <c r="AJ100" i="3"/>
  <c r="BG72" i="3"/>
  <c r="BS91" i="3"/>
  <c r="BF77" i="3"/>
  <c r="AY100" i="3"/>
  <c r="BV95" i="3"/>
  <c r="U84" i="3"/>
  <c r="AS72" i="3"/>
  <c r="BN81" i="3"/>
  <c r="AB92" i="3"/>
  <c r="AF74" i="3"/>
  <c r="BP69" i="3"/>
  <c r="BH82" i="3"/>
  <c r="BK100" i="3"/>
  <c r="AB88" i="3"/>
  <c r="BK85" i="3"/>
  <c r="O65" i="3"/>
  <c r="BQ96" i="3"/>
  <c r="BJ83" i="3"/>
  <c r="AL92" i="3"/>
  <c r="S73" i="3"/>
  <c r="AI77" i="3"/>
  <c r="BS69" i="3"/>
  <c r="BS66" i="3"/>
  <c r="CD76" i="3"/>
  <c r="V94" i="3"/>
  <c r="BG83" i="3"/>
  <c r="X97" i="3"/>
  <c r="AY82" i="3"/>
  <c r="BJ86" i="3"/>
  <c r="O88" i="3"/>
  <c r="AS89" i="3"/>
  <c r="BS80" i="3"/>
  <c r="W72" i="3"/>
  <c r="BG93" i="3"/>
  <c r="CB85" i="3"/>
  <c r="BU75" i="3"/>
  <c r="AL94" i="3"/>
  <c r="BN98" i="3"/>
  <c r="CD96" i="3"/>
  <c r="BU72" i="3"/>
  <c r="BU69" i="3"/>
  <c r="BA91" i="3"/>
  <c r="AL74" i="3"/>
  <c r="BX69" i="3"/>
  <c r="S75" i="3"/>
  <c r="BN73" i="3"/>
  <c r="BA79" i="3"/>
  <c r="AU96" i="3"/>
  <c r="AT100" i="3"/>
  <c r="BS78" i="3"/>
  <c r="BO72" i="3"/>
  <c r="Q89" i="3"/>
  <c r="BH68" i="3"/>
  <c r="AH84" i="3"/>
  <c r="BK74" i="3"/>
  <c r="BI89" i="3"/>
  <c r="BZ99" i="3"/>
  <c r="AA96" i="3"/>
  <c r="N74" i="3"/>
  <c r="W91" i="3"/>
  <c r="AQ93" i="3"/>
  <c r="AX94" i="3"/>
  <c r="G83" i="3"/>
  <c r="AJ94" i="3"/>
  <c r="BG66" i="3"/>
  <c r="CA86" i="3"/>
  <c r="BF87" i="3"/>
  <c r="U73" i="3"/>
  <c r="BR83" i="3"/>
  <c r="BY86" i="3"/>
  <c r="BW102" i="3"/>
  <c r="BG96" i="3"/>
  <c r="BM96" i="3"/>
  <c r="CE77" i="3"/>
  <c r="Y79" i="3"/>
  <c r="BO75" i="3"/>
  <c r="CB100" i="3"/>
  <c r="AH78" i="3"/>
  <c r="AY69" i="3"/>
  <c r="AF81" i="3"/>
  <c r="AK83" i="3"/>
  <c r="X86" i="3"/>
  <c r="BW85" i="3"/>
  <c r="CD93" i="3"/>
  <c r="P91" i="3"/>
  <c r="BL102" i="3"/>
  <c r="CG102" i="3"/>
  <c r="BU101" i="3"/>
  <c r="AR81" i="3"/>
  <c r="BS73" i="3"/>
  <c r="AZ100" i="3"/>
  <c r="BS72" i="3"/>
  <c r="BH80" i="3"/>
  <c r="N75" i="3"/>
  <c r="AL102" i="3"/>
  <c r="N90" i="3"/>
  <c r="AO75" i="3"/>
  <c r="BZ79" i="3"/>
  <c r="BJ97" i="3"/>
  <c r="AB67" i="3"/>
  <c r="AZ74" i="3"/>
  <c r="CC96" i="3"/>
  <c r="BR101" i="3"/>
  <c r="BF97" i="3"/>
  <c r="BQ92" i="3"/>
  <c r="AW90" i="3"/>
  <c r="AH95" i="3"/>
  <c r="AI87" i="3"/>
  <c r="CA82" i="3"/>
  <c r="AF69" i="3"/>
  <c r="L84" i="3"/>
  <c r="BI82" i="3"/>
  <c r="BV83" i="3"/>
  <c r="F90" i="3"/>
  <c r="AX65" i="3"/>
  <c r="CB89" i="3"/>
  <c r="AK100" i="3"/>
  <c r="AU79" i="3"/>
  <c r="BI86" i="3"/>
  <c r="BI73" i="3"/>
  <c r="AV96" i="3"/>
  <c r="AE98" i="3"/>
  <c r="BM73" i="3"/>
  <c r="BG95" i="3"/>
  <c r="BQ93" i="3"/>
  <c r="AH75" i="3"/>
  <c r="R94" i="3"/>
  <c r="AR82" i="3"/>
  <c r="AQ82" i="3"/>
  <c r="AN67" i="3"/>
  <c r="G67" i="3"/>
  <c r="BN75" i="3"/>
  <c r="AE82" i="3"/>
  <c r="BK76" i="3"/>
  <c r="BL86" i="3"/>
  <c r="F83" i="3"/>
  <c r="AA89" i="3"/>
  <c r="AC78" i="3"/>
  <c r="T66" i="3"/>
  <c r="AQ102" i="3"/>
  <c r="BR86" i="3"/>
  <c r="BK94" i="3"/>
  <c r="AU102" i="3"/>
  <c r="AT91" i="3"/>
  <c r="BU102" i="3"/>
  <c r="AF66" i="3"/>
  <c r="AH67" i="3"/>
  <c r="U94" i="3"/>
  <c r="AA69" i="3"/>
  <c r="F66" i="3"/>
  <c r="AH90" i="3"/>
  <c r="AL75" i="3"/>
  <c r="AW85" i="3"/>
  <c r="AC102" i="3"/>
  <c r="BW74" i="3"/>
  <c r="BI97" i="3"/>
  <c r="BE78" i="3"/>
  <c r="AW94" i="3"/>
  <c r="BC67" i="3"/>
  <c r="X72" i="3"/>
  <c r="BG75" i="3"/>
  <c r="BD89" i="3"/>
  <c r="U97" i="3"/>
  <c r="BE101" i="3"/>
  <c r="BE66" i="3"/>
  <c r="AL99" i="3"/>
  <c r="H83" i="3"/>
  <c r="N87" i="3"/>
  <c r="AA95" i="3"/>
  <c r="AR101" i="3"/>
  <c r="BP90" i="3"/>
  <c r="Q94" i="3"/>
  <c r="U90" i="3"/>
  <c r="AX93" i="3"/>
  <c r="BF80" i="3"/>
  <c r="BF69" i="3"/>
  <c r="BS79" i="3"/>
  <c r="J74" i="3"/>
  <c r="AZ79" i="3"/>
  <c r="CG85" i="3"/>
  <c r="BY77" i="3"/>
  <c r="BT96" i="3"/>
  <c r="CG93" i="3"/>
  <c r="BB78" i="3"/>
  <c r="AR74" i="3"/>
  <c r="CB99" i="3"/>
  <c r="AY98" i="3"/>
  <c r="CC99" i="3"/>
  <c r="AV86" i="3"/>
  <c r="S97" i="3"/>
  <c r="AD84" i="3"/>
  <c r="AS90" i="3"/>
  <c r="BJ93" i="3"/>
  <c r="BV94" i="3"/>
  <c r="AL65" i="3"/>
  <c r="AM75" i="3"/>
  <c r="AE101" i="3"/>
  <c r="BH96" i="3"/>
  <c r="Y91" i="3"/>
  <c r="CE86" i="3"/>
  <c r="AF68" i="3"/>
  <c r="BZ102" i="3"/>
  <c r="V75" i="3"/>
  <c r="BK67" i="3"/>
  <c r="AV87" i="3"/>
  <c r="AH92" i="3"/>
  <c r="BX75" i="3"/>
  <c r="BB68" i="3"/>
  <c r="X67" i="3"/>
  <c r="CA67" i="3"/>
  <c r="AX74" i="3"/>
  <c r="BC100" i="3"/>
  <c r="AJ72" i="3"/>
  <c r="AV90" i="3"/>
  <c r="CA70" i="3"/>
  <c r="AS87" i="3"/>
  <c r="U101" i="3"/>
  <c r="CE83" i="3"/>
  <c r="BD65" i="3"/>
  <c r="BW89" i="3"/>
  <c r="BM65" i="3"/>
  <c r="BI92" i="3"/>
  <c r="AF84" i="3"/>
  <c r="S98" i="3"/>
  <c r="BY66" i="3"/>
  <c r="AS75" i="3"/>
  <c r="BY94" i="3"/>
  <c r="AS97" i="3"/>
  <c r="BB101" i="3"/>
  <c r="AN102" i="3"/>
  <c r="BS68" i="3"/>
  <c r="W76" i="3"/>
  <c r="AG82" i="3"/>
  <c r="BO76" i="3"/>
  <c r="O101" i="3"/>
  <c r="CB67" i="3"/>
  <c r="CE102" i="3"/>
  <c r="BI96" i="3"/>
  <c r="F76" i="3"/>
  <c r="AV67" i="3"/>
  <c r="H79" i="3"/>
  <c r="W86" i="3"/>
  <c r="CD90" i="3"/>
  <c r="T69" i="3"/>
  <c r="BQ84" i="3"/>
  <c r="CB91" i="3"/>
  <c r="AE90" i="3"/>
  <c r="BQ89" i="3"/>
  <c r="BA84" i="3"/>
  <c r="BF86" i="3"/>
  <c r="H67" i="3"/>
  <c r="BM90" i="3"/>
  <c r="BU74" i="3"/>
  <c r="BX92" i="3"/>
  <c r="AK66" i="3"/>
  <c r="BH75" i="3"/>
  <c r="AM92" i="3"/>
  <c r="BX97" i="3"/>
  <c r="L97" i="3"/>
  <c r="AQ96" i="3"/>
  <c r="BM82" i="3"/>
  <c r="AJ76" i="3"/>
  <c r="BF89" i="3"/>
  <c r="AG77" i="3"/>
  <c r="S93" i="3"/>
  <c r="AK90" i="3"/>
  <c r="AM68" i="3"/>
  <c r="W73" i="3"/>
  <c r="AG103" i="3" l="1"/>
  <c r="O103" i="3"/>
  <c r="BM103" i="3"/>
  <c r="AP103" i="3"/>
  <c r="BD103" i="3"/>
  <c r="AL103" i="3"/>
  <c r="AX103" i="3"/>
  <c r="BI103" i="3"/>
  <c r="N103" i="3"/>
  <c r="AJ103" i="3"/>
  <c r="X104" i="3"/>
  <c r="AT103" i="3"/>
  <c r="BN103" i="3"/>
  <c r="BV103" i="3"/>
  <c r="AF104" i="3"/>
  <c r="BA104" i="3"/>
  <c r="BG103" i="3"/>
  <c r="O104" i="3"/>
  <c r="E79" i="3"/>
  <c r="D79" i="3" s="1"/>
  <c r="E77" i="3"/>
  <c r="D77" i="3" s="1"/>
  <c r="AB104" i="3"/>
  <c r="AI104" i="3"/>
  <c r="BJ104" i="3"/>
  <c r="AW104" i="3"/>
  <c r="BH104" i="3"/>
  <c r="Z104" i="3"/>
  <c r="I104" i="3"/>
  <c r="S104" i="3"/>
  <c r="AG104" i="3"/>
  <c r="AM103" i="3"/>
  <c r="E93" i="3"/>
  <c r="D93" i="3" s="1"/>
  <c r="BO104" i="3"/>
  <c r="BE104" i="3"/>
  <c r="H104" i="3"/>
  <c r="Q104" i="3"/>
  <c r="CF104" i="3"/>
  <c r="AK103" i="3"/>
  <c r="E73" i="3"/>
  <c r="D73" i="3" s="1"/>
  <c r="BN104" i="3"/>
  <c r="E68" i="3"/>
  <c r="D68" i="3" s="1"/>
  <c r="P103" i="3"/>
  <c r="AN104" i="3"/>
  <c r="E90" i="3"/>
  <c r="D90" i="3" s="1"/>
  <c r="AY104" i="3"/>
  <c r="G104" i="3"/>
  <c r="L103" i="3"/>
  <c r="T104" i="3"/>
  <c r="H103" i="3"/>
  <c r="BI104" i="3"/>
  <c r="W104" i="3"/>
  <c r="BG104" i="3"/>
  <c r="E85" i="3"/>
  <c r="D85" i="3" s="1"/>
  <c r="BR104" i="3"/>
  <c r="E97" i="3"/>
  <c r="D97" i="3" s="1"/>
  <c r="CA103" i="3"/>
  <c r="E96" i="3"/>
  <c r="D96" i="3" s="1"/>
  <c r="BQ104" i="3"/>
  <c r="BC103" i="3"/>
  <c r="J104" i="3"/>
  <c r="Q103" i="3"/>
  <c r="BJ103" i="3"/>
  <c r="BZ103" i="3"/>
  <c r="E101" i="3"/>
  <c r="D101" i="3" s="1"/>
  <c r="R104" i="3"/>
  <c r="E94" i="3"/>
  <c r="D94" i="3" s="1"/>
  <c r="AS103" i="3"/>
  <c r="AZ104" i="3"/>
  <c r="AC103" i="3"/>
  <c r="BM104" i="3"/>
  <c r="BL104" i="3"/>
  <c r="E78" i="3"/>
  <c r="D78" i="3" s="1"/>
  <c r="BT104" i="3"/>
  <c r="U103" i="3"/>
  <c r="E80" i="3"/>
  <c r="D80" i="3" s="1"/>
  <c r="E67" i="3"/>
  <c r="D67" i="3" s="1"/>
  <c r="E76" i="3"/>
  <c r="D76" i="3" s="1"/>
  <c r="E99" i="3"/>
  <c r="D99" i="3" s="1"/>
  <c r="E92" i="3"/>
  <c r="D92" i="3" s="1"/>
  <c r="BU103" i="3"/>
  <c r="AE103" i="3"/>
  <c r="E69" i="3"/>
  <c r="D69" i="3" s="1"/>
  <c r="AM104" i="3"/>
  <c r="BR103" i="3"/>
  <c r="AH103" i="3"/>
  <c r="CB104" i="3"/>
  <c r="AD103" i="3"/>
  <c r="AO104" i="3"/>
  <c r="E95" i="3"/>
  <c r="D95" i="3" s="1"/>
  <c r="BF104" i="3"/>
  <c r="BH103" i="3"/>
  <c r="AK104" i="3"/>
  <c r="F103" i="3"/>
  <c r="E65" i="3"/>
  <c r="D65" i="3" s="1"/>
  <c r="AU103" i="3"/>
  <c r="E70" i="3"/>
  <c r="D70" i="3" s="1"/>
  <c r="E98" i="3"/>
  <c r="D98" i="3" s="1"/>
  <c r="BQ103" i="3"/>
  <c r="BP103" i="3"/>
  <c r="Y104" i="3"/>
  <c r="AU104" i="3"/>
  <c r="R103" i="3"/>
  <c r="AA103" i="3"/>
  <c r="BV104" i="3"/>
  <c r="BS103" i="3"/>
  <c r="AB103" i="3"/>
  <c r="AV103" i="3"/>
  <c r="CA104" i="3"/>
  <c r="BS104" i="3"/>
  <c r="AH104" i="3"/>
  <c r="N104" i="3"/>
  <c r="BF103" i="3"/>
  <c r="P104" i="3"/>
  <c r="W103" i="3"/>
  <c r="AF103" i="3"/>
  <c r="E88" i="3"/>
  <c r="D88" i="3" s="1"/>
  <c r="BY104" i="3"/>
  <c r="E86" i="3"/>
  <c r="D86" i="3" s="1"/>
  <c r="E81" i="3"/>
  <c r="D81" i="3" s="1"/>
  <c r="BX104" i="3"/>
  <c r="E102" i="3"/>
  <c r="D102" i="3" s="1"/>
  <c r="E87" i="3"/>
  <c r="D87" i="3" s="1"/>
  <c r="AY103" i="3"/>
  <c r="BB103" i="3"/>
  <c r="AD104" i="3"/>
  <c r="BP104" i="3"/>
  <c r="Z103" i="3"/>
  <c r="BX103" i="3"/>
  <c r="CD104" i="3"/>
  <c r="AI103" i="3"/>
  <c r="AE104" i="3"/>
  <c r="M104" i="3"/>
  <c r="E100" i="3"/>
  <c r="D100" i="3" s="1"/>
  <c r="K103" i="3"/>
  <c r="AW103" i="3"/>
  <c r="X103" i="3"/>
  <c r="CC104" i="3"/>
  <c r="Y103" i="3"/>
  <c r="AO103" i="3"/>
  <c r="BK103" i="3"/>
  <c r="CB103" i="3"/>
  <c r="AL104" i="3"/>
  <c r="BT103" i="3"/>
  <c r="L104" i="3"/>
  <c r="E84" i="3"/>
  <c r="D84" i="3" s="1"/>
  <c r="M103" i="3"/>
  <c r="E83" i="3"/>
  <c r="D83" i="3" s="1"/>
  <c r="BU104" i="3"/>
  <c r="AA104" i="3"/>
  <c r="E74" i="3"/>
  <c r="D74" i="3" s="1"/>
  <c r="E91" i="3"/>
  <c r="D91" i="3" s="1"/>
  <c r="AQ104" i="3"/>
  <c r="AV104" i="3"/>
  <c r="AX104" i="3"/>
  <c r="BW104" i="3"/>
  <c r="BO103" i="3"/>
  <c r="AS104" i="3"/>
  <c r="BD104" i="3"/>
  <c r="BB104" i="3"/>
  <c r="BK104" i="3"/>
  <c r="I103" i="3"/>
  <c r="CE104" i="3"/>
  <c r="E75" i="3"/>
  <c r="D75" i="3" s="1"/>
  <c r="E72" i="3"/>
  <c r="D72" i="3" s="1"/>
  <c r="F104" i="3"/>
  <c r="T103" i="3"/>
  <c r="E66" i="3"/>
  <c r="D66" i="3" s="1"/>
  <c r="BZ104" i="3"/>
  <c r="U104" i="3"/>
  <c r="BL103" i="3"/>
  <c r="G103" i="3"/>
  <c r="AQ103" i="3"/>
  <c r="AR104" i="3"/>
  <c r="BC104" i="3"/>
  <c r="AN103" i="3"/>
  <c r="V104" i="3"/>
  <c r="E82" i="3"/>
  <c r="D82" i="3" s="1"/>
  <c r="K104" i="3"/>
  <c r="BY103" i="3"/>
  <c r="AZ103" i="3"/>
  <c r="J103" i="3"/>
  <c r="BA103" i="3"/>
  <c r="AJ104" i="3"/>
  <c r="AP104" i="3"/>
  <c r="E89" i="3"/>
  <c r="D89" i="3" s="1"/>
  <c r="S103" i="3"/>
  <c r="AR103" i="3"/>
  <c r="CG104" i="3"/>
  <c r="BE103" i="3"/>
  <c r="CC103" i="3"/>
  <c r="BW103" i="3"/>
  <c r="V103" i="3"/>
  <c r="AT104" i="3"/>
  <c r="AC104" i="3"/>
  <c r="G105" i="3" l="1"/>
  <c r="J105" i="3"/>
  <c r="I105" i="3"/>
  <c r="H105" i="3"/>
  <c r="L105" i="3"/>
  <c r="E103" i="3"/>
  <c r="D103" i="3" s="1"/>
  <c r="F105" i="3"/>
  <c r="K105" i="3"/>
  <c r="E104" i="3"/>
  <c r="D104" i="3" s="1"/>
  <c r="M105" i="3"/>
  <c r="J64" i="3" l="1"/>
  <c r="D105" i="3"/>
  <c r="E105" i="3"/>
  <c r="F64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tc={C1AAC995-B054-4ED6-AE5A-0BA2B00A66CA}</author>
    <author>tc={159F1893-FB7B-417F-9315-AF6E3EE2D7BE}</author>
    <author>tc={00CD80B7-827D-4758-8AC8-0DEA08D16F9D}</author>
    <author>tc={A10E3694-B8A3-4C67-A416-FF7D2A70703D}</author>
  </authors>
  <commentList>
    <comment ref="EB14" authorId="0" shapeId="0" xr:uid="{C1AAC995-B054-4ED6-AE5A-0BA2B00A66C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SEM RDO, problema celular Nycolas</t>
      </text>
    </comment>
    <comment ref="AB21" authorId="1" shapeId="0" xr:uid="{159F1893-FB7B-417F-9315-AF6E3EE2D7B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Obra paralisada - falta de frente de serviço.</t>
      </text>
    </comment>
    <comment ref="AC21" authorId="2" shapeId="0" xr:uid="{00CD80B7-827D-4758-8AC8-0DEA08D16F9D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Obra paralisada - falta de frente de serviço.
</t>
      </text>
    </comment>
    <comment ref="AD21" authorId="3" shapeId="0" xr:uid="{A10E3694-B8A3-4C67-A416-FF7D2A70703D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Obra paralisada - falta de frente de serviço.
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<sst xmlns="http://schemas.openxmlformats.org/spreadsheetml/2006/main" count="864" uniqueCount="276">
  <si>
    <t>% PREVISTO</t>
  </si>
  <si>
    <t>Julio Ferraz Projetos e Obras</t>
  </si>
  <si>
    <t>Cliente:  RICARDO HABER</t>
  </si>
  <si>
    <t>Local:     APARECIDA - SP</t>
  </si>
  <si>
    <t>% REALIZADO</t>
  </si>
  <si>
    <t>1º</t>
  </si>
  <si>
    <t>2º</t>
  </si>
  <si>
    <t>3º</t>
  </si>
  <si>
    <t>4º</t>
  </si>
  <si>
    <t>5º</t>
  </si>
  <si>
    <t>6º</t>
  </si>
  <si>
    <t>7º</t>
  </si>
  <si>
    <t>8º</t>
  </si>
  <si>
    <t>9º</t>
  </si>
  <si>
    <t>10º</t>
  </si>
  <si>
    <t>11º</t>
  </si>
  <si>
    <t>12º</t>
  </si>
  <si>
    <t>13º</t>
  </si>
  <si>
    <t>14º</t>
  </si>
  <si>
    <t>15º</t>
  </si>
  <si>
    <t>16º</t>
  </si>
  <si>
    <t>17º</t>
  </si>
  <si>
    <t>18º</t>
  </si>
  <si>
    <t>19º</t>
  </si>
  <si>
    <t>20º</t>
  </si>
  <si>
    <t>21º</t>
  </si>
  <si>
    <t>22º</t>
  </si>
  <si>
    <t>23º</t>
  </si>
  <si>
    <t>24º</t>
  </si>
  <si>
    <t>25º</t>
  </si>
  <si>
    <t>EVOLUÇÃO PREVISTA ACUMULADA %:</t>
  </si>
  <si>
    <t>EVOLUÇÃO REAL ACUMULADA %:</t>
  </si>
  <si>
    <t>0º</t>
  </si>
  <si>
    <t>Status:</t>
  </si>
  <si>
    <t>STATUS EM:</t>
  </si>
  <si>
    <t>INÍCIO:</t>
  </si>
  <si>
    <t>TÉRMINO DA OBRA:</t>
  </si>
  <si>
    <t>TOTAL REAL</t>
  </si>
  <si>
    <t>TOTAL:</t>
  </si>
  <si>
    <t>MO DIRETA</t>
  </si>
  <si>
    <t>MO INDIRETA</t>
  </si>
  <si>
    <t>2.31</t>
  </si>
  <si>
    <t>2.30</t>
  </si>
  <si>
    <t>2.29</t>
  </si>
  <si>
    <t>2.28</t>
  </si>
  <si>
    <t>2.27</t>
  </si>
  <si>
    <t>2.26</t>
  </si>
  <si>
    <t>2.25</t>
  </si>
  <si>
    <t>2.24</t>
  </si>
  <si>
    <t>2.23</t>
  </si>
  <si>
    <t>2.22</t>
  </si>
  <si>
    <t>2.21</t>
  </si>
  <si>
    <t>2.20</t>
  </si>
  <si>
    <t>2.19</t>
  </si>
  <si>
    <t>2.18</t>
  </si>
  <si>
    <t>2.17</t>
  </si>
  <si>
    <t>2.16</t>
  </si>
  <si>
    <t>Ajudante de pintor</t>
  </si>
  <si>
    <t>2.15</t>
  </si>
  <si>
    <t>Pintor</t>
  </si>
  <si>
    <t>2.14</t>
  </si>
  <si>
    <t>2.13</t>
  </si>
  <si>
    <t>2.12</t>
  </si>
  <si>
    <t>2.11</t>
  </si>
  <si>
    <t>2.10</t>
  </si>
  <si>
    <t>2.09</t>
  </si>
  <si>
    <t>2.08</t>
  </si>
  <si>
    <t>2.07</t>
  </si>
  <si>
    <t>2.06</t>
  </si>
  <si>
    <t>Ajudante de carpinteiro</t>
  </si>
  <si>
    <t>2.05</t>
  </si>
  <si>
    <t>Carpinteiro</t>
  </si>
  <si>
    <t>2.04</t>
  </si>
  <si>
    <t>2.03</t>
  </si>
  <si>
    <t>Pedreiro</t>
  </si>
  <si>
    <t>2.02</t>
  </si>
  <si>
    <t>2.01</t>
  </si>
  <si>
    <t>Motorista veículos leves</t>
  </si>
  <si>
    <t>1.06</t>
  </si>
  <si>
    <t>1.05</t>
  </si>
  <si>
    <t>Encarregado</t>
  </si>
  <si>
    <t>1.04</t>
  </si>
  <si>
    <t>Estagiário</t>
  </si>
  <si>
    <t>1.03</t>
  </si>
  <si>
    <t>Técnico de Segurança do Trabalho</t>
  </si>
  <si>
    <t>1.02</t>
  </si>
  <si>
    <t>Engenheiro</t>
  </si>
  <si>
    <t>1.01</t>
  </si>
  <si>
    <t>INDIRETA REAL</t>
  </si>
  <si>
    <t>Semana</t>
  </si>
  <si>
    <t>MÊS</t>
  </si>
  <si>
    <t>DESCRIÇÃO</t>
  </si>
  <si>
    <t>ITEM</t>
  </si>
  <si>
    <t>TOTAL PREVISTA</t>
  </si>
  <si>
    <t>DIRETA PREVISTA</t>
  </si>
  <si>
    <t>INDIRETA PREVISTA</t>
  </si>
  <si>
    <t>Obra:      HOTEL CAMPANÁRIO</t>
  </si>
  <si>
    <t>ANEXO "C"</t>
  </si>
  <si>
    <t>PERMANENCIA DE MÃO DE OBRA</t>
  </si>
  <si>
    <t>Independência</t>
  </si>
  <si>
    <t>Dia do Trabalho</t>
  </si>
  <si>
    <t>Sexta-feira Santa</t>
  </si>
  <si>
    <t>Cinzas</t>
  </si>
  <si>
    <t>Carnaval</t>
  </si>
  <si>
    <t>Ano Novo</t>
  </si>
  <si>
    <t>Vespera de Ano Novo</t>
  </si>
  <si>
    <t>Natal</t>
  </si>
  <si>
    <t>Véspera de Natal</t>
  </si>
  <si>
    <t>Proclamação da Repúplica</t>
  </si>
  <si>
    <t>Finados</t>
  </si>
  <si>
    <t>Nossa Senhora Aparecida</t>
  </si>
  <si>
    <t>Feriados:</t>
  </si>
  <si>
    <t>HH ACUMULADO PREVISTO</t>
  </si>
  <si>
    <t>HH TOTAL PREVISTO</t>
  </si>
  <si>
    <t>HH ACUMULADO REAL</t>
  </si>
  <si>
    <t>HH TOTAL</t>
  </si>
  <si>
    <t>MO TOTAL</t>
  </si>
  <si>
    <t>DIRETA</t>
  </si>
  <si>
    <t>INDIRETA</t>
  </si>
  <si>
    <t>Dia</t>
  </si>
  <si>
    <t>SEMANA</t>
  </si>
  <si>
    <t>26º</t>
  </si>
  <si>
    <t>27º</t>
  </si>
  <si>
    <t>28º</t>
  </si>
  <si>
    <t>29º</t>
  </si>
  <si>
    <t>30º</t>
  </si>
  <si>
    <t>31º</t>
  </si>
  <si>
    <t>32º</t>
  </si>
  <si>
    <t>33º</t>
  </si>
  <si>
    <t>34º</t>
  </si>
  <si>
    <t>35º</t>
  </si>
  <si>
    <t>36º</t>
  </si>
  <si>
    <t>37º</t>
  </si>
  <si>
    <t>38º</t>
  </si>
  <si>
    <t>39º</t>
  </si>
  <si>
    <t>40º</t>
  </si>
  <si>
    <t>41º</t>
  </si>
  <si>
    <t>42º</t>
  </si>
  <si>
    <t>43º</t>
  </si>
  <si>
    <t>R00</t>
  </si>
  <si>
    <t>62º</t>
  </si>
  <si>
    <t>63º</t>
  </si>
  <si>
    <t>64º</t>
  </si>
  <si>
    <t>65º</t>
  </si>
  <si>
    <t>CRONOGRAMA FÍSICO FINANCEIRO R00</t>
  </si>
  <si>
    <t>SEMANA:</t>
  </si>
  <si>
    <t>EVOLUÇÃO PREVISTA SEMANAL</t>
  </si>
  <si>
    <t>EVOLUÇÃO REAL SEMANAL</t>
  </si>
  <si>
    <t>Técnico</t>
  </si>
  <si>
    <t>Equipe de desmobilização</t>
  </si>
  <si>
    <t>Calceteiro</t>
  </si>
  <si>
    <t>Armador</t>
  </si>
  <si>
    <t>Ajudante de armador</t>
  </si>
  <si>
    <t>Ajudante de pedreiro</t>
  </si>
  <si>
    <t>Operador cremalheira JF</t>
  </si>
  <si>
    <t>Ajudante eletricista - FP</t>
  </si>
  <si>
    <t>Eletricista - FP</t>
  </si>
  <si>
    <t>Equipe de Montagem de andaime</t>
  </si>
  <si>
    <t>Operador</t>
  </si>
  <si>
    <t>Equipe de piso</t>
  </si>
  <si>
    <t>Equipe de protenção</t>
  </si>
  <si>
    <t>Ajudante de pedreiro - servente</t>
  </si>
  <si>
    <t>Ajudante de ferreiro / armador</t>
  </si>
  <si>
    <t>ATIVIDADES PREVISTAS POR SEMANA</t>
  </si>
  <si>
    <t>RELAT N°01</t>
  </si>
  <si>
    <t>RELATÓRIO DE EVOLUÇÃO FÍSICA DA OBRA (REFIS)</t>
  </si>
  <si>
    <t>DPW - LANES 05 E 09</t>
  </si>
  <si>
    <t>SANTOS - SP</t>
  </si>
  <si>
    <t>DP WORLD</t>
  </si>
  <si>
    <t>OBRA:</t>
  </si>
  <si>
    <t>LOCAL:</t>
  </si>
  <si>
    <t>CLIENTE:</t>
  </si>
  <si>
    <t>% concluída</t>
  </si>
  <si>
    <t>TÉRMINO:</t>
  </si>
  <si>
    <t>Ferreiro / armador</t>
  </si>
  <si>
    <t>Pedreiro azulejista</t>
  </si>
  <si>
    <t>Pedreiro de massa - Betinho</t>
  </si>
  <si>
    <t>Encanador - Carlito</t>
  </si>
  <si>
    <t>Ajudante de encanador - Carlito</t>
  </si>
  <si>
    <t>Calheiro - Renato calhas</t>
  </si>
  <si>
    <t>Ajudante de calheiro - Renato calhas</t>
  </si>
  <si>
    <t>Serralheiro</t>
  </si>
  <si>
    <t>Oficial - Forros</t>
  </si>
  <si>
    <t>Ajudande - Forros</t>
  </si>
  <si>
    <t>Ajudante de topógrafo</t>
  </si>
  <si>
    <t>Topógrafo</t>
  </si>
  <si>
    <t>Desmobilização</t>
  </si>
  <si>
    <t>81º</t>
  </si>
  <si>
    <t>82º</t>
  </si>
  <si>
    <t>83º</t>
  </si>
  <si>
    <t>84º</t>
  </si>
  <si>
    <t>85º</t>
  </si>
  <si>
    <t>86º</t>
  </si>
  <si>
    <t>87º</t>
  </si>
  <si>
    <t>88º</t>
  </si>
  <si>
    <t>89º</t>
  </si>
  <si>
    <t>90º</t>
  </si>
  <si>
    <t>91º</t>
  </si>
  <si>
    <t>92º</t>
  </si>
  <si>
    <t>93º</t>
  </si>
  <si>
    <t>94º</t>
  </si>
  <si>
    <t xml:space="preserve">   INSTALAÇÕES PROVISÓRIAS E CUSTO INDIRETO:</t>
  </si>
  <si>
    <t xml:space="preserve">   SERVIÇOS COMPLEMENTARES:</t>
  </si>
  <si>
    <t>AGOSTO</t>
  </si>
  <si>
    <t>SETEMBRO</t>
  </si>
  <si>
    <t>OUTUBRO</t>
  </si>
  <si>
    <t>NOVEMBRO</t>
  </si>
  <si>
    <t>DEZEMBRO</t>
  </si>
  <si>
    <t>JANEIRO</t>
  </si>
  <si>
    <t>SEMANA 12 - 18 a 24/10</t>
  </si>
  <si>
    <t>SEMANA 13 - 25 a 31/10</t>
  </si>
  <si>
    <t>SEMANA 14 - 01 a 07/11</t>
  </si>
  <si>
    <t>APARECIDA/SP</t>
  </si>
  <si>
    <t>QIU XIANQUAN</t>
  </si>
  <si>
    <t xml:space="preserve">   INICIO DO PROJETO - MOBILIZAÇÃO</t>
  </si>
  <si>
    <t>44º</t>
  </si>
  <si>
    <t>45º</t>
  </si>
  <si>
    <t>46º</t>
  </si>
  <si>
    <t>47º</t>
  </si>
  <si>
    <t>48º</t>
  </si>
  <si>
    <t>49º</t>
  </si>
  <si>
    <t>50º</t>
  </si>
  <si>
    <t>51º</t>
  </si>
  <si>
    <t>52º</t>
  </si>
  <si>
    <t>53º</t>
  </si>
  <si>
    <t>54º</t>
  </si>
  <si>
    <t>55º</t>
  </si>
  <si>
    <t>56º</t>
  </si>
  <si>
    <t>57º</t>
  </si>
  <si>
    <t>58º</t>
  </si>
  <si>
    <t>59º</t>
  </si>
  <si>
    <t>60º</t>
  </si>
  <si>
    <t>61º</t>
  </si>
  <si>
    <t>HOTEL QIU II - FASE 4</t>
  </si>
  <si>
    <t>BASE: PLN_747_09_2025_R02_HOTEL QIU 2 - FASE 4</t>
  </si>
  <si>
    <t>Descrição</t>
  </si>
  <si>
    <t xml:space="preserve">   5º PAVIMENTO:</t>
  </si>
  <si>
    <t xml:space="preserve">      ESGOTO:</t>
  </si>
  <si>
    <t xml:space="preserve">      ÁGUA FRIA: </t>
  </si>
  <si>
    <t xml:space="preserve">      ÁGUA QUENTE:</t>
  </si>
  <si>
    <t xml:space="preserve">      AR CONDICIONADO: </t>
  </si>
  <si>
    <t xml:space="preserve">      ELÉTRICA:</t>
  </si>
  <si>
    <t xml:space="preserve">      TEL, CFTV E DADOS:</t>
  </si>
  <si>
    <t xml:space="preserve">      PCI:</t>
  </si>
  <si>
    <t xml:space="preserve">      IMPERMEABILIZAÇÕES:</t>
  </si>
  <si>
    <t xml:space="preserve">      REVEST. MASSA INTERNO:</t>
  </si>
  <si>
    <t xml:space="preserve">      REVEST. CERÂMICO:</t>
  </si>
  <si>
    <t xml:space="preserve">      FORRO:</t>
  </si>
  <si>
    <t xml:space="preserve">      ESQUADRIAS:</t>
  </si>
  <si>
    <t xml:space="preserve">      PINTURA INTERNA:</t>
  </si>
  <si>
    <t xml:space="preserve">      LOUÇAS, METAIS E ACESSÓRIOS:</t>
  </si>
  <si>
    <t xml:space="preserve">   6º PAVIMENTO:</t>
  </si>
  <si>
    <t xml:space="preserve">      AR CONDICIONADO:</t>
  </si>
  <si>
    <t xml:space="preserve">   7º PAVIMENTO:</t>
  </si>
  <si>
    <t xml:space="preserve">      ÁGUA FRIA:</t>
  </si>
  <si>
    <t xml:space="preserve">      ÁGUA QUENTE: </t>
  </si>
  <si>
    <t xml:space="preserve">   8º PAVIMENTO:</t>
  </si>
  <si>
    <t xml:space="preserve">      ÁGUA QUENTE: (válvula redutoras de pressão)</t>
  </si>
  <si>
    <t xml:space="preserve">      REVEST. MASSA INTERNO: </t>
  </si>
  <si>
    <t xml:space="preserve">   9º PAVIMENTO:</t>
  </si>
  <si>
    <t xml:space="preserve">   10º PAVIMENTO:</t>
  </si>
  <si>
    <t xml:space="preserve">      AR CONDICIONADO: (considerando alimentação para 8 aparelhos no restaurante/bar)</t>
  </si>
  <si>
    <t xml:space="preserve">   FIM DO PROJETO - DESMOBILIZAÇÃO</t>
  </si>
  <si>
    <t>FEVEREIRO</t>
  </si>
  <si>
    <t>MARÇO</t>
  </si>
  <si>
    <t>ABRIL</t>
  </si>
  <si>
    <t>MAIO</t>
  </si>
  <si>
    <t>JUNHO</t>
  </si>
  <si>
    <t>JULHO</t>
  </si>
  <si>
    <t>PLN_747_09_2025_R02_HOTEL QIU 2 -F4</t>
  </si>
  <si>
    <t>REAL</t>
  </si>
  <si>
    <t>PREV</t>
  </si>
  <si>
    <t xml:space="preserve">      IMPERMEAB.:</t>
  </si>
  <si>
    <t xml:space="preserve">      REVEST. MASSA:</t>
  </si>
  <si>
    <t xml:space="preserve">      LOUÇAS:</t>
  </si>
  <si>
    <t xml:space="preserve">      REVEST. MASSA: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</si>
</sst>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[$-416]mmm/yy"/>
    <numFmt numFmtId="165" formatCode="0.0%"/>
  </numFmts>
  <fonts count="51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indexed="8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rgb="FF363636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name val="Calibri"/>
      <family val="2"/>
      <scheme val="minor"/>
    </font>
    <font>
      <sz val="16"/>
      <color indexed="8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6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4"/>
      <color rgb="FFFFC00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sz val="8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9"/>
      <color indexed="8"/>
      <name val="Calibri"/>
      <family val="2"/>
      <scheme val="minor"/>
    </font>
    <font>
      <b/>
      <sz val="14"/>
      <name val="Calibri"/>
      <family val="2"/>
      <scheme val="minor"/>
    </font>
    <font>
      <sz val="9"/>
      <color indexed="8"/>
      <name val="Calibri"/>
      <family val="2"/>
      <scheme val="minor"/>
    </font>
    <font>
      <b/>
      <sz val="12"/>
      <color indexed="8"/>
      <name val="Calibri"/>
      <family val="2"/>
      <scheme val="minor"/>
    </font>
    <font>
      <sz val="9"/>
      <color rgb="FF363636"/>
      <name val="Segoe UI"/>
      <family val="2"/>
    </font>
    <font>
      <b/>
      <sz val="12"/>
      <color rgb="FF0000FF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4"/>
      <color theme="7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trike/>
      <sz val="11"/>
      <color rgb="FF0000FF"/>
      <name val="Calibri"/>
      <family val="2"/>
      <scheme val="minor"/>
    </font>
    <font>
      <b/>
      <i/>
      <sz val="11"/>
      <color rgb="FF1F3864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DFE3E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31"/>
      </patternFill>
    </fill>
    <fill>
      <patternFill patternType="solid">
        <fgColor rgb="FFEBEBEB"/>
        <bgColor indexed="31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31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D1A4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FEE599"/>
        <bgColor indexed="64"/>
      </patternFill>
    </fill>
    <fill>
      <patternFill patternType="solid">
        <fgColor theme="3" tint="0.79998168889431442"/>
        <bgColor indexed="64"/>
      </patternFill>
    </fill>
  </fills>
  <borders count="7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rgb="FFB1BBCC"/>
      </left>
      <right/>
      <top style="thin">
        <color rgb="FFB1BBCC"/>
      </top>
      <bottom style="thin">
        <color rgb="FFB1BBCC"/>
      </bottom>
      <diagonal/>
    </border>
    <border>
      <left/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11">
    <xf numFmtId="0" fontId="0" fillId="0" borderId="0"/>
    <xf numFmtId="0" fontId="3" fillId="0" borderId="0">
      <alignment vertical="top"/>
    </xf>
    <xf numFmtId="0" fontId="4" fillId="0" borderId="0"/>
    <xf numFmtId="0" fontId="3" fillId="0" borderId="0"/>
    <xf numFmtId="0" fontId="4" fillId="0" borderId="0">
      <alignment vertical="top"/>
    </xf>
    <xf numFmtId="0" fontId="5" fillId="0" borderId="0">
      <alignment vertical="center"/>
    </xf>
    <xf numFmtId="0" fontId="1" fillId="0" borderId="0"/>
    <xf numFmtId="0" fontId="3" fillId="0" borderId="0">
      <alignment vertical="top"/>
    </xf>
    <xf numFmtId="9" fontId="6" fillId="0" borderId="0" applyFont="0" applyFill="0" applyBorder="0" applyAlignment="0" applyProtection="0"/>
    <xf numFmtId="44" fontId="3" fillId="0" borderId="0" applyFont="0" applyFill="0" applyBorder="0" applyAlignment="0" applyProtection="0">
      <alignment vertical="top"/>
    </xf>
    <xf numFmtId="9" fontId="3" fillId="0" borderId="0" applyFont="0" applyFill="0" applyBorder="0" applyAlignment="0" applyProtection="0"/>
  </cellStyleXfs>
  <cellXfs count="358">
    <xf numFmtId="0" fontId="0" fillId="0" borderId="0" xfId="0"/>
    <xf numFmtId="0" fontId="6" fillId="0" borderId="0" xfId="6" applyFont="1"/>
    <xf numFmtId="10" fontId="0" fillId="0" borderId="0" xfId="8" applyNumberFormat="1" applyFont="1"/>
    <xf numFmtId="10" fontId="0" fillId="0" borderId="0" xfId="10" applyNumberFormat="1" applyFont="1" applyAlignment="1"/>
    <xf numFmtId="0" fontId="12" fillId="2" borderId="1" xfId="0" applyFont="1" applyFill="1" applyBorder="1" applyAlignment="1">
      <alignment horizontal="right" vertical="center" wrapText="1"/>
    </xf>
    <xf numFmtId="0" fontId="11" fillId="3" borderId="0" xfId="0" applyFont="1" applyFill="1" applyAlignment="1">
      <alignment horizontal="center"/>
    </xf>
    <xf numFmtId="0" fontId="13" fillId="2" borderId="1" xfId="0" applyFont="1" applyFill="1" applyBorder="1" applyAlignment="1">
      <alignment vertical="center" wrapText="1"/>
    </xf>
    <xf numFmtId="165" fontId="8" fillId="9" borderId="1" xfId="0" applyNumberFormat="1" applyFont="1" applyFill="1" applyBorder="1" applyAlignment="1">
      <alignment vertical="center" wrapText="1"/>
    </xf>
    <xf numFmtId="165" fontId="2" fillId="9" borderId="1" xfId="0" applyNumberFormat="1" applyFont="1" applyFill="1" applyBorder="1" applyAlignment="1">
      <alignment vertical="center" wrapText="1"/>
    </xf>
    <xf numFmtId="0" fontId="15" fillId="0" borderId="0" xfId="3" applyFont="1" applyAlignment="1">
      <alignment vertical="center"/>
    </xf>
    <xf numFmtId="0" fontId="11" fillId="0" borderId="0" xfId="0" applyFont="1"/>
    <xf numFmtId="0" fontId="20" fillId="0" borderId="0" xfId="1" applyFont="1" applyAlignment="1">
      <alignment vertical="center"/>
    </xf>
    <xf numFmtId="0" fontId="21" fillId="0" borderId="0" xfId="1" applyFont="1" applyAlignment="1"/>
    <xf numFmtId="0" fontId="22" fillId="0" borderId="0" xfId="3" applyFont="1" applyAlignment="1">
      <alignment vertical="center"/>
    </xf>
    <xf numFmtId="0" fontId="23" fillId="0" borderId="0" xfId="1" applyFont="1" applyAlignment="1"/>
    <xf numFmtId="0" fontId="20" fillId="0" borderId="0" xfId="3" applyFont="1" applyAlignment="1">
      <alignment vertical="center"/>
    </xf>
    <xf numFmtId="0" fontId="24" fillId="0" borderId="0" xfId="3" applyFont="1" applyAlignment="1">
      <alignment vertical="center"/>
    </xf>
    <xf numFmtId="0" fontId="14" fillId="0" borderId="0" xfId="1" applyFont="1" applyAlignment="1"/>
    <xf numFmtId="0" fontId="9" fillId="0" borderId="0" xfId="1" applyFont="1" applyAlignment="1">
      <alignment vertical="center"/>
    </xf>
    <xf numFmtId="0" fontId="22" fillId="0" borderId="0" xfId="1" applyFont="1" applyAlignment="1">
      <alignment vertical="center"/>
    </xf>
    <xf numFmtId="0" fontId="26" fillId="0" borderId="0" xfId="1" applyFont="1" applyAlignment="1">
      <alignment vertical="center"/>
    </xf>
    <xf numFmtId="0" fontId="1" fillId="0" borderId="0" xfId="6"/>
    <xf numFmtId="0" fontId="27" fillId="0" borderId="0" xfId="1" applyFont="1" applyAlignment="1"/>
    <xf numFmtId="0" fontId="23" fillId="0" borderId="0" xfId="1" applyFont="1" applyAlignment="1">
      <alignment vertical="center"/>
    </xf>
    <xf numFmtId="0" fontId="28" fillId="10" borderId="8" xfId="1" applyFont="1" applyFill="1" applyBorder="1" applyAlignment="1">
      <alignment vertical="center" wrapText="1"/>
    </xf>
    <xf numFmtId="0" fontId="28" fillId="10" borderId="9" xfId="1" applyFont="1" applyFill="1" applyBorder="1" applyAlignment="1">
      <alignment horizontal="right" vertical="center"/>
    </xf>
    <xf numFmtId="0" fontId="28" fillId="10" borderId="9" xfId="1" applyFont="1" applyFill="1" applyBorder="1" applyAlignment="1">
      <alignment vertical="center" wrapText="1"/>
    </xf>
    <xf numFmtId="0" fontId="0" fillId="11" borderId="12" xfId="0" applyFill="1" applyBorder="1"/>
    <xf numFmtId="0" fontId="0" fillId="11" borderId="11" xfId="0" applyFill="1" applyBorder="1"/>
    <xf numFmtId="0" fontId="0" fillId="11" borderId="13" xfId="0" applyFill="1" applyBorder="1"/>
    <xf numFmtId="0" fontId="20" fillId="11" borderId="3" xfId="1" applyFont="1" applyFill="1" applyBorder="1" applyAlignment="1">
      <alignment vertical="center"/>
    </xf>
    <xf numFmtId="0" fontId="20" fillId="11" borderId="14" xfId="1" applyFont="1" applyFill="1" applyBorder="1" applyAlignment="1">
      <alignment vertical="center"/>
    </xf>
    <xf numFmtId="0" fontId="22" fillId="11" borderId="3" xfId="3" applyFont="1" applyFill="1" applyBorder="1" applyAlignment="1">
      <alignment vertical="center"/>
    </xf>
    <xf numFmtId="0" fontId="22" fillId="11" borderId="14" xfId="3" applyFont="1" applyFill="1" applyBorder="1" applyAlignment="1">
      <alignment vertical="center"/>
    </xf>
    <xf numFmtId="0" fontId="20" fillId="11" borderId="3" xfId="3" applyFont="1" applyFill="1" applyBorder="1" applyAlignment="1">
      <alignment vertical="center"/>
    </xf>
    <xf numFmtId="0" fontId="20" fillId="11" borderId="14" xfId="3" applyFont="1" applyFill="1" applyBorder="1" applyAlignment="1">
      <alignment vertical="center"/>
    </xf>
    <xf numFmtId="0" fontId="25" fillId="11" borderId="3" xfId="1" applyFont="1" applyFill="1" applyBorder="1" applyAlignment="1"/>
    <xf numFmtId="0" fontId="23" fillId="11" borderId="14" xfId="1" applyFont="1" applyFill="1" applyBorder="1" applyAlignment="1"/>
    <xf numFmtId="0" fontId="14" fillId="11" borderId="0" xfId="1" applyFont="1" applyFill="1" applyAlignment="1"/>
    <xf numFmtId="0" fontId="9" fillId="11" borderId="14" xfId="1" applyFont="1" applyFill="1" applyBorder="1" applyAlignment="1">
      <alignment vertical="center"/>
    </xf>
    <xf numFmtId="0" fontId="26" fillId="11" borderId="0" xfId="1" applyFont="1" applyFill="1" applyAlignment="1">
      <alignment vertical="center"/>
    </xf>
    <xf numFmtId="0" fontId="14" fillId="11" borderId="14" xfId="1" applyFont="1" applyFill="1" applyBorder="1" applyAlignment="1"/>
    <xf numFmtId="0" fontId="0" fillId="11" borderId="3" xfId="0" applyFill="1" applyBorder="1"/>
    <xf numFmtId="0" fontId="0" fillId="11" borderId="14" xfId="0" applyFill="1" applyBorder="1"/>
    <xf numFmtId="0" fontId="1" fillId="11" borderId="3" xfId="6" applyFill="1" applyBorder="1"/>
    <xf numFmtId="0" fontId="1" fillId="11" borderId="0" xfId="6" applyFill="1"/>
    <xf numFmtId="0" fontId="1" fillId="11" borderId="14" xfId="6" applyFill="1" applyBorder="1"/>
    <xf numFmtId="0" fontId="0" fillId="11" borderId="0" xfId="0" applyFill="1"/>
    <xf numFmtId="0" fontId="29" fillId="10" borderId="0" xfId="1" applyFont="1" applyFill="1" applyAlignment="1">
      <alignment vertical="center"/>
    </xf>
    <xf numFmtId="0" fontId="30" fillId="10" borderId="0" xfId="1" applyFont="1" applyFill="1" applyAlignment="1"/>
    <xf numFmtId="0" fontId="31" fillId="10" borderId="0" xfId="2" applyFont="1" applyFill="1" applyAlignment="1">
      <alignment horizontal="center"/>
    </xf>
    <xf numFmtId="0" fontId="32" fillId="10" borderId="0" xfId="1" applyFont="1" applyFill="1" applyAlignment="1">
      <alignment vertical="center"/>
    </xf>
    <xf numFmtId="0" fontId="23" fillId="10" borderId="0" xfId="1" applyFont="1" applyFill="1" applyAlignment="1"/>
    <xf numFmtId="0" fontId="14" fillId="10" borderId="0" xfId="1" applyFont="1" applyFill="1" applyAlignment="1"/>
    <xf numFmtId="0" fontId="33" fillId="10" borderId="0" xfId="3" applyFont="1" applyFill="1" applyAlignment="1">
      <alignment vertical="center"/>
    </xf>
    <xf numFmtId="0" fontId="33" fillId="10" borderId="0" xfId="1" applyFont="1" applyFill="1" applyAlignment="1"/>
    <xf numFmtId="14" fontId="34" fillId="10" borderId="0" xfId="1" applyNumberFormat="1" applyFont="1" applyFill="1" applyAlignment="1">
      <alignment horizontal="right" vertical="center"/>
    </xf>
    <xf numFmtId="0" fontId="17" fillId="10" borderId="0" xfId="3" applyFont="1" applyFill="1" applyAlignment="1">
      <alignment vertical="center"/>
    </xf>
    <xf numFmtId="0" fontId="29" fillId="10" borderId="0" xfId="3" applyFont="1" applyFill="1" applyAlignment="1">
      <alignment vertical="center"/>
    </xf>
    <xf numFmtId="164" fontId="28" fillId="10" borderId="0" xfId="5" applyNumberFormat="1" applyFont="1" applyFill="1" applyAlignment="1">
      <alignment horizontal="center"/>
    </xf>
    <xf numFmtId="0" fontId="17" fillId="10" borderId="0" xfId="1" applyFont="1" applyFill="1" applyAlignment="1">
      <alignment vertical="center"/>
    </xf>
    <xf numFmtId="0" fontId="34" fillId="10" borderId="0" xfId="1" applyFont="1" applyFill="1" applyAlignment="1">
      <alignment horizontal="right" vertical="center"/>
    </xf>
    <xf numFmtId="0" fontId="34" fillId="10" borderId="0" xfId="1" applyFont="1" applyFill="1" applyAlignment="1"/>
    <xf numFmtId="0" fontId="28" fillId="10" borderId="0" xfId="1" applyFont="1" applyFill="1" applyAlignment="1">
      <alignment vertical="center"/>
    </xf>
    <xf numFmtId="0" fontId="28" fillId="10" borderId="0" xfId="1" applyFont="1" applyFill="1" applyAlignment="1">
      <alignment horizontal="right" vertical="center"/>
    </xf>
    <xf numFmtId="14" fontId="28" fillId="10" borderId="0" xfId="1" applyNumberFormat="1" applyFont="1" applyFill="1" applyAlignment="1">
      <alignment vertical="center"/>
    </xf>
    <xf numFmtId="0" fontId="35" fillId="10" borderId="0" xfId="1" applyFont="1" applyFill="1" applyAlignment="1">
      <alignment horizontal="center" vertical="center"/>
    </xf>
    <xf numFmtId="0" fontId="36" fillId="10" borderId="0" xfId="1" applyFont="1" applyFill="1" applyAlignment="1">
      <alignment horizontal="center" vertical="center"/>
    </xf>
    <xf numFmtId="9" fontId="14" fillId="0" borderId="0" xfId="8" applyFont="1" applyAlignment="1">
      <alignment horizontal="right" vertical="center"/>
    </xf>
    <xf numFmtId="0" fontId="0" fillId="0" borderId="0" xfId="6" applyFont="1"/>
    <xf numFmtId="0" fontId="14" fillId="0" borderId="0" xfId="7" applyFont="1" applyAlignment="1">
      <alignment horizontal="right" vertical="center"/>
    </xf>
    <xf numFmtId="10" fontId="37" fillId="0" borderId="6" xfId="8" applyNumberFormat="1" applyFont="1" applyFill="1" applyBorder="1" applyAlignment="1">
      <alignment vertical="center" wrapText="1"/>
    </xf>
    <xf numFmtId="10" fontId="0" fillId="0" borderId="3" xfId="6" applyNumberFormat="1" applyFont="1" applyBorder="1"/>
    <xf numFmtId="10" fontId="37" fillId="0" borderId="4" xfId="8" applyNumberFormat="1" applyFont="1" applyFill="1" applyBorder="1" applyAlignment="1">
      <alignment vertical="center" wrapText="1"/>
    </xf>
    <xf numFmtId="0" fontId="0" fillId="0" borderId="3" xfId="6" applyFont="1" applyBorder="1"/>
    <xf numFmtId="10" fontId="37" fillId="0" borderId="2" xfId="8" applyNumberFormat="1" applyFont="1" applyFill="1" applyBorder="1" applyAlignment="1">
      <alignment vertical="center" wrapText="1"/>
    </xf>
    <xf numFmtId="10" fontId="37" fillId="0" borderId="5" xfId="8" applyNumberFormat="1" applyFont="1" applyFill="1" applyBorder="1" applyAlignment="1">
      <alignment vertical="center" wrapText="1"/>
    </xf>
    <xf numFmtId="165" fontId="8" fillId="13" borderId="1" xfId="0" applyNumberFormat="1" applyFont="1" applyFill="1" applyBorder="1" applyAlignment="1">
      <alignment vertical="center" wrapText="1"/>
    </xf>
    <xf numFmtId="165" fontId="2" fillId="13" borderId="1" xfId="0" applyNumberFormat="1" applyFont="1" applyFill="1" applyBorder="1" applyAlignment="1">
      <alignment vertical="center" wrapText="1"/>
    </xf>
    <xf numFmtId="0" fontId="38" fillId="0" borderId="0" xfId="1" applyFont="1" applyAlignment="1"/>
    <xf numFmtId="0" fontId="12" fillId="0" borderId="0" xfId="3" applyFont="1" applyAlignment="1">
      <alignment vertical="center"/>
    </xf>
    <xf numFmtId="0" fontId="26" fillId="0" borderId="0" xfId="3" applyFont="1" applyAlignment="1">
      <alignment vertical="center"/>
    </xf>
    <xf numFmtId="0" fontId="38" fillId="0" borderId="0" xfId="1" applyFont="1" applyAlignment="1">
      <alignment horizontal="center"/>
    </xf>
    <xf numFmtId="14" fontId="12" fillId="0" borderId="0" xfId="1" applyNumberFormat="1" applyFont="1" applyAlignment="1">
      <alignment horizontal="left"/>
    </xf>
    <xf numFmtId="14" fontId="6" fillId="0" borderId="0" xfId="1" applyNumberFormat="1" applyFont="1" applyAlignment="1"/>
    <xf numFmtId="0" fontId="6" fillId="0" borderId="0" xfId="1" applyFont="1" applyAlignment="1">
      <alignment horizontal="center"/>
    </xf>
    <xf numFmtId="0" fontId="12" fillId="0" borderId="0" xfId="1" applyFont="1" applyAlignment="1">
      <alignment vertical="center"/>
    </xf>
    <xf numFmtId="0" fontId="6" fillId="0" borderId="0" xfId="1" applyFont="1" applyAlignment="1"/>
    <xf numFmtId="0" fontId="26" fillId="0" borderId="0" xfId="1" applyFont="1" applyAlignment="1">
      <alignment horizontal="center" vertical="center"/>
    </xf>
    <xf numFmtId="0" fontId="12" fillId="0" borderId="0" xfId="1" applyFont="1" applyAlignment="1">
      <alignment horizontal="left" vertical="center"/>
    </xf>
    <xf numFmtId="0" fontId="18" fillId="0" borderId="0" xfId="1" applyFont="1" applyAlignment="1"/>
    <xf numFmtId="0" fontId="12" fillId="0" borderId="0" xfId="1" applyFont="1" applyAlignment="1"/>
    <xf numFmtId="0" fontId="38" fillId="0" borderId="0" xfId="1" applyFont="1">
      <alignment vertical="top"/>
    </xf>
    <xf numFmtId="0" fontId="38" fillId="0" borderId="0" xfId="1" applyFont="1" applyAlignment="1">
      <alignment vertical="center"/>
    </xf>
    <xf numFmtId="0" fontId="38" fillId="0" borderId="52" xfId="1" applyFont="1" applyBorder="1" applyAlignment="1">
      <alignment horizontal="center" vertical="center"/>
    </xf>
    <xf numFmtId="0" fontId="38" fillId="0" borderId="18" xfId="1" applyFont="1" applyBorder="1">
      <alignment vertical="top"/>
    </xf>
    <xf numFmtId="0" fontId="38" fillId="0" borderId="13" xfId="1" applyFont="1" applyBorder="1" applyAlignment="1">
      <alignment horizontal="center" vertical="center"/>
    </xf>
    <xf numFmtId="0" fontId="14" fillId="0" borderId="7" xfId="1" applyFont="1" applyBorder="1" applyAlignment="1">
      <alignment horizontal="center" vertical="center" wrapText="1"/>
    </xf>
    <xf numFmtId="0" fontId="39" fillId="7" borderId="37" xfId="1" applyFont="1" applyFill="1" applyBorder="1" applyAlignment="1">
      <alignment horizontal="center" vertical="center"/>
    </xf>
    <xf numFmtId="0" fontId="39" fillId="7" borderId="36" xfId="1" applyFont="1" applyFill="1" applyBorder="1" applyAlignment="1">
      <alignment vertical="center"/>
    </xf>
    <xf numFmtId="0" fontId="38" fillId="0" borderId="44" xfId="1" applyFont="1" applyBorder="1" applyAlignment="1">
      <alignment horizontal="center" vertical="center"/>
    </xf>
    <xf numFmtId="0" fontId="38" fillId="0" borderId="34" xfId="0" applyFont="1" applyBorder="1" applyAlignment="1">
      <alignment vertical="center"/>
    </xf>
    <xf numFmtId="9" fontId="38" fillId="0" borderId="28" xfId="10" applyFont="1" applyBorder="1" applyAlignment="1">
      <alignment horizontal="center" vertical="center"/>
    </xf>
    <xf numFmtId="1" fontId="38" fillId="0" borderId="28" xfId="10" applyNumberFormat="1" applyFont="1" applyBorder="1" applyAlignment="1">
      <alignment horizontal="center" vertical="center"/>
    </xf>
    <xf numFmtId="0" fontId="16" fillId="0" borderId="40" xfId="1" applyFont="1" applyBorder="1" applyAlignment="1">
      <alignment horizontal="center" vertical="center" wrapText="1"/>
    </xf>
    <xf numFmtId="0" fontId="16" fillId="0" borderId="43" xfId="1" applyFont="1" applyBorder="1" applyAlignment="1">
      <alignment horizontal="center" vertical="center" wrapText="1"/>
    </xf>
    <xf numFmtId="0" fontId="38" fillId="0" borderId="30" xfId="1" applyFont="1" applyBorder="1" applyAlignment="1">
      <alignment horizontal="center" vertical="center"/>
    </xf>
    <xf numFmtId="0" fontId="38" fillId="0" borderId="29" xfId="0" applyFont="1" applyBorder="1" applyAlignment="1">
      <alignment vertical="center"/>
    </xf>
    <xf numFmtId="0" fontId="16" fillId="0" borderId="26" xfId="1" applyFont="1" applyBorder="1" applyAlignment="1">
      <alignment horizontal="center" vertical="center" wrapText="1"/>
    </xf>
    <xf numFmtId="0" fontId="16" fillId="0" borderId="25" xfId="1" applyFont="1" applyBorder="1" applyAlignment="1">
      <alignment horizontal="center" vertical="center" wrapText="1"/>
    </xf>
    <xf numFmtId="1" fontId="16" fillId="0" borderId="42" xfId="1" applyNumberFormat="1" applyFont="1" applyBorder="1" applyAlignment="1">
      <alignment horizontal="center" vertical="center" wrapText="1"/>
    </xf>
    <xf numFmtId="1" fontId="16" fillId="0" borderId="41" xfId="1" applyNumberFormat="1" applyFont="1" applyBorder="1" applyAlignment="1">
      <alignment horizontal="center" vertical="center" wrapText="1"/>
    </xf>
    <xf numFmtId="0" fontId="38" fillId="0" borderId="24" xfId="1" applyFont="1" applyBorder="1" applyAlignment="1">
      <alignment horizontal="center" vertical="center"/>
    </xf>
    <xf numFmtId="0" fontId="38" fillId="0" borderId="23" xfId="0" applyFont="1" applyBorder="1" applyAlignment="1">
      <alignment vertical="center"/>
    </xf>
    <xf numFmtId="0" fontId="16" fillId="0" borderId="39" xfId="1" applyFont="1" applyBorder="1" applyAlignment="1">
      <alignment horizontal="center" vertical="center" wrapText="1"/>
    </xf>
    <xf numFmtId="0" fontId="16" fillId="0" borderId="38" xfId="1" applyFont="1" applyBorder="1" applyAlignment="1">
      <alignment horizontal="center" vertical="center" wrapText="1"/>
    </xf>
    <xf numFmtId="0" fontId="39" fillId="7" borderId="36" xfId="0" applyFont="1" applyFill="1" applyBorder="1" applyAlignment="1">
      <alignment vertical="center"/>
    </xf>
    <xf numFmtId="0" fontId="38" fillId="0" borderId="32" xfId="1" applyFont="1" applyBorder="1" applyAlignment="1">
      <alignment horizontal="center" vertical="center"/>
    </xf>
    <xf numFmtId="1" fontId="16" fillId="6" borderId="40" xfId="1" applyNumberFormat="1" applyFont="1" applyFill="1" applyBorder="1" applyAlignment="1">
      <alignment horizontal="center" vertical="center" wrapText="1"/>
    </xf>
    <xf numFmtId="1" fontId="16" fillId="6" borderId="43" xfId="1" applyNumberFormat="1" applyFont="1" applyFill="1" applyBorder="1" applyAlignment="1">
      <alignment horizontal="center" vertical="center" wrapText="1"/>
    </xf>
    <xf numFmtId="0" fontId="38" fillId="0" borderId="18" xfId="1" applyFont="1" applyBorder="1" applyAlignment="1"/>
    <xf numFmtId="1" fontId="38" fillId="0" borderId="0" xfId="1" applyNumberFormat="1" applyFont="1">
      <alignment vertical="top"/>
    </xf>
    <xf numFmtId="1" fontId="16" fillId="6" borderId="26" xfId="1" applyNumberFormat="1" applyFont="1" applyFill="1" applyBorder="1" applyAlignment="1">
      <alignment horizontal="center" vertical="center" wrapText="1"/>
    </xf>
    <xf numFmtId="1" fontId="16" fillId="6" borderId="25" xfId="1" applyNumberFormat="1" applyFont="1" applyFill="1" applyBorder="1" applyAlignment="1">
      <alignment horizontal="center" vertical="center" wrapText="1"/>
    </xf>
    <xf numFmtId="0" fontId="38" fillId="0" borderId="29" xfId="1" applyFont="1" applyBorder="1" applyAlignment="1">
      <alignment vertical="center"/>
    </xf>
    <xf numFmtId="1" fontId="16" fillId="6" borderId="27" xfId="1" applyNumberFormat="1" applyFont="1" applyFill="1" applyBorder="1" applyAlignment="1">
      <alignment horizontal="center" vertical="center" wrapText="1"/>
    </xf>
    <xf numFmtId="0" fontId="39" fillId="5" borderId="30" xfId="1" applyFont="1" applyFill="1" applyBorder="1" applyAlignment="1">
      <alignment horizontal="center" vertical="center"/>
    </xf>
    <xf numFmtId="0" fontId="39" fillId="5" borderId="29" xfId="1" applyFont="1" applyFill="1" applyBorder="1" applyAlignment="1">
      <alignment vertical="center"/>
    </xf>
    <xf numFmtId="9" fontId="39" fillId="5" borderId="28" xfId="10" applyFont="1" applyFill="1" applyBorder="1" applyAlignment="1">
      <alignment horizontal="center" vertical="center"/>
    </xf>
    <xf numFmtId="1" fontId="39" fillId="5" borderId="28" xfId="1" applyNumberFormat="1" applyFont="1" applyFill="1" applyBorder="1" applyAlignment="1">
      <alignment horizontal="center" vertical="center"/>
    </xf>
    <xf numFmtId="1" fontId="40" fillId="5" borderId="26" xfId="1" applyNumberFormat="1" applyFont="1" applyFill="1" applyBorder="1" applyAlignment="1">
      <alignment horizontal="center" vertical="center"/>
    </xf>
    <xf numFmtId="0" fontId="39" fillId="4" borderId="24" xfId="1" applyFont="1" applyFill="1" applyBorder="1" applyAlignment="1">
      <alignment horizontal="center" vertical="center"/>
    </xf>
    <xf numFmtId="0" fontId="39" fillId="4" borderId="23" xfId="1" applyFont="1" applyFill="1" applyBorder="1" applyAlignment="1">
      <alignment vertical="center"/>
    </xf>
    <xf numFmtId="9" fontId="39" fillId="4" borderId="22" xfId="1" applyNumberFormat="1" applyFont="1" applyFill="1" applyBorder="1" applyAlignment="1">
      <alignment horizontal="center" vertical="center"/>
    </xf>
    <xf numFmtId="1" fontId="39" fillId="4" borderId="22" xfId="1" applyNumberFormat="1" applyFont="1" applyFill="1" applyBorder="1" applyAlignment="1">
      <alignment horizontal="center" vertical="center"/>
    </xf>
    <xf numFmtId="1" fontId="40" fillId="4" borderId="21" xfId="1" applyNumberFormat="1" applyFont="1" applyFill="1" applyBorder="1" applyAlignment="1">
      <alignment horizontal="center" vertical="center"/>
    </xf>
    <xf numFmtId="1" fontId="40" fillId="4" borderId="20" xfId="1" applyNumberFormat="1" applyFont="1" applyFill="1" applyBorder="1" applyAlignment="1">
      <alignment horizontal="center" vertical="center"/>
    </xf>
    <xf numFmtId="0" fontId="40" fillId="4" borderId="20" xfId="1" applyFont="1" applyFill="1" applyBorder="1" applyAlignment="1">
      <alignment horizontal="center" vertical="center"/>
    </xf>
    <xf numFmtId="1" fontId="40" fillId="4" borderId="19" xfId="1" applyNumberFormat="1" applyFont="1" applyFill="1" applyBorder="1" applyAlignment="1">
      <alignment horizontal="center" vertical="center"/>
    </xf>
    <xf numFmtId="44" fontId="38" fillId="0" borderId="0" xfId="9" applyFont="1" applyAlignment="1"/>
    <xf numFmtId="0" fontId="18" fillId="0" borderId="0" xfId="1" applyFont="1" applyAlignment="1">
      <alignment horizontal="center"/>
    </xf>
    <xf numFmtId="0" fontId="19" fillId="0" borderId="0" xfId="1" applyFont="1" applyAlignment="1"/>
    <xf numFmtId="4" fontId="18" fillId="0" borderId="0" xfId="1" applyNumberFormat="1" applyFont="1" applyAlignment="1"/>
    <xf numFmtId="17" fontId="15" fillId="0" borderId="0" xfId="1" applyNumberFormat="1" applyFont="1" applyAlignment="1">
      <alignment vertical="center" wrapText="1"/>
    </xf>
    <xf numFmtId="0" fontId="15" fillId="0" borderId="0" xfId="1" applyFont="1" applyAlignment="1">
      <alignment vertical="center" wrapText="1"/>
    </xf>
    <xf numFmtId="0" fontId="38" fillId="0" borderId="52" xfId="1" applyFont="1" applyBorder="1" applyAlignment="1" applyProtection="1">
      <alignment horizontal="center" vertical="center"/>
      <protection hidden="1"/>
    </xf>
    <xf numFmtId="0" fontId="38" fillId="0" borderId="13" xfId="1" applyFont="1" applyBorder="1" applyAlignment="1" applyProtection="1">
      <alignment horizontal="center" vertical="center"/>
      <protection hidden="1"/>
    </xf>
    <xf numFmtId="0" fontId="14" fillId="0" borderId="7" xfId="1" applyFont="1" applyBorder="1" applyAlignment="1" applyProtection="1">
      <alignment horizontal="center" vertical="center" wrapText="1"/>
      <protection hidden="1"/>
    </xf>
    <xf numFmtId="0" fontId="14" fillId="0" borderId="12" xfId="1" applyFont="1" applyBorder="1" applyAlignment="1" applyProtection="1">
      <alignment horizontal="center" vertical="center" wrapText="1"/>
      <protection hidden="1"/>
    </xf>
    <xf numFmtId="0" fontId="39" fillId="7" borderId="37" xfId="1" applyFont="1" applyFill="1" applyBorder="1" applyAlignment="1" applyProtection="1">
      <alignment horizontal="center" vertical="center"/>
      <protection hidden="1"/>
    </xf>
    <xf numFmtId="0" fontId="39" fillId="7" borderId="36" xfId="1" applyFont="1" applyFill="1" applyBorder="1" applyAlignment="1" applyProtection="1">
      <alignment vertical="center"/>
      <protection hidden="1"/>
    </xf>
    <xf numFmtId="0" fontId="38" fillId="0" borderId="44" xfId="1" applyFont="1" applyBorder="1" applyAlignment="1" applyProtection="1">
      <alignment horizontal="center" vertical="center"/>
      <protection hidden="1"/>
    </xf>
    <xf numFmtId="9" fontId="38" fillId="0" borderId="28" xfId="10" applyFont="1" applyBorder="1" applyAlignment="1" applyProtection="1">
      <alignment horizontal="center" vertical="center"/>
      <protection hidden="1"/>
    </xf>
    <xf numFmtId="1" fontId="38" fillId="0" borderId="33" xfId="10" applyNumberFormat="1" applyFont="1" applyBorder="1" applyAlignment="1" applyProtection="1">
      <alignment horizontal="center" vertical="center"/>
      <protection hidden="1"/>
    </xf>
    <xf numFmtId="1" fontId="16" fillId="6" borderId="69" xfId="1" applyNumberFormat="1" applyFont="1" applyFill="1" applyBorder="1" applyAlignment="1" applyProtection="1">
      <alignment horizontal="center" vertical="center" wrapText="1"/>
      <protection hidden="1"/>
    </xf>
    <xf numFmtId="1" fontId="16" fillId="6" borderId="40" xfId="1" applyNumberFormat="1" applyFont="1" applyFill="1" applyBorder="1" applyAlignment="1" applyProtection="1">
      <alignment horizontal="center" vertical="center" wrapText="1"/>
      <protection hidden="1"/>
    </xf>
    <xf numFmtId="0" fontId="16" fillId="0" borderId="40" xfId="1" applyFont="1" applyBorder="1" applyAlignment="1" applyProtection="1">
      <alignment horizontal="center" vertical="center" wrapText="1"/>
      <protection hidden="1"/>
    </xf>
    <xf numFmtId="0" fontId="16" fillId="0" borderId="43" xfId="1" applyFont="1" applyBorder="1" applyAlignment="1" applyProtection="1">
      <alignment horizontal="center" vertical="center" wrapText="1"/>
      <protection hidden="1"/>
    </xf>
    <xf numFmtId="0" fontId="38" fillId="0" borderId="30" xfId="1" applyFont="1" applyBorder="1" applyAlignment="1" applyProtection="1">
      <alignment horizontal="center" vertical="center"/>
      <protection hidden="1"/>
    </xf>
    <xf numFmtId="1" fontId="38" fillId="0" borderId="28" xfId="10" applyNumberFormat="1" applyFont="1" applyBorder="1" applyAlignment="1" applyProtection="1">
      <alignment horizontal="center" vertical="center"/>
      <protection hidden="1"/>
    </xf>
    <xf numFmtId="0" fontId="16" fillId="0" borderId="26" xfId="1" applyFont="1" applyBorder="1" applyAlignment="1" applyProtection="1">
      <alignment horizontal="center" vertical="center" wrapText="1"/>
      <protection hidden="1"/>
    </xf>
    <xf numFmtId="0" fontId="16" fillId="0" borderId="25" xfId="1" applyFont="1" applyBorder="1" applyAlignment="1" applyProtection="1">
      <alignment horizontal="center" vertical="center" wrapText="1"/>
      <protection hidden="1"/>
    </xf>
    <xf numFmtId="1" fontId="16" fillId="0" borderId="42" xfId="1" applyNumberFormat="1" applyFont="1" applyBorder="1" applyAlignment="1" applyProtection="1">
      <alignment horizontal="center" vertical="center" wrapText="1"/>
      <protection hidden="1"/>
    </xf>
    <xf numFmtId="1" fontId="16" fillId="0" borderId="41" xfId="1" applyNumberFormat="1" applyFont="1" applyBorder="1" applyAlignment="1" applyProtection="1">
      <alignment horizontal="center" vertical="center" wrapText="1"/>
      <protection hidden="1"/>
    </xf>
    <xf numFmtId="0" fontId="38" fillId="0" borderId="24" xfId="1" applyFont="1" applyBorder="1" applyAlignment="1" applyProtection="1">
      <alignment horizontal="center" vertical="center"/>
      <protection hidden="1"/>
    </xf>
    <xf numFmtId="0" fontId="16" fillId="0" borderId="39" xfId="1" applyFont="1" applyBorder="1" applyAlignment="1" applyProtection="1">
      <alignment horizontal="center" vertical="center" wrapText="1"/>
      <protection hidden="1"/>
    </xf>
    <xf numFmtId="0" fontId="16" fillId="0" borderId="38" xfId="1" applyFont="1" applyBorder="1" applyAlignment="1" applyProtection="1">
      <alignment horizontal="center" vertical="center" wrapText="1"/>
      <protection hidden="1"/>
    </xf>
    <xf numFmtId="0" fontId="39" fillId="7" borderId="45" xfId="1" applyFont="1" applyFill="1" applyBorder="1" applyAlignment="1" applyProtection="1">
      <alignment vertical="center"/>
      <protection hidden="1"/>
    </xf>
    <xf numFmtId="0" fontId="39" fillId="7" borderId="35" xfId="1" applyFont="1" applyFill="1" applyBorder="1" applyAlignment="1" applyProtection="1">
      <alignment vertical="center"/>
      <protection hidden="1"/>
    </xf>
    <xf numFmtId="0" fontId="38" fillId="0" borderId="32" xfId="1" applyFont="1" applyBorder="1" applyAlignment="1" applyProtection="1">
      <alignment horizontal="center" vertical="center"/>
      <protection hidden="1"/>
    </xf>
    <xf numFmtId="1" fontId="16" fillId="6" borderId="31" xfId="1" applyNumberFormat="1" applyFont="1" applyFill="1" applyBorder="1" applyAlignment="1" applyProtection="1">
      <alignment horizontal="center" vertical="center" wrapText="1"/>
      <protection hidden="1"/>
    </xf>
    <xf numFmtId="0" fontId="38" fillId="0" borderId="29" xfId="1" applyFont="1" applyBorder="1" applyAlignment="1" applyProtection="1">
      <alignment vertical="center"/>
      <protection hidden="1"/>
    </xf>
    <xf numFmtId="0" fontId="39" fillId="5" borderId="30" xfId="1" applyFont="1" applyFill="1" applyBorder="1" applyAlignment="1" applyProtection="1">
      <alignment horizontal="center" vertical="center"/>
      <protection hidden="1"/>
    </xf>
    <xf numFmtId="0" fontId="39" fillId="5" borderId="29" xfId="1" applyFont="1" applyFill="1" applyBorder="1" applyAlignment="1" applyProtection="1">
      <alignment vertical="center"/>
      <protection hidden="1"/>
    </xf>
    <xf numFmtId="9" fontId="39" fillId="5" borderId="28" xfId="10" applyFont="1" applyFill="1" applyBorder="1" applyAlignment="1" applyProtection="1">
      <alignment horizontal="center" vertical="center"/>
      <protection hidden="1"/>
    </xf>
    <xf numFmtId="1" fontId="39" fillId="5" borderId="28" xfId="1" applyNumberFormat="1" applyFont="1" applyFill="1" applyBorder="1" applyAlignment="1" applyProtection="1">
      <alignment horizontal="center" vertical="center"/>
      <protection hidden="1"/>
    </xf>
    <xf numFmtId="1" fontId="40" fillId="5" borderId="26" xfId="1" applyNumberFormat="1" applyFont="1" applyFill="1" applyBorder="1" applyAlignment="1" applyProtection="1">
      <alignment horizontal="center" vertical="center"/>
      <protection hidden="1"/>
    </xf>
    <xf numFmtId="1" fontId="40" fillId="5" borderId="25" xfId="1" applyNumberFormat="1" applyFont="1" applyFill="1" applyBorder="1" applyAlignment="1" applyProtection="1">
      <alignment horizontal="center" vertical="center"/>
      <protection hidden="1"/>
    </xf>
    <xf numFmtId="0" fontId="39" fillId="4" borderId="24" xfId="1" applyFont="1" applyFill="1" applyBorder="1" applyAlignment="1" applyProtection="1">
      <alignment horizontal="center" vertical="center"/>
      <protection hidden="1"/>
    </xf>
    <xf numFmtId="0" fontId="39" fillId="4" borderId="23" xfId="1" applyFont="1" applyFill="1" applyBorder="1" applyAlignment="1" applyProtection="1">
      <alignment vertical="center"/>
      <protection hidden="1"/>
    </xf>
    <xf numFmtId="9" fontId="39" fillId="4" borderId="22" xfId="1" applyNumberFormat="1" applyFont="1" applyFill="1" applyBorder="1" applyAlignment="1" applyProtection="1">
      <alignment horizontal="center" vertical="center"/>
      <protection hidden="1"/>
    </xf>
    <xf numFmtId="1" fontId="39" fillId="4" borderId="22" xfId="1" applyNumberFormat="1" applyFont="1" applyFill="1" applyBorder="1" applyAlignment="1" applyProtection="1">
      <alignment horizontal="center" vertical="center"/>
      <protection hidden="1"/>
    </xf>
    <xf numFmtId="1" fontId="40" fillId="4" borderId="20" xfId="1" applyNumberFormat="1" applyFont="1" applyFill="1" applyBorder="1" applyAlignment="1" applyProtection="1">
      <alignment horizontal="center" vertical="center"/>
      <protection hidden="1"/>
    </xf>
    <xf numFmtId="0" fontId="40" fillId="4" borderId="20" xfId="1" applyFont="1" applyFill="1" applyBorder="1" applyAlignment="1" applyProtection="1">
      <alignment horizontal="center" vertical="center"/>
      <protection hidden="1"/>
    </xf>
    <xf numFmtId="1" fontId="40" fillId="4" borderId="19" xfId="1" applyNumberFormat="1" applyFont="1" applyFill="1" applyBorder="1" applyAlignment="1" applyProtection="1">
      <alignment horizontal="center" vertical="center"/>
      <protection hidden="1"/>
    </xf>
    <xf numFmtId="0" fontId="15" fillId="0" borderId="0" xfId="1" applyFont="1" applyAlignment="1">
      <alignment vertical="center"/>
    </xf>
    <xf numFmtId="0" fontId="14" fillId="0" borderId="0" xfId="1" applyFont="1">
      <alignment vertical="top"/>
    </xf>
    <xf numFmtId="0" fontId="39" fillId="0" borderId="67" xfId="1" applyFont="1" applyBorder="1" applyAlignment="1">
      <alignment vertical="center"/>
    </xf>
    <xf numFmtId="0" fontId="14" fillId="0" borderId="36" xfId="1" applyFont="1" applyBorder="1">
      <alignment vertical="top"/>
    </xf>
    <xf numFmtId="0" fontId="38" fillId="0" borderId="66" xfId="1" applyFont="1" applyBorder="1" applyAlignment="1">
      <alignment horizontal="center" vertical="center"/>
    </xf>
    <xf numFmtId="0" fontId="38" fillId="0" borderId="46" xfId="1" applyFont="1" applyBorder="1" applyAlignment="1">
      <alignment horizontal="center" vertical="center"/>
    </xf>
    <xf numFmtId="0" fontId="39" fillId="15" borderId="46" xfId="1" applyFont="1" applyFill="1" applyBorder="1" applyAlignment="1">
      <alignment horizontal="center" vertical="center"/>
    </xf>
    <xf numFmtId="0" fontId="39" fillId="16" borderId="46" xfId="1" applyFont="1" applyFill="1" applyBorder="1" applyAlignment="1">
      <alignment horizontal="center" vertical="center"/>
    </xf>
    <xf numFmtId="0" fontId="38" fillId="0" borderId="45" xfId="1" applyFont="1" applyBorder="1" applyAlignment="1">
      <alignment horizontal="center" vertical="center"/>
    </xf>
    <xf numFmtId="0" fontId="14" fillId="0" borderId="18" xfId="1" applyFont="1" applyBorder="1">
      <alignment vertical="top"/>
    </xf>
    <xf numFmtId="0" fontId="38" fillId="0" borderId="65" xfId="1" applyFont="1" applyBorder="1" applyAlignment="1">
      <alignment vertical="center"/>
    </xf>
    <xf numFmtId="0" fontId="38" fillId="0" borderId="64" xfId="1" applyFont="1" applyBorder="1" applyAlignment="1">
      <alignment vertical="center"/>
    </xf>
    <xf numFmtId="0" fontId="38" fillId="0" borderId="63" xfId="1" applyFont="1" applyBorder="1" applyAlignment="1">
      <alignment vertical="center"/>
    </xf>
    <xf numFmtId="2" fontId="38" fillId="0" borderId="26" xfId="1" applyNumberFormat="1" applyFont="1" applyBorder="1" applyAlignment="1">
      <alignment textRotation="90"/>
    </xf>
    <xf numFmtId="2" fontId="39" fillId="15" borderId="26" xfId="1" applyNumberFormat="1" applyFont="1" applyFill="1" applyBorder="1" applyAlignment="1">
      <alignment textRotation="90"/>
    </xf>
    <xf numFmtId="2" fontId="39" fillId="16" borderId="26" xfId="1" applyNumberFormat="1" applyFont="1" applyFill="1" applyBorder="1" applyAlignment="1">
      <alignment textRotation="90"/>
    </xf>
    <xf numFmtId="2" fontId="38" fillId="0" borderId="25" xfId="1" applyNumberFormat="1" applyFont="1" applyBorder="1" applyAlignment="1">
      <alignment textRotation="90"/>
    </xf>
    <xf numFmtId="0" fontId="38" fillId="0" borderId="61" xfId="1" applyFont="1" applyBorder="1" applyAlignment="1">
      <alignment vertical="center"/>
    </xf>
    <xf numFmtId="0" fontId="38" fillId="0" borderId="60" xfId="1" applyFont="1" applyBorder="1" applyAlignment="1">
      <alignment vertical="center"/>
    </xf>
    <xf numFmtId="0" fontId="38" fillId="0" borderId="59" xfId="1" applyFont="1" applyBorder="1" applyAlignment="1">
      <alignment vertical="center"/>
    </xf>
    <xf numFmtId="14" fontId="15" fillId="0" borderId="26" xfId="1" applyNumberFormat="1" applyFont="1" applyBorder="1" applyAlignment="1">
      <alignment textRotation="90"/>
    </xf>
    <xf numFmtId="14" fontId="38" fillId="0" borderId="26" xfId="1" applyNumberFormat="1" applyFont="1" applyBorder="1" applyAlignment="1">
      <alignment textRotation="90"/>
    </xf>
    <xf numFmtId="14" fontId="39" fillId="15" borderId="26" xfId="1" applyNumberFormat="1" applyFont="1" applyFill="1" applyBorder="1" applyAlignment="1">
      <alignment textRotation="90"/>
    </xf>
    <xf numFmtId="14" fontId="39" fillId="16" borderId="26" xfId="1" applyNumberFormat="1" applyFont="1" applyFill="1" applyBorder="1" applyAlignment="1">
      <alignment textRotation="90"/>
    </xf>
    <xf numFmtId="14" fontId="38" fillId="0" borderId="25" xfId="1" applyNumberFormat="1" applyFont="1" applyBorder="1" applyAlignment="1">
      <alignment textRotation="90"/>
    </xf>
    <xf numFmtId="1" fontId="14" fillId="7" borderId="45" xfId="1" applyNumberFormat="1" applyFont="1" applyFill="1" applyBorder="1" applyAlignment="1">
      <alignment vertical="center"/>
    </xf>
    <xf numFmtId="1" fontId="14" fillId="7" borderId="36" xfId="1" applyNumberFormat="1" applyFont="1" applyFill="1" applyBorder="1" applyAlignment="1">
      <alignment vertical="center"/>
    </xf>
    <xf numFmtId="1" fontId="38" fillId="0" borderId="26" xfId="1" applyNumberFormat="1" applyFont="1" applyBorder="1" applyAlignment="1">
      <alignment horizontal="center"/>
    </xf>
    <xf numFmtId="1" fontId="38" fillId="14" borderId="26" xfId="1" applyNumberFormat="1" applyFont="1" applyFill="1" applyBorder="1" applyAlignment="1">
      <alignment horizontal="center"/>
    </xf>
    <xf numFmtId="1" fontId="18" fillId="0" borderId="26" xfId="1" applyNumberFormat="1" applyFont="1" applyBorder="1" applyAlignment="1">
      <alignment horizontal="center"/>
    </xf>
    <xf numFmtId="1" fontId="12" fillId="0" borderId="26" xfId="1" applyNumberFormat="1" applyFont="1" applyBorder="1" applyAlignment="1">
      <alignment horizontal="center"/>
    </xf>
    <xf numFmtId="0" fontId="26" fillId="7" borderId="36" xfId="1" applyFont="1" applyFill="1" applyBorder="1" applyAlignment="1">
      <alignment vertical="center"/>
    </xf>
    <xf numFmtId="0" fontId="42" fillId="0" borderId="0" xfId="1" applyFont="1" applyAlignment="1">
      <alignment horizontal="right"/>
    </xf>
    <xf numFmtId="3" fontId="42" fillId="0" borderId="0" xfId="1" applyNumberFormat="1" applyFont="1" applyAlignment="1">
      <alignment textRotation="90"/>
    </xf>
    <xf numFmtId="3" fontId="38" fillId="0" borderId="0" xfId="1" applyNumberFormat="1" applyFont="1" applyAlignment="1"/>
    <xf numFmtId="3" fontId="42" fillId="0" borderId="0" xfId="0" applyNumberFormat="1" applyFont="1" applyAlignment="1">
      <alignment textRotation="90"/>
    </xf>
    <xf numFmtId="3" fontId="42" fillId="0" borderId="0" xfId="0" applyNumberFormat="1" applyFont="1"/>
    <xf numFmtId="3" fontId="38" fillId="0" borderId="0" xfId="1" applyNumberFormat="1" applyFont="1" applyAlignment="1">
      <alignment textRotation="90"/>
    </xf>
    <xf numFmtId="0" fontId="38" fillId="0" borderId="12" xfId="1" applyFont="1" applyBorder="1" applyAlignment="1">
      <alignment horizontal="center"/>
    </xf>
    <xf numFmtId="0" fontId="38" fillId="0" borderId="13" xfId="1" applyFont="1" applyBorder="1" applyAlignment="1"/>
    <xf numFmtId="14" fontId="38" fillId="0" borderId="3" xfId="1" applyNumberFormat="1" applyFont="1" applyBorder="1" applyAlignment="1">
      <alignment horizontal="center"/>
    </xf>
    <xf numFmtId="0" fontId="38" fillId="0" borderId="14" xfId="1" applyFont="1" applyBorder="1" applyAlignment="1"/>
    <xf numFmtId="0" fontId="38" fillId="0" borderId="3" xfId="1" applyFont="1" applyBorder="1" applyAlignment="1">
      <alignment horizontal="center"/>
    </xf>
    <xf numFmtId="0" fontId="38" fillId="0" borderId="15" xfId="1" applyFont="1" applyBorder="1" applyAlignment="1">
      <alignment horizontal="center"/>
    </xf>
    <xf numFmtId="0" fontId="38" fillId="0" borderId="17" xfId="1" applyFont="1" applyBorder="1" applyAlignment="1"/>
    <xf numFmtId="0" fontId="0" fillId="0" borderId="0" xfId="0" applyAlignment="1">
      <alignment horizontal="right"/>
    </xf>
    <xf numFmtId="0" fontId="0" fillId="0" borderId="0" xfId="0" applyAlignment="1">
      <alignment vertical="center"/>
    </xf>
    <xf numFmtId="0" fontId="0" fillId="9" borderId="0" xfId="0" applyFill="1"/>
    <xf numFmtId="0" fontId="0" fillId="12" borderId="0" xfId="0" applyFill="1"/>
    <xf numFmtId="0" fontId="0" fillId="0" borderId="0" xfId="0" applyAlignment="1">
      <alignment horizontal="center"/>
    </xf>
    <xf numFmtId="165" fontId="0" fillId="0" borderId="0" xfId="0" applyNumberFormat="1"/>
    <xf numFmtId="0" fontId="38" fillId="17" borderId="12" xfId="1" applyFont="1" applyFill="1" applyBorder="1" applyAlignment="1">
      <alignment horizontal="center"/>
    </xf>
    <xf numFmtId="0" fontId="38" fillId="17" borderId="11" xfId="1" applyFont="1" applyFill="1" applyBorder="1" applyAlignment="1"/>
    <xf numFmtId="0" fontId="38" fillId="17" borderId="13" xfId="1" applyFont="1" applyFill="1" applyBorder="1" applyAlignment="1"/>
    <xf numFmtId="0" fontId="38" fillId="11" borderId="3" xfId="1" applyFont="1" applyFill="1" applyBorder="1" applyAlignment="1"/>
    <xf numFmtId="0" fontId="38" fillId="11" borderId="0" xfId="1" applyFont="1" applyFill="1" applyAlignment="1"/>
    <xf numFmtId="0" fontId="22" fillId="11" borderId="0" xfId="3" applyFont="1" applyFill="1" applyAlignment="1">
      <alignment vertical="center"/>
    </xf>
    <xf numFmtId="0" fontId="20" fillId="11" borderId="0" xfId="1" applyFont="1" applyFill="1" applyAlignment="1">
      <alignment vertical="center"/>
    </xf>
    <xf numFmtId="0" fontId="10" fillId="11" borderId="0" xfId="3" applyFont="1" applyFill="1" applyAlignment="1">
      <alignment vertical="center"/>
    </xf>
    <xf numFmtId="14" fontId="16" fillId="11" borderId="0" xfId="1" applyNumberFormat="1" applyFont="1" applyFill="1" applyAlignment="1">
      <alignment horizontal="right" vertical="center"/>
    </xf>
    <xf numFmtId="0" fontId="41" fillId="11" borderId="0" xfId="1" applyFont="1" applyFill="1" applyAlignment="1">
      <alignment vertical="center"/>
    </xf>
    <xf numFmtId="0" fontId="10" fillId="11" borderId="14" xfId="3" applyFont="1" applyFill="1" applyBorder="1" applyAlignment="1">
      <alignment vertical="center"/>
    </xf>
    <xf numFmtId="0" fontId="38" fillId="11" borderId="3" xfId="1" applyFont="1" applyFill="1" applyBorder="1" applyAlignment="1">
      <alignment horizontal="center"/>
    </xf>
    <xf numFmtId="14" fontId="12" fillId="11" borderId="0" xfId="1" applyNumberFormat="1" applyFont="1" applyFill="1" applyAlignment="1">
      <alignment horizontal="left"/>
    </xf>
    <xf numFmtId="14" fontId="6" fillId="11" borderId="0" xfId="1" applyNumberFormat="1" applyFont="1" applyFill="1" applyAlignment="1"/>
    <xf numFmtId="0" fontId="6" fillId="11" borderId="0" xfId="1" applyFont="1" applyFill="1" applyAlignment="1">
      <alignment horizontal="center"/>
    </xf>
    <xf numFmtId="0" fontId="16" fillId="11" borderId="0" xfId="1" applyFont="1" applyFill="1" applyAlignment="1">
      <alignment horizontal="right" vertical="center"/>
    </xf>
    <xf numFmtId="0" fontId="15" fillId="11" borderId="0" xfId="1" applyFont="1" applyFill="1" applyAlignment="1">
      <alignment vertical="center"/>
    </xf>
    <xf numFmtId="0" fontId="38" fillId="11" borderId="14" xfId="1" applyFont="1" applyFill="1" applyBorder="1" applyAlignment="1"/>
    <xf numFmtId="0" fontId="6" fillId="11" borderId="0" xfId="1" applyFont="1" applyFill="1" applyAlignment="1"/>
    <xf numFmtId="0" fontId="15" fillId="11" borderId="0" xfId="3" applyFont="1" applyFill="1" applyAlignment="1">
      <alignment vertical="center"/>
    </xf>
    <xf numFmtId="0" fontId="26" fillId="11" borderId="3" xfId="1" applyFont="1" applyFill="1" applyBorder="1" applyAlignment="1">
      <alignment horizontal="center" vertical="center"/>
    </xf>
    <xf numFmtId="0" fontId="12" fillId="11" borderId="0" xfId="1" applyFont="1" applyFill="1" applyAlignment="1">
      <alignment horizontal="left" vertical="center"/>
    </xf>
    <xf numFmtId="0" fontId="9" fillId="11" borderId="0" xfId="1" applyFont="1" applyFill="1" applyAlignment="1">
      <alignment horizontal="left" vertical="center"/>
    </xf>
    <xf numFmtId="0" fontId="26" fillId="11" borderId="0" xfId="1" applyFont="1" applyFill="1" applyAlignment="1">
      <alignment horizontal="center" vertical="center"/>
    </xf>
    <xf numFmtId="0" fontId="12" fillId="11" borderId="0" xfId="1" applyFont="1" applyFill="1" applyAlignment="1"/>
    <xf numFmtId="0" fontId="23" fillId="11" borderId="0" xfId="1" applyFont="1" applyFill="1" applyAlignment="1"/>
    <xf numFmtId="0" fontId="23" fillId="11" borderId="0" xfId="1" applyFont="1" applyFill="1" applyAlignment="1">
      <alignment horizontal="right"/>
    </xf>
    <xf numFmtId="1" fontId="27" fillId="6" borderId="40" xfId="0" applyNumberFormat="1" applyFont="1" applyFill="1" applyBorder="1" applyAlignment="1">
      <alignment horizontal="center" vertical="center" wrapText="1"/>
    </xf>
    <xf numFmtId="1" fontId="27" fillId="6" borderId="26" xfId="0" applyNumberFormat="1" applyFont="1" applyFill="1" applyBorder="1" applyAlignment="1">
      <alignment horizontal="center" vertical="center" wrapText="1"/>
    </xf>
    <xf numFmtId="1" fontId="27" fillId="6" borderId="26" xfId="1" applyNumberFormat="1" applyFont="1" applyFill="1" applyBorder="1" applyAlignment="1">
      <alignment horizontal="center" vertical="center" wrapText="1"/>
    </xf>
    <xf numFmtId="0" fontId="44" fillId="2" borderId="1" xfId="0" applyFont="1" applyFill="1" applyBorder="1" applyAlignment="1">
      <alignment vertical="center" wrapText="1"/>
    </xf>
    <xf numFmtId="0" fontId="16" fillId="0" borderId="55" xfId="0" applyFont="1" applyBorder="1" applyAlignment="1">
      <alignment horizontal="center" vertical="center" wrapText="1"/>
    </xf>
    <xf numFmtId="0" fontId="16" fillId="0" borderId="40" xfId="0" applyFont="1" applyBorder="1" applyAlignment="1">
      <alignment horizontal="center" vertical="center" wrapText="1"/>
    </xf>
    <xf numFmtId="0" fontId="16" fillId="0" borderId="2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1" fontId="16" fillId="0" borderId="42" xfId="0" applyNumberFormat="1" applyFont="1" applyBorder="1" applyAlignment="1">
      <alignment horizontal="center" vertical="center" wrapText="1"/>
    </xf>
    <xf numFmtId="0" fontId="16" fillId="0" borderId="56" xfId="0" applyFont="1" applyBorder="1" applyAlignment="1">
      <alignment horizontal="center" vertical="center" wrapText="1"/>
    </xf>
    <xf numFmtId="0" fontId="16" fillId="0" borderId="39" xfId="0" applyFont="1" applyBorder="1" applyAlignment="1">
      <alignment horizontal="center" vertical="center" wrapText="1"/>
    </xf>
    <xf numFmtId="1" fontId="16" fillId="6" borderId="55" xfId="0" applyNumberFormat="1" applyFont="1" applyFill="1" applyBorder="1" applyAlignment="1">
      <alignment horizontal="center" vertical="center" wrapText="1"/>
    </xf>
    <xf numFmtId="1" fontId="16" fillId="6" borderId="40" xfId="0" applyNumberFormat="1" applyFont="1" applyFill="1" applyBorder="1" applyAlignment="1">
      <alignment horizontal="center" vertical="center" wrapText="1"/>
    </xf>
    <xf numFmtId="1" fontId="16" fillId="6" borderId="27" xfId="0" applyNumberFormat="1" applyFont="1" applyFill="1" applyBorder="1" applyAlignment="1">
      <alignment horizontal="center" vertical="center" wrapText="1"/>
    </xf>
    <xf numFmtId="1" fontId="16" fillId="6" borderId="26" xfId="0" applyNumberFormat="1" applyFont="1" applyFill="1" applyBorder="1" applyAlignment="1">
      <alignment horizontal="center" vertical="center" wrapText="1"/>
    </xf>
    <xf numFmtId="3" fontId="42" fillId="0" borderId="0" xfId="0" applyNumberFormat="1" applyFont="1" applyAlignment="1">
      <alignment textRotation="90" wrapText="1"/>
    </xf>
    <xf numFmtId="9" fontId="45" fillId="9" borderId="1" xfId="0" applyNumberFormat="1" applyFont="1" applyFill="1" applyBorder="1" applyAlignment="1">
      <alignment vertical="center" wrapText="1"/>
    </xf>
    <xf numFmtId="9" fontId="46" fillId="13" borderId="1" xfId="0" applyNumberFormat="1" applyFont="1" applyFill="1" applyBorder="1" applyAlignment="1">
      <alignment vertical="center" wrapText="1"/>
    </xf>
    <xf numFmtId="0" fontId="48" fillId="21" borderId="1" xfId="0" applyFont="1" applyFill="1" applyBorder="1" applyAlignment="1">
      <alignment vertical="center" wrapText="1"/>
    </xf>
    <xf numFmtId="9" fontId="48" fillId="21" borderId="1" xfId="0" applyNumberFormat="1" applyFont="1" applyFill="1" applyBorder="1" applyAlignment="1">
      <alignment vertical="center" wrapText="1"/>
    </xf>
    <xf numFmtId="17" fontId="14" fillId="11" borderId="0" xfId="1" applyNumberFormat="1" applyFont="1" applyFill="1" applyAlignment="1"/>
    <xf numFmtId="0" fontId="0" fillId="22" borderId="0" xfId="0" applyFill="1"/>
    <xf numFmtId="0" fontId="0" fillId="23" borderId="0" xfId="0" applyFill="1"/>
    <xf numFmtId="0" fontId="47" fillId="10" borderId="10" xfId="1" applyFont="1" applyFill="1" applyBorder="1" applyAlignment="1">
      <alignment vertical="center"/>
    </xf>
    <xf numFmtId="0" fontId="2" fillId="3" borderId="1" xfId="0" applyFont="1" applyFill="1" applyBorder="1" applyAlignment="1">
      <alignment vertical="center" wrapText="1"/>
    </xf>
    <xf numFmtId="9" fontId="2" fillId="3" borderId="1" xfId="0" applyNumberFormat="1" applyFont="1" applyFill="1" applyBorder="1" applyAlignment="1">
      <alignment vertical="center" wrapText="1"/>
    </xf>
    <xf numFmtId="9" fontId="49" fillId="13" borderId="1" xfId="0" applyNumberFormat="1" applyFont="1" applyFill="1" applyBorder="1" applyAlignment="1">
      <alignment vertical="center" wrapText="1"/>
    </xf>
    <xf numFmtId="9" fontId="8" fillId="13" borderId="1" xfId="0" applyNumberFormat="1" applyFont="1" applyFill="1" applyBorder="1" applyAlignment="1">
      <alignment vertical="center" wrapText="1"/>
    </xf>
    <xf numFmtId="0" fontId="12" fillId="11" borderId="0" xfId="0" applyFont="1" applyFill="1" applyAlignment="1">
      <alignment horizontal="left" wrapText="1"/>
    </xf>
    <xf numFmtId="0" fontId="12" fillId="11" borderId="0" xfId="0" applyFont="1" applyFill="1" applyAlignment="1">
      <alignment horizontal="left"/>
    </xf>
    <xf numFmtId="0" fontId="0" fillId="18" borderId="0" xfId="0" applyFill="1" applyAlignment="1">
      <alignment horizontal="center"/>
    </xf>
    <xf numFmtId="0" fontId="50" fillId="24" borderId="1" xfId="0" applyFont="1" applyFill="1" applyBorder="1" applyAlignment="1">
      <alignment vertical="center" wrapText="1"/>
    </xf>
    <xf numFmtId="0" fontId="2" fillId="25" borderId="1" xfId="0" applyFont="1" applyFill="1" applyBorder="1" applyAlignment="1">
      <alignment vertical="center" wrapText="1"/>
    </xf>
    <xf numFmtId="9" fontId="50" fillId="24" borderId="1" xfId="0" applyNumberFormat="1" applyFont="1" applyFill="1" applyBorder="1" applyAlignment="1">
      <alignment vertical="center" wrapText="1"/>
    </xf>
    <xf numFmtId="9" fontId="2" fillId="25" borderId="1" xfId="0" applyNumberFormat="1" applyFont="1" applyFill="1" applyBorder="1" applyAlignment="1">
      <alignment vertical="center" wrapText="1"/>
    </xf>
    <xf numFmtId="165" fontId="8" fillId="0" borderId="1" xfId="0" applyNumberFormat="1" applyFont="1" applyBorder="1" applyAlignment="1">
      <alignment horizontal="center" vertical="center" wrapText="1"/>
    </xf>
    <xf numFmtId="165" fontId="15" fillId="0" borderId="1" xfId="0" applyNumberFormat="1" applyFont="1" applyBorder="1" applyAlignment="1">
      <alignment horizontal="center" vertical="center" wrapText="1"/>
    </xf>
    <xf numFmtId="14" fontId="24" fillId="10" borderId="9" xfId="1" applyNumberFormat="1" applyFont="1" applyFill="1" applyBorder="1" applyAlignment="1">
      <alignment horizontal="left" vertical="center"/>
    </xf>
    <xf numFmtId="14" fontId="28" fillId="10" borderId="9" xfId="1" applyNumberFormat="1" applyFont="1" applyFill="1" applyBorder="1" applyAlignment="1">
      <alignment horizontal="left" vertical="center"/>
    </xf>
    <xf numFmtId="14" fontId="28" fillId="10" borderId="9" xfId="1" applyNumberFormat="1" applyFont="1" applyFill="1" applyBorder="1" applyAlignment="1">
      <alignment horizontal="left" vertical="center" wrapText="1"/>
    </xf>
    <xf numFmtId="0" fontId="32" fillId="10" borderId="15" xfId="0" applyFont="1" applyFill="1" applyBorder="1" applyAlignment="1">
      <alignment horizontal="center"/>
    </xf>
    <xf numFmtId="0" fontId="32" fillId="10" borderId="16" xfId="0" applyFont="1" applyFill="1" applyBorder="1" applyAlignment="1">
      <alignment horizontal="center"/>
    </xf>
    <xf numFmtId="0" fontId="32" fillId="10" borderId="17" xfId="0" applyFont="1" applyFill="1" applyBorder="1" applyAlignment="1">
      <alignment horizontal="center"/>
    </xf>
    <xf numFmtId="0" fontId="11" fillId="17" borderId="8" xfId="0" applyFont="1" applyFill="1" applyBorder="1" applyAlignment="1">
      <alignment horizontal="center"/>
    </xf>
    <xf numFmtId="0" fontId="11" fillId="17" borderId="9" xfId="0" applyFont="1" applyFill="1" applyBorder="1" applyAlignment="1">
      <alignment horizontal="center"/>
    </xf>
    <xf numFmtId="0" fontId="11" fillId="17" borderId="10" xfId="0" applyFont="1" applyFill="1" applyBorder="1" applyAlignment="1">
      <alignment horizontal="center"/>
    </xf>
    <xf numFmtId="0" fontId="9" fillId="17" borderId="8" xfId="0" applyFont="1" applyFill="1" applyBorder="1" applyAlignment="1">
      <alignment horizontal="center"/>
    </xf>
    <xf numFmtId="0" fontId="9" fillId="17" borderId="9" xfId="0" applyFont="1" applyFill="1" applyBorder="1" applyAlignment="1">
      <alignment horizontal="center"/>
    </xf>
    <xf numFmtId="0" fontId="9" fillId="17" borderId="10" xfId="0" applyFont="1" applyFill="1" applyBorder="1" applyAlignment="1">
      <alignment horizontal="center"/>
    </xf>
    <xf numFmtId="0" fontId="0" fillId="18" borderId="0" xfId="0" applyFill="1" applyAlignment="1">
      <alignment horizontal="center"/>
    </xf>
    <xf numFmtId="0" fontId="0" fillId="20" borderId="0" xfId="0" applyFill="1" applyAlignment="1">
      <alignment horizontal="center"/>
    </xf>
    <xf numFmtId="0" fontId="0" fillId="19" borderId="0" xfId="0" applyFill="1" applyAlignment="1">
      <alignment horizontal="center"/>
    </xf>
    <xf numFmtId="0" fontId="0" fillId="14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26" borderId="0" xfId="0" applyFill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70" xfId="0" applyNumberFormat="1" applyBorder="1" applyAlignment="1">
      <alignment horizontal="center"/>
    </xf>
    <xf numFmtId="14" fontId="0" fillId="0" borderId="71" xfId="0" applyNumberFormat="1" applyBorder="1" applyAlignment="1">
      <alignment horizontal="center"/>
    </xf>
    <xf numFmtId="1" fontId="14" fillId="7" borderId="45" xfId="1" applyNumberFormat="1" applyFont="1" applyFill="1" applyBorder="1" applyAlignment="1">
      <alignment horizontal="center" vertical="center"/>
    </xf>
    <xf numFmtId="1" fontId="14" fillId="7" borderId="36" xfId="1" applyNumberFormat="1" applyFont="1" applyFill="1" applyBorder="1" applyAlignment="1">
      <alignment horizontal="center" vertical="center"/>
    </xf>
    <xf numFmtId="1" fontId="14" fillId="7" borderId="35" xfId="1" applyNumberFormat="1" applyFont="1" applyFill="1" applyBorder="1" applyAlignment="1">
      <alignment horizontal="center" vertical="center"/>
    </xf>
    <xf numFmtId="0" fontId="39" fillId="0" borderId="50" xfId="1" applyFont="1" applyBorder="1" applyAlignment="1">
      <alignment horizontal="center" vertical="center" wrapText="1"/>
    </xf>
    <xf numFmtId="0" fontId="39" fillId="0" borderId="49" xfId="1" applyFont="1" applyBorder="1" applyAlignment="1">
      <alignment horizontal="center" vertical="center" wrapText="1"/>
    </xf>
    <xf numFmtId="1" fontId="14" fillId="7" borderId="46" xfId="1" applyNumberFormat="1" applyFont="1" applyFill="1" applyBorder="1" applyAlignment="1">
      <alignment horizontal="center" vertical="center"/>
    </xf>
    <xf numFmtId="0" fontId="38" fillId="0" borderId="54" xfId="1" applyFont="1" applyBorder="1" applyAlignment="1">
      <alignment horizontal="center" vertical="center"/>
    </xf>
    <xf numFmtId="0" fontId="38" fillId="0" borderId="48" xfId="1" applyFont="1" applyBorder="1" applyAlignment="1">
      <alignment horizontal="center" vertical="center"/>
    </xf>
    <xf numFmtId="0" fontId="11" fillId="10" borderId="15" xfId="1" applyFont="1" applyFill="1" applyBorder="1" applyAlignment="1">
      <alignment horizontal="center" vertical="center" wrapText="1"/>
    </xf>
    <xf numFmtId="0" fontId="11" fillId="10" borderId="16" xfId="1" applyFont="1" applyFill="1" applyBorder="1" applyAlignment="1">
      <alignment horizontal="center" vertical="center" wrapText="1"/>
    </xf>
    <xf numFmtId="0" fontId="11" fillId="10" borderId="17" xfId="1" applyFont="1" applyFill="1" applyBorder="1" applyAlignment="1">
      <alignment horizontal="center" vertical="center" wrapText="1"/>
    </xf>
    <xf numFmtId="0" fontId="39" fillId="0" borderId="51" xfId="1" applyFont="1" applyBorder="1" applyAlignment="1">
      <alignment horizontal="center" vertical="center" wrapText="1"/>
    </xf>
    <xf numFmtId="0" fontId="39" fillId="0" borderId="50" xfId="1" applyFont="1" applyBorder="1" applyAlignment="1" applyProtection="1">
      <alignment horizontal="center" vertical="center" wrapText="1"/>
      <protection hidden="1"/>
    </xf>
    <xf numFmtId="0" fontId="39" fillId="0" borderId="49" xfId="1" applyFont="1" applyBorder="1" applyAlignment="1" applyProtection="1">
      <alignment horizontal="center" vertical="center" wrapText="1"/>
      <protection hidden="1"/>
    </xf>
    <xf numFmtId="0" fontId="39" fillId="0" borderId="51" xfId="1" applyFont="1" applyBorder="1" applyAlignment="1" applyProtection="1">
      <alignment horizontal="center" vertical="center" wrapText="1"/>
      <protection hidden="1"/>
    </xf>
    <xf numFmtId="0" fontId="38" fillId="0" borderId="53" xfId="1" applyFont="1" applyBorder="1" applyAlignment="1">
      <alignment horizontal="center" vertical="center"/>
    </xf>
    <xf numFmtId="0" fontId="38" fillId="0" borderId="47" xfId="1" applyFont="1" applyBorder="1" applyAlignment="1">
      <alignment horizontal="center" vertical="center"/>
    </xf>
    <xf numFmtId="0" fontId="38" fillId="0" borderId="54" xfId="1" applyFont="1" applyBorder="1" applyAlignment="1" applyProtection="1">
      <alignment horizontal="center" vertical="center"/>
      <protection hidden="1"/>
    </xf>
    <xf numFmtId="0" fontId="38" fillId="0" borderId="48" xfId="1" applyFont="1" applyBorder="1" applyAlignment="1" applyProtection="1">
      <alignment horizontal="center" vertical="center"/>
      <protection hidden="1"/>
    </xf>
    <xf numFmtId="0" fontId="38" fillId="0" borderId="53" xfId="1" applyFont="1" applyBorder="1" applyAlignment="1" applyProtection="1">
      <alignment horizontal="center" vertical="center"/>
      <protection hidden="1"/>
    </xf>
    <xf numFmtId="0" fontId="38" fillId="0" borderId="47" xfId="1" applyFont="1" applyBorder="1" applyAlignment="1" applyProtection="1">
      <alignment horizontal="center" vertical="center"/>
      <protection hidden="1"/>
    </xf>
    <xf numFmtId="1" fontId="14" fillId="7" borderId="46" xfId="1" applyNumberFormat="1" applyFont="1" applyFill="1" applyBorder="1" applyAlignment="1" applyProtection="1">
      <alignment horizontal="center" vertical="center"/>
      <protection hidden="1"/>
    </xf>
    <xf numFmtId="14" fontId="43" fillId="11" borderId="0" xfId="1" applyNumberFormat="1" applyFont="1" applyFill="1" applyAlignment="1">
      <alignment horizontal="center"/>
    </xf>
    <xf numFmtId="1" fontId="14" fillId="7" borderId="45" xfId="1" applyNumberFormat="1" applyFont="1" applyFill="1" applyBorder="1" applyAlignment="1" applyProtection="1">
      <alignment horizontal="center" vertical="center"/>
      <protection hidden="1"/>
    </xf>
    <xf numFmtId="1" fontId="14" fillId="7" borderId="36" xfId="1" applyNumberFormat="1" applyFont="1" applyFill="1" applyBorder="1" applyAlignment="1" applyProtection="1">
      <alignment horizontal="center" vertical="center"/>
      <protection hidden="1"/>
    </xf>
    <xf numFmtId="1" fontId="14" fillId="7" borderId="35" xfId="1" applyNumberFormat="1" applyFont="1" applyFill="1" applyBorder="1" applyAlignment="1" applyProtection="1">
      <alignment horizontal="center" vertical="center"/>
      <protection hidden="1"/>
    </xf>
    <xf numFmtId="0" fontId="20" fillId="0" borderId="0" xfId="1" applyFont="1" applyAlignment="1">
      <alignment horizontal="center" vertical="center"/>
    </xf>
    <xf numFmtId="0" fontId="22" fillId="0" borderId="0" xfId="3" applyFont="1" applyAlignment="1">
      <alignment horizontal="center" vertical="center"/>
    </xf>
    <xf numFmtId="0" fontId="10" fillId="0" borderId="0" xfId="3" applyFont="1" applyAlignment="1">
      <alignment horizontal="center" vertical="center"/>
    </xf>
    <xf numFmtId="0" fontId="11" fillId="8" borderId="0" xfId="1" applyFont="1" applyFill="1" applyAlignment="1">
      <alignment horizontal="center" vertical="center" wrapText="1"/>
    </xf>
    <xf numFmtId="0" fontId="39" fillId="0" borderId="67" xfId="1" applyFont="1" applyBorder="1" applyAlignment="1">
      <alignment horizontal="center" vertical="center" wrapText="1"/>
    </xf>
    <xf numFmtId="0" fontId="39" fillId="0" borderId="36" xfId="1" applyFont="1" applyBorder="1" applyAlignment="1">
      <alignment horizontal="center" vertical="center" wrapText="1"/>
    </xf>
    <xf numFmtId="0" fontId="39" fillId="0" borderId="68" xfId="1" applyFont="1" applyBorder="1" applyAlignment="1">
      <alignment horizontal="center" vertical="center" wrapText="1"/>
    </xf>
    <xf numFmtId="1" fontId="14" fillId="7" borderId="57" xfId="1" applyNumberFormat="1" applyFont="1" applyFill="1" applyBorder="1" applyAlignment="1">
      <alignment horizontal="center" vertical="center"/>
    </xf>
    <xf numFmtId="0" fontId="38" fillId="0" borderId="62" xfId="1" applyFont="1" applyBorder="1" applyAlignment="1">
      <alignment horizontal="center" vertical="center"/>
    </xf>
    <xf numFmtId="0" fontId="38" fillId="0" borderId="58" xfId="1" applyFont="1" applyBorder="1" applyAlignment="1">
      <alignment horizontal="center" vertical="center"/>
    </xf>
  </cellXfs>
  <cellStyles count="11">
    <cellStyle name="Moeda 2" xfId="9" xr:uid="{09A3F1E6-0E73-45B5-81F7-B826E52EE137}"/>
    <cellStyle name="Normal" xfId="0" builtinId="0"/>
    <cellStyle name="Normal 2" xfId="1" xr:uid="{B95D31EE-BA22-4152-8107-75E623782DDC}"/>
    <cellStyle name="Normal 290" xfId="4" xr:uid="{B4F78AB6-817B-4BF4-B36B-B44EBE90EE66}"/>
    <cellStyle name="Normal 5" xfId="6" xr:uid="{DD58C0EE-8685-40A7-B569-F67D5104FA5D}"/>
    <cellStyle name="Normal 5 2" xfId="7" xr:uid="{E24011E6-F1E6-4B67-B44F-6C9CC04F40E1}"/>
    <cellStyle name="Normal 5 87" xfId="5" xr:uid="{65FF32B6-C9C4-4DDA-A89F-63BF7AB2B0EC}"/>
    <cellStyle name="Normal 7 2" xfId="3" xr:uid="{19688368-C627-4D41-A9FD-051F65FEF7E3}"/>
    <cellStyle name="Normal 7 2 2" xfId="2" xr:uid="{80034F95-3799-422A-84F2-406FD63E83F4}"/>
    <cellStyle name="Porcentagem" xfId="8" builtinId="5"/>
    <cellStyle name="Porcentagem 2" xfId="10" xr:uid="{F4FD31B0-D0AC-4B24-BA08-80D05981CB58}"/>
  </cellStyles>
  <dxfs count="182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theme="2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theme="5" tint="0.79998168889431442"/>
        </patternFill>
      </fill>
    </dxf>
    <dxf>
      <font>
        <color rgb="FFFF0000"/>
      </font>
    </dxf>
    <dxf>
      <font>
        <color rgb="FFFF0000"/>
      </font>
    </dxf>
    <dxf>
      <fill>
        <patternFill>
          <bgColor rgb="FFEEECE1"/>
        </patternFill>
      </fill>
    </dxf>
    <dxf>
      <fill>
        <patternFill>
          <bgColor theme="5" tint="0.79998168889431442"/>
        </patternFill>
      </fill>
    </dxf>
    <dxf>
      <font>
        <color rgb="FFFF0000"/>
      </font>
    </dxf>
    <dxf>
      <fill>
        <patternFill>
          <bgColor rgb="FFEEECE1"/>
        </patternFill>
      </fill>
    </dxf>
    <dxf>
      <fill>
        <patternFill>
          <bgColor theme="5" tint="0.79998168889431442"/>
        </patternFill>
      </fill>
    </dxf>
    <dxf>
      <font>
        <color theme="0"/>
      </font>
    </dxf>
    <dxf>
      <font>
        <color theme="0"/>
      </font>
    </dxf>
    <dxf>
      <font>
        <color rgb="FFFF0000"/>
      </font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EEECE1"/>
        </patternFill>
      </fill>
    </dxf>
    <dxf>
      <font>
        <color theme="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</dxf>
    <dxf>
      <font>
        <color theme="0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b/>
        <i val="0"/>
      </font>
      <fill>
        <patternFill>
          <bgColor rgb="FFFFC000"/>
        </patternFill>
      </fill>
    </dxf>
    <dxf>
      <font>
        <color theme="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0D1A43"/>
      <color rgb="FF0000FF"/>
      <color rgb="FF00FFFF"/>
      <color rgb="FFC907A4"/>
      <color rgb="FFEEECE1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0.xml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1.xml"/></Relationships>
</file>

<file path=xl/charts/_rels/chart1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0"/>
      <c:rotY val="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solidFill>
            <a:schemeClr val="bg1">
              <a:lumMod val="65000"/>
            </a:schemeClr>
          </a:solidFill>
        </a:ln>
        <a:effectLst/>
        <a:sp3d>
          <a:contourClr>
            <a:schemeClr val="bg1">
              <a:lumMod val="65000"/>
            </a:schemeClr>
          </a:contourClr>
        </a:sp3d>
      </c:spPr>
    </c:sideWall>
    <c:backWall>
      <c:thickness val="0"/>
      <c:spPr>
        <a:noFill/>
        <a:ln>
          <a:solidFill>
            <a:schemeClr val="bg1">
              <a:lumMod val="65000"/>
            </a:schemeClr>
          </a:solidFill>
        </a:ln>
        <a:effectLst/>
        <a:sp3d>
          <a:contourClr>
            <a:schemeClr val="bg1">
              <a:lumMod val="65000"/>
            </a:schemeClr>
          </a:contourClr>
        </a:sp3d>
      </c:spPr>
    </c:backWall>
    <c:plotArea>
      <c:layout>
        <c:manualLayout>
          <c:layoutTarget val="inner"/>
          <c:xMode val="edge"/>
          <c:yMode val="edge"/>
          <c:x val="7.3901249580526324E-2"/>
          <c:y val="0.21455094765820773"/>
          <c:w val="0.91149965355227225"/>
          <c:h val="0.45588820014519454"/>
        </c:manualLayout>
      </c:layout>
      <c:bar3DChart>
        <c:barDir val="col"/>
        <c:grouping val="clustered"/>
        <c:varyColors val="0"/>
        <c:ser>
          <c:idx val="1"/>
          <c:order val="0"/>
          <c:tx>
            <c:strRef>
              <c:f>DADOS!$B$4</c:f>
              <c:strCache>
                <c:ptCount val="1"/>
                <c:pt idx="0">
                  <c:v>% PREVISTO</c:v>
                </c:pt>
              </c:strCache>
            </c:strRef>
          </c:tx>
          <c:spPr>
            <a:solidFill>
              <a:srgbClr val="FFC000"/>
            </a:solidFill>
            <a:ln>
              <a:solidFill>
                <a:schemeClr val="tx1"/>
              </a:solidFill>
            </a:ln>
            <a:effectLst/>
            <a:sp3d>
              <a:contourClr>
                <a:schemeClr val="tx1"/>
              </a:contourClr>
            </a:sp3d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lIns="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DADOS!$C$8:$C$22</c:f>
              <c:strCache>
                <c:ptCount val="15"/>
                <c:pt idx="0">
                  <c:v>   5º PAVIMENTO:</c:v>
                </c:pt>
                <c:pt idx="1">
                  <c:v>      ESGOTO:</c:v>
                </c:pt>
                <c:pt idx="2">
                  <c:v>      ÁGUA FRIA: </c:v>
                </c:pt>
                <c:pt idx="3">
                  <c:v>      ÁGUA QUENTE:</c:v>
                </c:pt>
                <c:pt idx="4">
                  <c:v>      AR CONDICIONADO: </c:v>
                </c:pt>
                <c:pt idx="5">
                  <c:v>      ELÉTRICA:</c:v>
                </c:pt>
                <c:pt idx="6">
                  <c:v>      TEL, CFTV E DADOS:</c:v>
                </c:pt>
                <c:pt idx="7">
                  <c:v>      PCI:</c:v>
                </c:pt>
                <c:pt idx="8">
                  <c:v>      IMPERMEAB.:</c:v>
                </c:pt>
                <c:pt idx="9">
                  <c:v>      REVEST. MASSA:</c:v>
                </c:pt>
                <c:pt idx="10">
                  <c:v>      REVEST. CERÂMICO:</c:v>
                </c:pt>
                <c:pt idx="11">
                  <c:v>      FORRO:</c:v>
                </c:pt>
                <c:pt idx="12">
                  <c:v>      ESQUADRIAS:</c:v>
                </c:pt>
                <c:pt idx="13">
                  <c:v>      PINTURA INTERNA:</c:v>
                </c:pt>
                <c:pt idx="14">
                  <c:v>      LOUÇAS:</c:v>
                </c:pt>
              </c:strCache>
            </c:strRef>
          </c:cat>
          <c:val>
            <c:numRef>
              <c:f>DADOS!$B$8:$B$22</c:f>
              <c:numCache>
                <c:formatCode>0.0%</c:formatCode>
                <c:ptCount val="15"/>
                <c:pt idx="0">
                  <c:v>0.05</c:v>
                </c:pt>
                <c:pt idx="1">
                  <c:v>0.81</c:v>
                </c:pt>
                <c:pt idx="2">
                  <c:v>0.65</c:v>
                </c:pt>
                <c:pt idx="3">
                  <c:v>0.3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79-4EAB-BF24-51169D556003}"/>
            </c:ext>
          </c:extLst>
        </c:ser>
        <c:ser>
          <c:idx val="0"/>
          <c:order val="1"/>
          <c:tx>
            <c:strRef>
              <c:f>DADOS!$A$4</c:f>
              <c:strCache>
                <c:ptCount val="1"/>
                <c:pt idx="0">
                  <c:v>% REALIZADO</c:v>
                </c:pt>
              </c:strCache>
            </c:strRef>
          </c:tx>
          <c:spPr>
            <a:solidFill>
              <a:srgbClr val="0D1A43"/>
            </a:solidFill>
            <a:ln>
              <a:solidFill>
                <a:schemeClr val="tx1"/>
              </a:solidFill>
            </a:ln>
            <a:effectLst/>
            <a:sp3d>
              <a:contourClr>
                <a:schemeClr val="tx1"/>
              </a:contourClr>
            </a:sp3d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lIns="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DADOS!$C$8:$C$22</c:f>
              <c:strCache>
                <c:ptCount val="15"/>
                <c:pt idx="0">
                  <c:v>   5º PAVIMENTO:</c:v>
                </c:pt>
                <c:pt idx="1">
                  <c:v>      ESGOTO:</c:v>
                </c:pt>
                <c:pt idx="2">
                  <c:v>      ÁGUA FRIA: </c:v>
                </c:pt>
                <c:pt idx="3">
                  <c:v>      ÁGUA QUENTE:</c:v>
                </c:pt>
                <c:pt idx="4">
                  <c:v>      AR CONDICIONADO: </c:v>
                </c:pt>
                <c:pt idx="5">
                  <c:v>      ELÉTRICA:</c:v>
                </c:pt>
                <c:pt idx="6">
                  <c:v>      TEL, CFTV E DADOS:</c:v>
                </c:pt>
                <c:pt idx="7">
                  <c:v>      PCI:</c:v>
                </c:pt>
                <c:pt idx="8">
                  <c:v>      IMPERMEAB.:</c:v>
                </c:pt>
                <c:pt idx="9">
                  <c:v>      REVEST. MASSA:</c:v>
                </c:pt>
                <c:pt idx="10">
                  <c:v>      REVEST. CERÂMICO:</c:v>
                </c:pt>
                <c:pt idx="11">
                  <c:v>      FORRO:</c:v>
                </c:pt>
                <c:pt idx="12">
                  <c:v>      ESQUADRIAS:</c:v>
                </c:pt>
                <c:pt idx="13">
                  <c:v>      PINTURA INTERNA:</c:v>
                </c:pt>
                <c:pt idx="14">
                  <c:v>      LOUÇAS:</c:v>
                </c:pt>
              </c:strCache>
            </c:strRef>
          </c:cat>
          <c:val>
            <c:numRef>
              <c:f>DADOS!$A$8:$A$22</c:f>
              <c:numCache>
                <c:formatCode>0.0%</c:formatCode>
                <c:ptCount val="15"/>
                <c:pt idx="0">
                  <c:v>0.02</c:v>
                </c:pt>
                <c:pt idx="1">
                  <c:v>0</c:v>
                </c:pt>
                <c:pt idx="2">
                  <c:v>0.02</c:v>
                </c:pt>
                <c:pt idx="3">
                  <c:v>0</c:v>
                </c:pt>
                <c:pt idx="4">
                  <c:v>0.01</c:v>
                </c:pt>
                <c:pt idx="5">
                  <c:v>0.06</c:v>
                </c:pt>
                <c:pt idx="6">
                  <c:v>0.02</c:v>
                </c:pt>
                <c:pt idx="7">
                  <c:v>0</c:v>
                </c:pt>
                <c:pt idx="8">
                  <c:v>0</c:v>
                </c:pt>
                <c:pt idx="9">
                  <c:v>7.0000000000000007E-2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79-4EAB-BF24-51169D5560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54596656"/>
        <c:axId val="554596984"/>
        <c:axId val="0"/>
      </c:bar3DChart>
      <c:catAx>
        <c:axId val="554596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280000" spcFirstLastPara="1" vertOverflow="ellipsis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54596984"/>
        <c:crosses val="autoZero"/>
        <c:auto val="1"/>
        <c:lblAlgn val="ctr"/>
        <c:lblOffset val="100"/>
        <c:noMultiLvlLbl val="0"/>
      </c:catAx>
      <c:valAx>
        <c:axId val="554596984"/>
        <c:scaling>
          <c:orientation val="minMax"/>
          <c:max val="1.1000000000000001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54596656"/>
        <c:crosses val="autoZero"/>
        <c:crossBetween val="between"/>
      </c:valAx>
      <c:spPr>
        <a:noFill/>
        <a:ln w="12700">
          <a:noFill/>
        </a:ln>
        <a:effectLst/>
      </c:spPr>
    </c:plotArea>
    <c:legend>
      <c:legendPos val="b"/>
      <c:layout>
        <c:manualLayout>
          <c:xMode val="edge"/>
          <c:yMode val="edge"/>
          <c:x val="0.40236174612533615"/>
          <c:y val="7.941792929292929E-2"/>
          <c:w val="0.20197353754707092"/>
          <c:h val="5.4623267632947149E-2"/>
        </c:manualLayout>
      </c:layout>
      <c:overlay val="0"/>
      <c:spPr>
        <a:ln w="635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chemeClr val="bg1">
            <a:lumMod val="65000"/>
          </a:schemeClr>
        </a:gs>
        <a:gs pos="12000">
          <a:srgbClr val="E6E6E6"/>
        </a:gs>
        <a:gs pos="18000">
          <a:srgbClr val="EBEBEB"/>
        </a:gs>
        <a:gs pos="100000">
          <a:srgbClr val="E6E6E6"/>
        </a:gs>
      </a:gsLst>
      <a:lin ang="0" scaled="0"/>
    </a:gradFill>
    <a:ln w="12700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8" orientation="portrait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1602034120734911E-2"/>
          <c:y val="0.3886880956207191"/>
          <c:w val="0.90139173228346459"/>
          <c:h val="0.43611765770657979"/>
        </c:manualLayout>
      </c:layout>
      <c:barChart>
        <c:barDir val="bar"/>
        <c:grouping val="clustered"/>
        <c:varyColors val="0"/>
        <c:ser>
          <c:idx val="2"/>
          <c:order val="0"/>
          <c:tx>
            <c:strRef>
              <c:f>DADOS!$BS$104</c:f>
              <c:strCache>
                <c:ptCount val="1"/>
                <c:pt idx="0">
                  <c:v>% REALIZADO</c:v>
                </c:pt>
              </c:strCache>
            </c:strRef>
          </c:tx>
          <c:spPr>
            <a:solidFill>
              <a:srgbClr val="0D1A43"/>
            </a:solidFill>
            <a:ln>
              <a:solidFill>
                <a:srgbClr val="0D1A43"/>
              </a:solidFill>
            </a:ln>
            <a:effectLst>
              <a:outerShdw blurRad="254000" sx="102000" sy="102000" algn="ctr" rotWithShape="0">
                <a:prstClr val="black">
                  <a:alpha val="20000"/>
                </a:prst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0D1A43"/>
              </a:solidFill>
              <a:ln>
                <a:solidFill>
                  <a:srgbClr val="0D1A43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403-4624-9E55-BE4B0BC82564}"/>
              </c:ext>
            </c:extLst>
          </c:dPt>
          <c:dLbls>
            <c:numFmt formatCode="0.0%" sourceLinked="0"/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DADOS!$BS$103:$BS$104</c:f>
              <c:strCache>
                <c:ptCount val="2"/>
                <c:pt idx="0">
                  <c:v>% PREVISTO</c:v>
                </c:pt>
                <c:pt idx="1">
                  <c:v>% REALIZADO</c:v>
                </c:pt>
              </c:strCache>
            </c:strRef>
          </c:cat>
          <c:val>
            <c:numRef>
              <c:f>DADOS!$BT$104</c:f>
              <c:numCache>
                <c:formatCode>0.0%</c:formatCode>
                <c:ptCount val="1"/>
                <c:pt idx="0">
                  <c:v>0.03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403-4624-9E55-BE4B0BC82564}"/>
            </c:ext>
          </c:extLst>
        </c:ser>
        <c:ser>
          <c:idx val="0"/>
          <c:order val="1"/>
          <c:tx>
            <c:strRef>
              <c:f>DADOS!$BS$103</c:f>
              <c:strCache>
                <c:ptCount val="1"/>
                <c:pt idx="0">
                  <c:v>% PREVISTO</c:v>
                </c:pt>
              </c:strCache>
            </c:strRef>
          </c:tx>
          <c:spPr>
            <a:solidFill>
              <a:srgbClr val="FFC000"/>
            </a:solidFill>
            <a:ln>
              <a:solidFill>
                <a:schemeClr val="tx1"/>
              </a:solidFill>
            </a:ln>
            <a:effectLst>
              <a:outerShdw blurRad="254000" sx="102000" sy="102000" algn="ctr" rotWithShape="0">
                <a:prstClr val="black">
                  <a:alpha val="20000"/>
                </a:prst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FFC000"/>
              </a:solidFill>
              <a:ln>
                <a:solidFill>
                  <a:schemeClr val="tx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A403-4624-9E55-BE4B0BC82564}"/>
              </c:ext>
            </c:extLst>
          </c:dPt>
          <c:dLbls>
            <c:numFmt formatCode="0.0%" sourceLinked="0"/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DADOS!$BS$103:$BS$104</c:f>
              <c:strCache>
                <c:ptCount val="2"/>
                <c:pt idx="0">
                  <c:v>% PREVISTO</c:v>
                </c:pt>
                <c:pt idx="1">
                  <c:v>% REALIZADO</c:v>
                </c:pt>
              </c:strCache>
            </c:strRef>
          </c:cat>
          <c:val>
            <c:numRef>
              <c:f>DADOS!$BT$103</c:f>
              <c:numCache>
                <c:formatCode>0.0%</c:formatCode>
                <c:ptCount val="1"/>
                <c:pt idx="0">
                  <c:v>0.03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403-4624-9E55-BE4B0BC825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30"/>
        <c:axId val="668042904"/>
        <c:axId val="668044216"/>
      </c:barChart>
      <c:valAx>
        <c:axId val="668044216"/>
        <c:scaling>
          <c:orientation val="minMax"/>
          <c:max val="1"/>
          <c:min val="0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t" anchorCtr="0"/>
          <a:lstStyle/>
          <a:p>
            <a:pPr>
              <a:defRPr sz="105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68042904"/>
        <c:crosses val="autoZero"/>
        <c:crossBetween val="between"/>
      </c:valAx>
      <c:catAx>
        <c:axId val="66804290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6680442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9624163188863826"/>
          <c:y val="0.21508066437095283"/>
          <c:w val="0.21255259473354854"/>
          <c:h val="0.1479186059556765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bg1">
            <a:lumMod val="65000"/>
          </a:schemeClr>
        </a:gs>
        <a:gs pos="10000">
          <a:schemeClr val="bg2"/>
        </a:gs>
        <a:gs pos="18000">
          <a:schemeClr val="bg2"/>
        </a:gs>
        <a:gs pos="100000">
          <a:schemeClr val="bg2"/>
        </a:gs>
      </a:gsLst>
      <a:lin ang="0" scaled="0"/>
      <a:tileRect/>
    </a:gra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5079255453791311E-2"/>
          <c:y val="0.17321500000000001"/>
          <c:w val="0.92211346790443294"/>
          <c:h val="0.61989166666666662"/>
        </c:manualLayout>
      </c:layout>
      <c:lineChart>
        <c:grouping val="standard"/>
        <c:varyColors val="0"/>
        <c:ser>
          <c:idx val="0"/>
          <c:order val="0"/>
          <c:tx>
            <c:strRef>
              <c:f>DADOS!$C$107</c:f>
              <c:strCache>
                <c:ptCount val="1"/>
                <c:pt idx="0">
                  <c:v>EVOLUÇÃO REAL ACUMULADA %:</c:v>
                </c:pt>
              </c:strCache>
              <c:extLst xmlns:c15="http://schemas.microsoft.com/office/drawing/2012/chart"/>
            </c:strRef>
          </c:tx>
          <c:spPr>
            <a:ln w="19050">
              <a:solidFill>
                <a:srgbClr val="FF0000"/>
              </a:solidFill>
            </a:ln>
          </c:spPr>
          <c:marker>
            <c:symbol val="diamond"/>
            <c:size val="3"/>
            <c:spPr>
              <a:solidFill>
                <a:srgbClr val="FF0000"/>
              </a:solidFill>
              <a:ln>
                <a:noFill/>
              </a:ln>
            </c:spPr>
          </c:marker>
          <c:dLbls>
            <c:dLbl>
              <c:idx val="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49A-4598-9E20-5781D4C90768}"/>
                </c:ext>
              </c:extLst>
            </c:dLbl>
            <c:dLbl>
              <c:idx val="1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49A-4598-9E20-5781D4C90768}"/>
                </c:ext>
              </c:extLst>
            </c:dLbl>
            <c:dLbl>
              <c:idx val="2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49A-4598-9E20-5781D4C90768}"/>
                </c:ext>
              </c:extLst>
            </c:dLbl>
            <c:dLbl>
              <c:idx val="3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49A-4598-9E20-5781D4C90768}"/>
                </c:ext>
              </c:extLst>
            </c:dLbl>
            <c:dLbl>
              <c:idx val="4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49A-4598-9E20-5781D4C90768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t" anchorCtr="0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DADOS!$D$102:$BL$102</c15:sqref>
                  </c15:fullRef>
                </c:ext>
              </c:extLst>
              <c:f>DADOS!$D$102:$AY$102</c:f>
              <c:strCache>
                <c:ptCount val="48"/>
                <c:pt idx="0">
                  <c:v>0º</c:v>
                </c:pt>
                <c:pt idx="1">
                  <c:v>1º</c:v>
                </c:pt>
                <c:pt idx="2">
                  <c:v>2º</c:v>
                </c:pt>
                <c:pt idx="3">
                  <c:v>3º</c:v>
                </c:pt>
                <c:pt idx="4">
                  <c:v>4º</c:v>
                </c:pt>
                <c:pt idx="5">
                  <c:v>5º</c:v>
                </c:pt>
                <c:pt idx="6">
                  <c:v>6º</c:v>
                </c:pt>
                <c:pt idx="7">
                  <c:v>7º</c:v>
                </c:pt>
                <c:pt idx="8">
                  <c:v>8º</c:v>
                </c:pt>
                <c:pt idx="9">
                  <c:v>9º</c:v>
                </c:pt>
                <c:pt idx="10">
                  <c:v>10º</c:v>
                </c:pt>
                <c:pt idx="11">
                  <c:v>11º</c:v>
                </c:pt>
                <c:pt idx="12">
                  <c:v>12º</c:v>
                </c:pt>
                <c:pt idx="13">
                  <c:v>13º</c:v>
                </c:pt>
                <c:pt idx="14">
                  <c:v>14º</c:v>
                </c:pt>
                <c:pt idx="15">
                  <c:v>15º</c:v>
                </c:pt>
                <c:pt idx="16">
                  <c:v>16º</c:v>
                </c:pt>
                <c:pt idx="17">
                  <c:v>17º</c:v>
                </c:pt>
                <c:pt idx="18">
                  <c:v>18º</c:v>
                </c:pt>
                <c:pt idx="19">
                  <c:v>19º</c:v>
                </c:pt>
                <c:pt idx="20">
                  <c:v>20º</c:v>
                </c:pt>
                <c:pt idx="21">
                  <c:v>21º</c:v>
                </c:pt>
                <c:pt idx="22">
                  <c:v>22º</c:v>
                </c:pt>
                <c:pt idx="23">
                  <c:v>23º</c:v>
                </c:pt>
                <c:pt idx="24">
                  <c:v>24º</c:v>
                </c:pt>
                <c:pt idx="25">
                  <c:v>25º</c:v>
                </c:pt>
                <c:pt idx="26">
                  <c:v>26º</c:v>
                </c:pt>
                <c:pt idx="27">
                  <c:v>27º</c:v>
                </c:pt>
                <c:pt idx="28">
                  <c:v>28º</c:v>
                </c:pt>
                <c:pt idx="29">
                  <c:v>29º</c:v>
                </c:pt>
                <c:pt idx="30">
                  <c:v>30º</c:v>
                </c:pt>
                <c:pt idx="31">
                  <c:v>31º</c:v>
                </c:pt>
                <c:pt idx="32">
                  <c:v>32º</c:v>
                </c:pt>
                <c:pt idx="33">
                  <c:v>33º</c:v>
                </c:pt>
                <c:pt idx="34">
                  <c:v>34º</c:v>
                </c:pt>
                <c:pt idx="35">
                  <c:v>35º</c:v>
                </c:pt>
                <c:pt idx="36">
                  <c:v>36º</c:v>
                </c:pt>
                <c:pt idx="37">
                  <c:v>37º</c:v>
                </c:pt>
                <c:pt idx="38">
                  <c:v>38º</c:v>
                </c:pt>
                <c:pt idx="39">
                  <c:v>39º</c:v>
                </c:pt>
                <c:pt idx="40">
                  <c:v>40º</c:v>
                </c:pt>
                <c:pt idx="41">
                  <c:v>41º</c:v>
                </c:pt>
                <c:pt idx="42">
                  <c:v>42º</c:v>
                </c:pt>
                <c:pt idx="43">
                  <c:v>43º</c:v>
                </c:pt>
                <c:pt idx="44">
                  <c:v>44º</c:v>
                </c:pt>
                <c:pt idx="45">
                  <c:v>45º</c:v>
                </c:pt>
                <c:pt idx="46">
                  <c:v>46º</c:v>
                </c:pt>
                <c:pt idx="47">
                  <c:v>47º</c:v>
                </c:pt>
                <c:pt idx="48">
                  <c:v>48º</c:v>
                </c:pt>
                <c:pt idx="49">
                  <c:v>49º</c:v>
                </c:pt>
                <c:pt idx="50">
                  <c:v>50º</c:v>
                </c:pt>
                <c:pt idx="51">
                  <c:v>51º</c:v>
                </c:pt>
                <c:pt idx="52">
                  <c:v>52º</c:v>
                </c:pt>
                <c:pt idx="53">
                  <c:v>53º</c:v>
                </c:pt>
                <c:pt idx="54">
                  <c:v>54º</c:v>
                </c:pt>
                <c:pt idx="55">
                  <c:v>55º</c:v>
                </c:pt>
                <c:pt idx="56">
                  <c:v>56º</c:v>
                </c:pt>
                <c:pt idx="57">
                  <c:v>57º</c:v>
                </c:pt>
                <c:pt idx="58">
                  <c:v>58º</c:v>
                </c:pt>
                <c:pt idx="59">
                  <c:v>59º</c:v>
                </c:pt>
                <c:pt idx="60">
                  <c:v>60º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DADOS!$D$107:$H$107</c15:sqref>
                  </c15:fullRef>
                </c:ext>
              </c:extLst>
              <c:f>DADOS!$D$107:$H$107</c:f>
              <c:numCache>
                <c:formatCode>0.00%</c:formatCode>
                <c:ptCount val="5"/>
                <c:pt idx="0">
                  <c:v>0</c:v>
                </c:pt>
                <c:pt idx="1">
                  <c:v>0.01</c:v>
                </c:pt>
                <c:pt idx="2">
                  <c:v>0.01</c:v>
                </c:pt>
                <c:pt idx="3">
                  <c:v>0.02</c:v>
                </c:pt>
                <c:pt idx="4">
                  <c:v>0.03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AE13-42C2-9EB7-CF666B0AAB7B}"/>
            </c:ext>
          </c:extLst>
        </c:ser>
        <c:ser>
          <c:idx val="1"/>
          <c:order val="1"/>
          <c:tx>
            <c:strRef>
              <c:f>DADOS!$C$104</c:f>
              <c:strCache>
                <c:ptCount val="1"/>
                <c:pt idx="0">
                  <c:v>EVOLUÇÃO PREVISTA ACUMULADA %:</c:v>
                </c:pt>
              </c:strCache>
            </c:strRef>
          </c:tx>
          <c:spPr>
            <a:ln w="12700">
              <a:solidFill>
                <a:srgbClr val="0000FF"/>
              </a:solidFill>
            </a:ln>
          </c:spPr>
          <c:marker>
            <c:symbol val="circle"/>
            <c:size val="2"/>
            <c:spPr>
              <a:solidFill>
                <a:srgbClr val="0000FF"/>
              </a:solidFill>
              <a:ln>
                <a:noFill/>
              </a:ln>
            </c:spPr>
          </c:marker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-5400000" vertOverflow="overflow" horzOverflow="overflow" vert="horz" wrap="square" lIns="0" tIns="0" rIns="0" bIns="144000" anchor="b" anchorCtr="1">
                <a:spAutoFit/>
              </a:bodyPr>
              <a:lstStyle/>
              <a:p>
                <a:pPr>
                  <a:defRPr sz="1100">
                    <a:solidFill>
                      <a:srgbClr val="0000FF"/>
                    </a:solidFill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DADOS!$D$102:$BL$102</c15:sqref>
                  </c15:fullRef>
                </c:ext>
              </c:extLst>
              <c:f>DADOS!$D$102:$AY$102</c:f>
              <c:strCache>
                <c:ptCount val="48"/>
                <c:pt idx="0">
                  <c:v>0º</c:v>
                </c:pt>
                <c:pt idx="1">
                  <c:v>1º</c:v>
                </c:pt>
                <c:pt idx="2">
                  <c:v>2º</c:v>
                </c:pt>
                <c:pt idx="3">
                  <c:v>3º</c:v>
                </c:pt>
                <c:pt idx="4">
                  <c:v>4º</c:v>
                </c:pt>
                <c:pt idx="5">
                  <c:v>5º</c:v>
                </c:pt>
                <c:pt idx="6">
                  <c:v>6º</c:v>
                </c:pt>
                <c:pt idx="7">
                  <c:v>7º</c:v>
                </c:pt>
                <c:pt idx="8">
                  <c:v>8º</c:v>
                </c:pt>
                <c:pt idx="9">
                  <c:v>9º</c:v>
                </c:pt>
                <c:pt idx="10">
                  <c:v>10º</c:v>
                </c:pt>
                <c:pt idx="11">
                  <c:v>11º</c:v>
                </c:pt>
                <c:pt idx="12">
                  <c:v>12º</c:v>
                </c:pt>
                <c:pt idx="13">
                  <c:v>13º</c:v>
                </c:pt>
                <c:pt idx="14">
                  <c:v>14º</c:v>
                </c:pt>
                <c:pt idx="15">
                  <c:v>15º</c:v>
                </c:pt>
                <c:pt idx="16">
                  <c:v>16º</c:v>
                </c:pt>
                <c:pt idx="17">
                  <c:v>17º</c:v>
                </c:pt>
                <c:pt idx="18">
                  <c:v>18º</c:v>
                </c:pt>
                <c:pt idx="19">
                  <c:v>19º</c:v>
                </c:pt>
                <c:pt idx="20">
                  <c:v>20º</c:v>
                </c:pt>
                <c:pt idx="21">
                  <c:v>21º</c:v>
                </c:pt>
                <c:pt idx="22">
                  <c:v>22º</c:v>
                </c:pt>
                <c:pt idx="23">
                  <c:v>23º</c:v>
                </c:pt>
                <c:pt idx="24">
                  <c:v>24º</c:v>
                </c:pt>
                <c:pt idx="25">
                  <c:v>25º</c:v>
                </c:pt>
                <c:pt idx="26">
                  <c:v>26º</c:v>
                </c:pt>
                <c:pt idx="27">
                  <c:v>27º</c:v>
                </c:pt>
                <c:pt idx="28">
                  <c:v>28º</c:v>
                </c:pt>
                <c:pt idx="29">
                  <c:v>29º</c:v>
                </c:pt>
                <c:pt idx="30">
                  <c:v>30º</c:v>
                </c:pt>
                <c:pt idx="31">
                  <c:v>31º</c:v>
                </c:pt>
                <c:pt idx="32">
                  <c:v>32º</c:v>
                </c:pt>
                <c:pt idx="33">
                  <c:v>33º</c:v>
                </c:pt>
                <c:pt idx="34">
                  <c:v>34º</c:v>
                </c:pt>
                <c:pt idx="35">
                  <c:v>35º</c:v>
                </c:pt>
                <c:pt idx="36">
                  <c:v>36º</c:v>
                </c:pt>
                <c:pt idx="37">
                  <c:v>37º</c:v>
                </c:pt>
                <c:pt idx="38">
                  <c:v>38º</c:v>
                </c:pt>
                <c:pt idx="39">
                  <c:v>39º</c:v>
                </c:pt>
                <c:pt idx="40">
                  <c:v>40º</c:v>
                </c:pt>
                <c:pt idx="41">
                  <c:v>41º</c:v>
                </c:pt>
                <c:pt idx="42">
                  <c:v>42º</c:v>
                </c:pt>
                <c:pt idx="43">
                  <c:v>43º</c:v>
                </c:pt>
                <c:pt idx="44">
                  <c:v>44º</c:v>
                </c:pt>
                <c:pt idx="45">
                  <c:v>45º</c:v>
                </c:pt>
                <c:pt idx="46">
                  <c:v>46º</c:v>
                </c:pt>
                <c:pt idx="47">
                  <c:v>47º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DADOS!$D$104:$BL$104</c15:sqref>
                  </c15:fullRef>
                </c:ext>
              </c:extLst>
              <c:f>DADOS!$D$104:$AY$104</c:f>
              <c:numCache>
                <c:formatCode>0.00%</c:formatCode>
                <c:ptCount val="48"/>
                <c:pt idx="0">
                  <c:v>0</c:v>
                </c:pt>
                <c:pt idx="1">
                  <c:v>0.01</c:v>
                </c:pt>
                <c:pt idx="2">
                  <c:v>0.01</c:v>
                </c:pt>
                <c:pt idx="3">
                  <c:v>0.02</c:v>
                </c:pt>
                <c:pt idx="4">
                  <c:v>0.03</c:v>
                </c:pt>
                <c:pt idx="5">
                  <c:v>0.06</c:v>
                </c:pt>
                <c:pt idx="6">
                  <c:v>0.09</c:v>
                </c:pt>
                <c:pt idx="7">
                  <c:v>0.12</c:v>
                </c:pt>
                <c:pt idx="8">
                  <c:v>0.15</c:v>
                </c:pt>
                <c:pt idx="9">
                  <c:v>0.17</c:v>
                </c:pt>
                <c:pt idx="10">
                  <c:v>0.2</c:v>
                </c:pt>
                <c:pt idx="11">
                  <c:v>0.23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0.34</c:v>
                </c:pt>
                <c:pt idx="17">
                  <c:v>0.37</c:v>
                </c:pt>
                <c:pt idx="18">
                  <c:v>0.41</c:v>
                </c:pt>
                <c:pt idx="19">
                  <c:v>0.44</c:v>
                </c:pt>
                <c:pt idx="20">
                  <c:v>0.46</c:v>
                </c:pt>
                <c:pt idx="21">
                  <c:v>0.48</c:v>
                </c:pt>
                <c:pt idx="22">
                  <c:v>0.52</c:v>
                </c:pt>
                <c:pt idx="23">
                  <c:v>0.55000000000000004</c:v>
                </c:pt>
                <c:pt idx="24">
                  <c:v>0.56999999999999995</c:v>
                </c:pt>
                <c:pt idx="25">
                  <c:v>0.59</c:v>
                </c:pt>
                <c:pt idx="26">
                  <c:v>0.62</c:v>
                </c:pt>
                <c:pt idx="27">
                  <c:v>0.64</c:v>
                </c:pt>
                <c:pt idx="28">
                  <c:v>0.67</c:v>
                </c:pt>
                <c:pt idx="29">
                  <c:v>0.69</c:v>
                </c:pt>
                <c:pt idx="30">
                  <c:v>0.72</c:v>
                </c:pt>
                <c:pt idx="31">
                  <c:v>0.74</c:v>
                </c:pt>
                <c:pt idx="32">
                  <c:v>0.77</c:v>
                </c:pt>
                <c:pt idx="33">
                  <c:v>0.78</c:v>
                </c:pt>
                <c:pt idx="34">
                  <c:v>0.81</c:v>
                </c:pt>
                <c:pt idx="35">
                  <c:v>0.83</c:v>
                </c:pt>
                <c:pt idx="36">
                  <c:v>0.85</c:v>
                </c:pt>
                <c:pt idx="37">
                  <c:v>0.87</c:v>
                </c:pt>
                <c:pt idx="38">
                  <c:v>0.88</c:v>
                </c:pt>
                <c:pt idx="39">
                  <c:v>0.89</c:v>
                </c:pt>
                <c:pt idx="40">
                  <c:v>0.91</c:v>
                </c:pt>
                <c:pt idx="41">
                  <c:v>0.92</c:v>
                </c:pt>
                <c:pt idx="42">
                  <c:v>0.93</c:v>
                </c:pt>
                <c:pt idx="43">
                  <c:v>0.95</c:v>
                </c:pt>
                <c:pt idx="44">
                  <c:v>0.98</c:v>
                </c:pt>
                <c:pt idx="45">
                  <c:v>0.99</c:v>
                </c:pt>
                <c:pt idx="46">
                  <c:v>0.99</c:v>
                </c:pt>
                <c:pt idx="47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E13-42C2-9EB7-CF666B0AAB7B}"/>
            </c:ext>
          </c:extLst>
        </c:ser>
        <c:dLbls>
          <c:dLblPos val="b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34867472"/>
        <c:axId val="634867864"/>
        <c:extLst/>
      </c:lineChart>
      <c:catAx>
        <c:axId val="634867472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>
            <a:glow>
              <a:schemeClr val="accent1">
                <a:alpha val="0"/>
              </a:schemeClr>
            </a:glow>
          </a:effectLst>
        </c:spPr>
        <c:txPr>
          <a:bodyPr rot="-5400000" spcFirstLastPara="1" vertOverflow="ellipsis" vert="horz" wrap="square" anchor="b" anchorCtr="0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34867864"/>
        <c:crosses val="autoZero"/>
        <c:auto val="0"/>
        <c:lblAlgn val="ctr"/>
        <c:lblOffset val="500"/>
        <c:noMultiLvlLbl val="0"/>
      </c:catAx>
      <c:valAx>
        <c:axId val="634867864"/>
        <c:scaling>
          <c:orientation val="minMax"/>
          <c:max val="1.1000000000000001"/>
          <c:min val="-0.1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34867472"/>
        <c:crossesAt val="1"/>
        <c:crossBetween val="between"/>
        <c:majorUnit val="0.1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5633707541738631"/>
          <c:y val="8.9144166666666663E-2"/>
          <c:w val="0.64145545480713873"/>
          <c:h val="5.6343981481481474E-2"/>
        </c:manualLayout>
      </c:layout>
      <c:overlay val="0"/>
      <c:spPr>
        <a:noFill/>
      </c:spPr>
      <c:txPr>
        <a:bodyPr/>
        <a:lstStyle/>
        <a:p>
          <a:pPr>
            <a:defRPr sz="1050" b="0"/>
          </a:pPr>
          <a:endParaRPr lang="pt-BR"/>
        </a:p>
      </c:txPr>
    </c:legend>
    <c:plotVisOnly val="0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bg1">
            <a:lumMod val="65000"/>
          </a:schemeClr>
        </a:gs>
        <a:gs pos="18000">
          <a:schemeClr val="bg2"/>
        </a:gs>
        <a:gs pos="10000">
          <a:schemeClr val="bg2"/>
        </a:gs>
        <a:gs pos="100000">
          <a:schemeClr val="bg2"/>
        </a:gs>
      </a:gsLst>
      <a:lin ang="0" scaled="1"/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1478289473684208E-2"/>
          <c:y val="0.16867847222222221"/>
          <c:w val="0.89125314327485394"/>
          <c:h val="0.58703388888888886"/>
        </c:manualLayout>
      </c:layout>
      <c:lineChart>
        <c:grouping val="standard"/>
        <c:varyColors val="0"/>
        <c:ser>
          <c:idx val="0"/>
          <c:order val="0"/>
          <c:tx>
            <c:v>TRABALHO ACUMULADO LINHA DE BASE</c:v>
          </c:tx>
          <c:spPr>
            <a:ln w="19050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cat>
            <c:numRef>
              <c:f>'PMO REAL'!$F$14:$US$14</c:f>
              <c:numCache>
                <c:formatCode>m/d/yyyy</c:formatCode>
                <c:ptCount val="560"/>
                <c:pt idx="0">
                  <c:v>45196</c:v>
                </c:pt>
                <c:pt idx="1">
                  <c:v>45197</c:v>
                </c:pt>
                <c:pt idx="2">
                  <c:v>45198</c:v>
                </c:pt>
                <c:pt idx="3">
                  <c:v>45199</c:v>
                </c:pt>
                <c:pt idx="4">
                  <c:v>45200</c:v>
                </c:pt>
                <c:pt idx="5">
                  <c:v>45201</c:v>
                </c:pt>
                <c:pt idx="6">
                  <c:v>45202</c:v>
                </c:pt>
                <c:pt idx="7">
                  <c:v>45203</c:v>
                </c:pt>
                <c:pt idx="8">
                  <c:v>45204</c:v>
                </c:pt>
                <c:pt idx="9">
                  <c:v>45205</c:v>
                </c:pt>
                <c:pt idx="10">
                  <c:v>45206</c:v>
                </c:pt>
                <c:pt idx="11">
                  <c:v>45207</c:v>
                </c:pt>
                <c:pt idx="12">
                  <c:v>45208</c:v>
                </c:pt>
                <c:pt idx="13">
                  <c:v>45209</c:v>
                </c:pt>
                <c:pt idx="14">
                  <c:v>45210</c:v>
                </c:pt>
                <c:pt idx="15">
                  <c:v>45211</c:v>
                </c:pt>
                <c:pt idx="16">
                  <c:v>45212</c:v>
                </c:pt>
                <c:pt idx="17">
                  <c:v>45213</c:v>
                </c:pt>
                <c:pt idx="18">
                  <c:v>45214</c:v>
                </c:pt>
                <c:pt idx="19">
                  <c:v>45215</c:v>
                </c:pt>
                <c:pt idx="20">
                  <c:v>45216</c:v>
                </c:pt>
                <c:pt idx="21">
                  <c:v>45217</c:v>
                </c:pt>
                <c:pt idx="22">
                  <c:v>45218</c:v>
                </c:pt>
                <c:pt idx="23">
                  <c:v>45219</c:v>
                </c:pt>
                <c:pt idx="24">
                  <c:v>45220</c:v>
                </c:pt>
                <c:pt idx="25">
                  <c:v>45221</c:v>
                </c:pt>
                <c:pt idx="26">
                  <c:v>45222</c:v>
                </c:pt>
                <c:pt idx="27">
                  <c:v>45223</c:v>
                </c:pt>
                <c:pt idx="28">
                  <c:v>45224</c:v>
                </c:pt>
                <c:pt idx="29">
                  <c:v>45225</c:v>
                </c:pt>
                <c:pt idx="30">
                  <c:v>45226</c:v>
                </c:pt>
                <c:pt idx="31">
                  <c:v>45227</c:v>
                </c:pt>
                <c:pt idx="32">
                  <c:v>45228</c:v>
                </c:pt>
                <c:pt idx="33">
                  <c:v>45229</c:v>
                </c:pt>
                <c:pt idx="34">
                  <c:v>45230</c:v>
                </c:pt>
                <c:pt idx="35">
                  <c:v>45231</c:v>
                </c:pt>
                <c:pt idx="36">
                  <c:v>45232</c:v>
                </c:pt>
                <c:pt idx="37">
                  <c:v>45233</c:v>
                </c:pt>
                <c:pt idx="38">
                  <c:v>45234</c:v>
                </c:pt>
                <c:pt idx="39">
                  <c:v>45235</c:v>
                </c:pt>
                <c:pt idx="40">
                  <c:v>45236</c:v>
                </c:pt>
                <c:pt idx="41">
                  <c:v>45237</c:v>
                </c:pt>
                <c:pt idx="42">
                  <c:v>45238</c:v>
                </c:pt>
                <c:pt idx="43">
                  <c:v>45239</c:v>
                </c:pt>
                <c:pt idx="44">
                  <c:v>45240</c:v>
                </c:pt>
                <c:pt idx="45">
                  <c:v>45241</c:v>
                </c:pt>
                <c:pt idx="46">
                  <c:v>45242</c:v>
                </c:pt>
                <c:pt idx="47">
                  <c:v>45243</c:v>
                </c:pt>
                <c:pt idx="48">
                  <c:v>45244</c:v>
                </c:pt>
                <c:pt idx="49">
                  <c:v>45245</c:v>
                </c:pt>
                <c:pt idx="50">
                  <c:v>45246</c:v>
                </c:pt>
                <c:pt idx="51">
                  <c:v>45247</c:v>
                </c:pt>
                <c:pt idx="52">
                  <c:v>45248</c:v>
                </c:pt>
                <c:pt idx="53">
                  <c:v>45249</c:v>
                </c:pt>
                <c:pt idx="54">
                  <c:v>45250</c:v>
                </c:pt>
                <c:pt idx="55">
                  <c:v>45251</c:v>
                </c:pt>
                <c:pt idx="56">
                  <c:v>45252</c:v>
                </c:pt>
                <c:pt idx="57">
                  <c:v>45253</c:v>
                </c:pt>
                <c:pt idx="58">
                  <c:v>45254</c:v>
                </c:pt>
                <c:pt idx="59">
                  <c:v>45255</c:v>
                </c:pt>
                <c:pt idx="60">
                  <c:v>45256</c:v>
                </c:pt>
                <c:pt idx="61">
                  <c:v>45257</c:v>
                </c:pt>
                <c:pt idx="62">
                  <c:v>45258</c:v>
                </c:pt>
                <c:pt idx="63">
                  <c:v>45259</c:v>
                </c:pt>
                <c:pt idx="64">
                  <c:v>45260</c:v>
                </c:pt>
                <c:pt idx="65">
                  <c:v>45261</c:v>
                </c:pt>
                <c:pt idx="66">
                  <c:v>45262</c:v>
                </c:pt>
                <c:pt idx="67">
                  <c:v>45263</c:v>
                </c:pt>
                <c:pt idx="68">
                  <c:v>45264</c:v>
                </c:pt>
                <c:pt idx="69">
                  <c:v>45265</c:v>
                </c:pt>
                <c:pt idx="70">
                  <c:v>45266</c:v>
                </c:pt>
                <c:pt idx="71">
                  <c:v>45267</c:v>
                </c:pt>
                <c:pt idx="72">
                  <c:v>45268</c:v>
                </c:pt>
                <c:pt idx="73">
                  <c:v>45269</c:v>
                </c:pt>
                <c:pt idx="74">
                  <c:v>45270</c:v>
                </c:pt>
                <c:pt idx="75">
                  <c:v>45271</c:v>
                </c:pt>
                <c:pt idx="76">
                  <c:v>45272</c:v>
                </c:pt>
                <c:pt idx="77">
                  <c:v>45273</c:v>
                </c:pt>
                <c:pt idx="78">
                  <c:v>45274</c:v>
                </c:pt>
                <c:pt idx="79">
                  <c:v>45275</c:v>
                </c:pt>
                <c:pt idx="80">
                  <c:v>45276</c:v>
                </c:pt>
                <c:pt idx="81">
                  <c:v>45277</c:v>
                </c:pt>
                <c:pt idx="82">
                  <c:v>45278</c:v>
                </c:pt>
                <c:pt idx="83">
                  <c:v>45279</c:v>
                </c:pt>
                <c:pt idx="84">
                  <c:v>45280</c:v>
                </c:pt>
                <c:pt idx="85">
                  <c:v>45281</c:v>
                </c:pt>
                <c:pt idx="86">
                  <c:v>45282</c:v>
                </c:pt>
                <c:pt idx="87">
                  <c:v>45283</c:v>
                </c:pt>
                <c:pt idx="88">
                  <c:v>45284</c:v>
                </c:pt>
                <c:pt idx="89">
                  <c:v>45285</c:v>
                </c:pt>
                <c:pt idx="90">
                  <c:v>45286</c:v>
                </c:pt>
                <c:pt idx="91">
                  <c:v>45287</c:v>
                </c:pt>
                <c:pt idx="92">
                  <c:v>45288</c:v>
                </c:pt>
                <c:pt idx="93">
                  <c:v>45289</c:v>
                </c:pt>
                <c:pt idx="94">
                  <c:v>45290</c:v>
                </c:pt>
                <c:pt idx="95">
                  <c:v>45291</c:v>
                </c:pt>
                <c:pt idx="96">
                  <c:v>45292</c:v>
                </c:pt>
                <c:pt idx="97">
                  <c:v>45293</c:v>
                </c:pt>
                <c:pt idx="98">
                  <c:v>45294</c:v>
                </c:pt>
                <c:pt idx="99">
                  <c:v>45295</c:v>
                </c:pt>
                <c:pt idx="100">
                  <c:v>45296</c:v>
                </c:pt>
                <c:pt idx="101">
                  <c:v>45297</c:v>
                </c:pt>
                <c:pt idx="102">
                  <c:v>45298</c:v>
                </c:pt>
                <c:pt idx="103">
                  <c:v>45299</c:v>
                </c:pt>
                <c:pt idx="104">
                  <c:v>45300</c:v>
                </c:pt>
                <c:pt idx="105">
                  <c:v>45301</c:v>
                </c:pt>
                <c:pt idx="106">
                  <c:v>45302</c:v>
                </c:pt>
                <c:pt idx="107">
                  <c:v>45303</c:v>
                </c:pt>
                <c:pt idx="108">
                  <c:v>45304</c:v>
                </c:pt>
                <c:pt idx="109">
                  <c:v>45305</c:v>
                </c:pt>
                <c:pt idx="110">
                  <c:v>45306</c:v>
                </c:pt>
                <c:pt idx="111">
                  <c:v>45307</c:v>
                </c:pt>
                <c:pt idx="112">
                  <c:v>45308</c:v>
                </c:pt>
                <c:pt idx="113">
                  <c:v>45309</c:v>
                </c:pt>
                <c:pt idx="114">
                  <c:v>45310</c:v>
                </c:pt>
                <c:pt idx="115">
                  <c:v>45311</c:v>
                </c:pt>
                <c:pt idx="116">
                  <c:v>45312</c:v>
                </c:pt>
                <c:pt idx="117">
                  <c:v>45313</c:v>
                </c:pt>
                <c:pt idx="118">
                  <c:v>45314</c:v>
                </c:pt>
                <c:pt idx="119">
                  <c:v>45315</c:v>
                </c:pt>
                <c:pt idx="120">
                  <c:v>45316</c:v>
                </c:pt>
                <c:pt idx="121">
                  <c:v>45317</c:v>
                </c:pt>
                <c:pt idx="122">
                  <c:v>45318</c:v>
                </c:pt>
                <c:pt idx="123">
                  <c:v>45319</c:v>
                </c:pt>
                <c:pt idx="124">
                  <c:v>45320</c:v>
                </c:pt>
                <c:pt idx="125">
                  <c:v>45321</c:v>
                </c:pt>
                <c:pt idx="126">
                  <c:v>45322</c:v>
                </c:pt>
                <c:pt idx="127">
                  <c:v>45323</c:v>
                </c:pt>
                <c:pt idx="128">
                  <c:v>45324</c:v>
                </c:pt>
                <c:pt idx="129">
                  <c:v>45325</c:v>
                </c:pt>
                <c:pt idx="130">
                  <c:v>45326</c:v>
                </c:pt>
                <c:pt idx="131">
                  <c:v>45327</c:v>
                </c:pt>
                <c:pt idx="132">
                  <c:v>45328</c:v>
                </c:pt>
                <c:pt idx="133">
                  <c:v>45329</c:v>
                </c:pt>
                <c:pt idx="134">
                  <c:v>45330</c:v>
                </c:pt>
                <c:pt idx="135">
                  <c:v>45331</c:v>
                </c:pt>
                <c:pt idx="136">
                  <c:v>45332</c:v>
                </c:pt>
                <c:pt idx="137">
                  <c:v>45333</c:v>
                </c:pt>
                <c:pt idx="138">
                  <c:v>45334</c:v>
                </c:pt>
                <c:pt idx="139">
                  <c:v>45335</c:v>
                </c:pt>
                <c:pt idx="140">
                  <c:v>45336</c:v>
                </c:pt>
                <c:pt idx="141">
                  <c:v>45337</c:v>
                </c:pt>
                <c:pt idx="142">
                  <c:v>45338</c:v>
                </c:pt>
                <c:pt idx="143">
                  <c:v>45339</c:v>
                </c:pt>
                <c:pt idx="144">
                  <c:v>45340</c:v>
                </c:pt>
                <c:pt idx="145">
                  <c:v>45341</c:v>
                </c:pt>
                <c:pt idx="146">
                  <c:v>45342</c:v>
                </c:pt>
                <c:pt idx="147">
                  <c:v>45343</c:v>
                </c:pt>
                <c:pt idx="148">
                  <c:v>45344</c:v>
                </c:pt>
                <c:pt idx="149">
                  <c:v>45345</c:v>
                </c:pt>
                <c:pt idx="150">
                  <c:v>45346</c:v>
                </c:pt>
                <c:pt idx="151">
                  <c:v>45347</c:v>
                </c:pt>
                <c:pt idx="152">
                  <c:v>45348</c:v>
                </c:pt>
                <c:pt idx="153">
                  <c:v>45349</c:v>
                </c:pt>
                <c:pt idx="154">
                  <c:v>45350</c:v>
                </c:pt>
                <c:pt idx="155">
                  <c:v>45351</c:v>
                </c:pt>
                <c:pt idx="156">
                  <c:v>45352</c:v>
                </c:pt>
                <c:pt idx="157">
                  <c:v>45353</c:v>
                </c:pt>
                <c:pt idx="158">
                  <c:v>45354</c:v>
                </c:pt>
                <c:pt idx="159">
                  <c:v>45355</c:v>
                </c:pt>
                <c:pt idx="160">
                  <c:v>45356</c:v>
                </c:pt>
                <c:pt idx="161">
                  <c:v>45357</c:v>
                </c:pt>
                <c:pt idx="162">
                  <c:v>45358</c:v>
                </c:pt>
                <c:pt idx="163">
                  <c:v>45359</c:v>
                </c:pt>
                <c:pt idx="164">
                  <c:v>45360</c:v>
                </c:pt>
                <c:pt idx="165">
                  <c:v>45361</c:v>
                </c:pt>
                <c:pt idx="166">
                  <c:v>45362</c:v>
                </c:pt>
                <c:pt idx="167">
                  <c:v>45363</c:v>
                </c:pt>
                <c:pt idx="168">
                  <c:v>45364</c:v>
                </c:pt>
                <c:pt idx="169">
                  <c:v>45365</c:v>
                </c:pt>
                <c:pt idx="170">
                  <c:v>45366</c:v>
                </c:pt>
                <c:pt idx="171">
                  <c:v>45367</c:v>
                </c:pt>
                <c:pt idx="172">
                  <c:v>45368</c:v>
                </c:pt>
                <c:pt idx="173">
                  <c:v>45369</c:v>
                </c:pt>
                <c:pt idx="174">
                  <c:v>45370</c:v>
                </c:pt>
                <c:pt idx="175">
                  <c:v>45371</c:v>
                </c:pt>
                <c:pt idx="176">
                  <c:v>45372</c:v>
                </c:pt>
                <c:pt idx="177">
                  <c:v>45373</c:v>
                </c:pt>
                <c:pt idx="178">
                  <c:v>45374</c:v>
                </c:pt>
                <c:pt idx="179">
                  <c:v>45375</c:v>
                </c:pt>
                <c:pt idx="180">
                  <c:v>45376</c:v>
                </c:pt>
                <c:pt idx="181">
                  <c:v>45377</c:v>
                </c:pt>
                <c:pt idx="182">
                  <c:v>45378</c:v>
                </c:pt>
                <c:pt idx="183">
                  <c:v>45379</c:v>
                </c:pt>
                <c:pt idx="184">
                  <c:v>45380</c:v>
                </c:pt>
                <c:pt idx="185">
                  <c:v>45381</c:v>
                </c:pt>
                <c:pt idx="186">
                  <c:v>45382</c:v>
                </c:pt>
                <c:pt idx="187">
                  <c:v>45383</c:v>
                </c:pt>
                <c:pt idx="188">
                  <c:v>45384</c:v>
                </c:pt>
                <c:pt idx="189">
                  <c:v>45385</c:v>
                </c:pt>
                <c:pt idx="190">
                  <c:v>45386</c:v>
                </c:pt>
                <c:pt idx="191">
                  <c:v>45387</c:v>
                </c:pt>
                <c:pt idx="192">
                  <c:v>45388</c:v>
                </c:pt>
                <c:pt idx="193">
                  <c:v>45389</c:v>
                </c:pt>
                <c:pt idx="194">
                  <c:v>45390</c:v>
                </c:pt>
                <c:pt idx="195">
                  <c:v>45391</c:v>
                </c:pt>
                <c:pt idx="196">
                  <c:v>45392</c:v>
                </c:pt>
                <c:pt idx="197">
                  <c:v>45393</c:v>
                </c:pt>
                <c:pt idx="198">
                  <c:v>45394</c:v>
                </c:pt>
                <c:pt idx="199">
                  <c:v>45395</c:v>
                </c:pt>
                <c:pt idx="200">
                  <c:v>45396</c:v>
                </c:pt>
                <c:pt idx="201">
                  <c:v>45397</c:v>
                </c:pt>
                <c:pt idx="202">
                  <c:v>45398</c:v>
                </c:pt>
                <c:pt idx="203">
                  <c:v>45399</c:v>
                </c:pt>
                <c:pt idx="204">
                  <c:v>45400</c:v>
                </c:pt>
                <c:pt idx="205">
                  <c:v>45401</c:v>
                </c:pt>
                <c:pt idx="206">
                  <c:v>45402</c:v>
                </c:pt>
                <c:pt idx="207">
                  <c:v>45403</c:v>
                </c:pt>
                <c:pt idx="208">
                  <c:v>45404</c:v>
                </c:pt>
                <c:pt idx="209">
                  <c:v>45405</c:v>
                </c:pt>
                <c:pt idx="210">
                  <c:v>45406</c:v>
                </c:pt>
                <c:pt idx="211">
                  <c:v>45407</c:v>
                </c:pt>
                <c:pt idx="212">
                  <c:v>45408</c:v>
                </c:pt>
                <c:pt idx="213">
                  <c:v>45409</c:v>
                </c:pt>
                <c:pt idx="214">
                  <c:v>45410</c:v>
                </c:pt>
                <c:pt idx="215">
                  <c:v>45411</c:v>
                </c:pt>
                <c:pt idx="216">
                  <c:v>45412</c:v>
                </c:pt>
                <c:pt idx="217">
                  <c:v>45413</c:v>
                </c:pt>
                <c:pt idx="218">
                  <c:v>45414</c:v>
                </c:pt>
                <c:pt idx="219">
                  <c:v>45415</c:v>
                </c:pt>
                <c:pt idx="220">
                  <c:v>45416</c:v>
                </c:pt>
                <c:pt idx="221">
                  <c:v>45417</c:v>
                </c:pt>
                <c:pt idx="222">
                  <c:v>45418</c:v>
                </c:pt>
                <c:pt idx="223">
                  <c:v>45419</c:v>
                </c:pt>
                <c:pt idx="224">
                  <c:v>45420</c:v>
                </c:pt>
                <c:pt idx="225">
                  <c:v>45421</c:v>
                </c:pt>
                <c:pt idx="226">
                  <c:v>45422</c:v>
                </c:pt>
                <c:pt idx="227">
                  <c:v>45423</c:v>
                </c:pt>
                <c:pt idx="228">
                  <c:v>45424</c:v>
                </c:pt>
                <c:pt idx="229">
                  <c:v>45425</c:v>
                </c:pt>
                <c:pt idx="230">
                  <c:v>45426</c:v>
                </c:pt>
                <c:pt idx="231">
                  <c:v>45427</c:v>
                </c:pt>
                <c:pt idx="232">
                  <c:v>45428</c:v>
                </c:pt>
                <c:pt idx="233">
                  <c:v>45429</c:v>
                </c:pt>
                <c:pt idx="234">
                  <c:v>45430</c:v>
                </c:pt>
                <c:pt idx="235">
                  <c:v>45431</c:v>
                </c:pt>
                <c:pt idx="236">
                  <c:v>45432</c:v>
                </c:pt>
                <c:pt idx="237">
                  <c:v>45433</c:v>
                </c:pt>
                <c:pt idx="238">
                  <c:v>45434</c:v>
                </c:pt>
                <c:pt idx="239">
                  <c:v>45435</c:v>
                </c:pt>
                <c:pt idx="240">
                  <c:v>45436</c:v>
                </c:pt>
                <c:pt idx="241">
                  <c:v>45437</c:v>
                </c:pt>
                <c:pt idx="242">
                  <c:v>45438</c:v>
                </c:pt>
                <c:pt idx="243">
                  <c:v>45439</c:v>
                </c:pt>
                <c:pt idx="244">
                  <c:v>45440</c:v>
                </c:pt>
                <c:pt idx="245">
                  <c:v>45441</c:v>
                </c:pt>
                <c:pt idx="246">
                  <c:v>45442</c:v>
                </c:pt>
                <c:pt idx="247">
                  <c:v>45443</c:v>
                </c:pt>
                <c:pt idx="248">
                  <c:v>45444</c:v>
                </c:pt>
                <c:pt idx="249">
                  <c:v>45445</c:v>
                </c:pt>
                <c:pt idx="250">
                  <c:v>45446</c:v>
                </c:pt>
                <c:pt idx="251">
                  <c:v>45447</c:v>
                </c:pt>
                <c:pt idx="252">
                  <c:v>45448</c:v>
                </c:pt>
                <c:pt idx="253">
                  <c:v>45449</c:v>
                </c:pt>
                <c:pt idx="254">
                  <c:v>45450</c:v>
                </c:pt>
                <c:pt idx="255">
                  <c:v>45451</c:v>
                </c:pt>
                <c:pt idx="256">
                  <c:v>45452</c:v>
                </c:pt>
                <c:pt idx="257">
                  <c:v>45453</c:v>
                </c:pt>
                <c:pt idx="258">
                  <c:v>45454</c:v>
                </c:pt>
                <c:pt idx="259">
                  <c:v>45455</c:v>
                </c:pt>
                <c:pt idx="260">
                  <c:v>45456</c:v>
                </c:pt>
                <c:pt idx="261">
                  <c:v>45457</c:v>
                </c:pt>
                <c:pt idx="262">
                  <c:v>45458</c:v>
                </c:pt>
                <c:pt idx="263">
                  <c:v>45459</c:v>
                </c:pt>
                <c:pt idx="264">
                  <c:v>45460</c:v>
                </c:pt>
                <c:pt idx="265">
                  <c:v>45461</c:v>
                </c:pt>
                <c:pt idx="266">
                  <c:v>45462</c:v>
                </c:pt>
                <c:pt idx="267">
                  <c:v>45463</c:v>
                </c:pt>
                <c:pt idx="268">
                  <c:v>45464</c:v>
                </c:pt>
                <c:pt idx="269">
                  <c:v>45465</c:v>
                </c:pt>
                <c:pt idx="270">
                  <c:v>45466</c:v>
                </c:pt>
                <c:pt idx="271">
                  <c:v>45467</c:v>
                </c:pt>
                <c:pt idx="272">
                  <c:v>45468</c:v>
                </c:pt>
                <c:pt idx="273">
                  <c:v>45469</c:v>
                </c:pt>
                <c:pt idx="274">
                  <c:v>45470</c:v>
                </c:pt>
                <c:pt idx="275">
                  <c:v>45471</c:v>
                </c:pt>
                <c:pt idx="276">
                  <c:v>45472</c:v>
                </c:pt>
                <c:pt idx="277">
                  <c:v>45473</c:v>
                </c:pt>
                <c:pt idx="278">
                  <c:v>45474</c:v>
                </c:pt>
                <c:pt idx="279">
                  <c:v>45475</c:v>
                </c:pt>
                <c:pt idx="280">
                  <c:v>45476</c:v>
                </c:pt>
                <c:pt idx="281">
                  <c:v>45477</c:v>
                </c:pt>
                <c:pt idx="282">
                  <c:v>45478</c:v>
                </c:pt>
                <c:pt idx="283">
                  <c:v>45479</c:v>
                </c:pt>
                <c:pt idx="284">
                  <c:v>45480</c:v>
                </c:pt>
                <c:pt idx="285">
                  <c:v>45481</c:v>
                </c:pt>
                <c:pt idx="286">
                  <c:v>45482</c:v>
                </c:pt>
                <c:pt idx="287">
                  <c:v>45483</c:v>
                </c:pt>
                <c:pt idx="288">
                  <c:v>45484</c:v>
                </c:pt>
                <c:pt idx="289">
                  <c:v>45485</c:v>
                </c:pt>
                <c:pt idx="290">
                  <c:v>45486</c:v>
                </c:pt>
                <c:pt idx="291">
                  <c:v>45487</c:v>
                </c:pt>
                <c:pt idx="292">
                  <c:v>45488</c:v>
                </c:pt>
                <c:pt idx="293">
                  <c:v>45489</c:v>
                </c:pt>
                <c:pt idx="294">
                  <c:v>45490</c:v>
                </c:pt>
                <c:pt idx="295">
                  <c:v>45491</c:v>
                </c:pt>
                <c:pt idx="296">
                  <c:v>45492</c:v>
                </c:pt>
                <c:pt idx="297">
                  <c:v>45493</c:v>
                </c:pt>
                <c:pt idx="298">
                  <c:v>45494</c:v>
                </c:pt>
                <c:pt idx="299">
                  <c:v>45495</c:v>
                </c:pt>
                <c:pt idx="300">
                  <c:v>45496</c:v>
                </c:pt>
                <c:pt idx="301">
                  <c:v>45497</c:v>
                </c:pt>
                <c:pt idx="302">
                  <c:v>45498</c:v>
                </c:pt>
                <c:pt idx="303">
                  <c:v>45499</c:v>
                </c:pt>
                <c:pt idx="304">
                  <c:v>45500</c:v>
                </c:pt>
                <c:pt idx="305">
                  <c:v>45501</c:v>
                </c:pt>
                <c:pt idx="306">
                  <c:v>45502</c:v>
                </c:pt>
                <c:pt idx="307">
                  <c:v>45503</c:v>
                </c:pt>
                <c:pt idx="308">
                  <c:v>45504</c:v>
                </c:pt>
                <c:pt idx="309">
                  <c:v>45505</c:v>
                </c:pt>
                <c:pt idx="310">
                  <c:v>45506</c:v>
                </c:pt>
                <c:pt idx="311">
                  <c:v>45507</c:v>
                </c:pt>
                <c:pt idx="312">
                  <c:v>45508</c:v>
                </c:pt>
                <c:pt idx="313">
                  <c:v>45509</c:v>
                </c:pt>
                <c:pt idx="314">
                  <c:v>45510</c:v>
                </c:pt>
                <c:pt idx="315">
                  <c:v>45511</c:v>
                </c:pt>
                <c:pt idx="316">
                  <c:v>45512</c:v>
                </c:pt>
                <c:pt idx="317">
                  <c:v>45513</c:v>
                </c:pt>
                <c:pt idx="318">
                  <c:v>45514</c:v>
                </c:pt>
                <c:pt idx="319">
                  <c:v>45515</c:v>
                </c:pt>
                <c:pt idx="320">
                  <c:v>45516</c:v>
                </c:pt>
                <c:pt idx="321">
                  <c:v>45517</c:v>
                </c:pt>
                <c:pt idx="322">
                  <c:v>45518</c:v>
                </c:pt>
                <c:pt idx="323">
                  <c:v>45519</c:v>
                </c:pt>
                <c:pt idx="324">
                  <c:v>45520</c:v>
                </c:pt>
                <c:pt idx="325">
                  <c:v>45521</c:v>
                </c:pt>
                <c:pt idx="326">
                  <c:v>45522</c:v>
                </c:pt>
                <c:pt idx="327">
                  <c:v>45523</c:v>
                </c:pt>
                <c:pt idx="328">
                  <c:v>45524</c:v>
                </c:pt>
                <c:pt idx="329">
                  <c:v>45525</c:v>
                </c:pt>
                <c:pt idx="330">
                  <c:v>45526</c:v>
                </c:pt>
                <c:pt idx="331">
                  <c:v>45527</c:v>
                </c:pt>
                <c:pt idx="332">
                  <c:v>45528</c:v>
                </c:pt>
                <c:pt idx="333">
                  <c:v>45529</c:v>
                </c:pt>
                <c:pt idx="334">
                  <c:v>45530</c:v>
                </c:pt>
                <c:pt idx="335">
                  <c:v>45531</c:v>
                </c:pt>
                <c:pt idx="336">
                  <c:v>45532</c:v>
                </c:pt>
                <c:pt idx="337">
                  <c:v>45533</c:v>
                </c:pt>
                <c:pt idx="338">
                  <c:v>45534</c:v>
                </c:pt>
                <c:pt idx="339">
                  <c:v>45535</c:v>
                </c:pt>
                <c:pt idx="340">
                  <c:v>45536</c:v>
                </c:pt>
                <c:pt idx="341">
                  <c:v>45537</c:v>
                </c:pt>
                <c:pt idx="342">
                  <c:v>45538</c:v>
                </c:pt>
                <c:pt idx="343">
                  <c:v>45539</c:v>
                </c:pt>
                <c:pt idx="344">
                  <c:v>45540</c:v>
                </c:pt>
                <c:pt idx="345">
                  <c:v>45541</c:v>
                </c:pt>
                <c:pt idx="346">
                  <c:v>45542</c:v>
                </c:pt>
                <c:pt idx="347">
                  <c:v>45543</c:v>
                </c:pt>
                <c:pt idx="348">
                  <c:v>45544</c:v>
                </c:pt>
                <c:pt idx="349">
                  <c:v>45545</c:v>
                </c:pt>
                <c:pt idx="350">
                  <c:v>45546</c:v>
                </c:pt>
                <c:pt idx="351">
                  <c:v>45547</c:v>
                </c:pt>
                <c:pt idx="352">
                  <c:v>45548</c:v>
                </c:pt>
                <c:pt idx="353">
                  <c:v>45549</c:v>
                </c:pt>
                <c:pt idx="354">
                  <c:v>45550</c:v>
                </c:pt>
                <c:pt idx="355">
                  <c:v>45551</c:v>
                </c:pt>
                <c:pt idx="356">
                  <c:v>45552</c:v>
                </c:pt>
                <c:pt idx="357">
                  <c:v>45553</c:v>
                </c:pt>
                <c:pt idx="358">
                  <c:v>45554</c:v>
                </c:pt>
                <c:pt idx="359">
                  <c:v>45555</c:v>
                </c:pt>
                <c:pt idx="360">
                  <c:v>45556</c:v>
                </c:pt>
                <c:pt idx="361">
                  <c:v>45557</c:v>
                </c:pt>
                <c:pt idx="362">
                  <c:v>45558</c:v>
                </c:pt>
                <c:pt idx="363">
                  <c:v>45559</c:v>
                </c:pt>
                <c:pt idx="364">
                  <c:v>45560</c:v>
                </c:pt>
                <c:pt idx="365">
                  <c:v>45561</c:v>
                </c:pt>
                <c:pt idx="366">
                  <c:v>45562</c:v>
                </c:pt>
                <c:pt idx="367">
                  <c:v>45563</c:v>
                </c:pt>
                <c:pt idx="368">
                  <c:v>45564</c:v>
                </c:pt>
                <c:pt idx="369">
                  <c:v>45565</c:v>
                </c:pt>
                <c:pt idx="370">
                  <c:v>45566</c:v>
                </c:pt>
                <c:pt idx="371">
                  <c:v>45567</c:v>
                </c:pt>
                <c:pt idx="372">
                  <c:v>45568</c:v>
                </c:pt>
                <c:pt idx="373">
                  <c:v>45569</c:v>
                </c:pt>
                <c:pt idx="374">
                  <c:v>45570</c:v>
                </c:pt>
                <c:pt idx="375">
                  <c:v>45571</c:v>
                </c:pt>
                <c:pt idx="376">
                  <c:v>45572</c:v>
                </c:pt>
                <c:pt idx="377">
                  <c:v>45573</c:v>
                </c:pt>
                <c:pt idx="378">
                  <c:v>45574</c:v>
                </c:pt>
                <c:pt idx="379">
                  <c:v>45575</c:v>
                </c:pt>
                <c:pt idx="380">
                  <c:v>45576</c:v>
                </c:pt>
                <c:pt idx="381">
                  <c:v>45577</c:v>
                </c:pt>
                <c:pt idx="382">
                  <c:v>45578</c:v>
                </c:pt>
                <c:pt idx="383">
                  <c:v>45579</c:v>
                </c:pt>
                <c:pt idx="384">
                  <c:v>45580</c:v>
                </c:pt>
                <c:pt idx="385">
                  <c:v>45581</c:v>
                </c:pt>
                <c:pt idx="386">
                  <c:v>45582</c:v>
                </c:pt>
                <c:pt idx="387">
                  <c:v>45583</c:v>
                </c:pt>
                <c:pt idx="388">
                  <c:v>45584</c:v>
                </c:pt>
                <c:pt idx="389">
                  <c:v>45585</c:v>
                </c:pt>
                <c:pt idx="390">
                  <c:v>45586</c:v>
                </c:pt>
                <c:pt idx="391">
                  <c:v>45587</c:v>
                </c:pt>
                <c:pt idx="392">
                  <c:v>45588</c:v>
                </c:pt>
                <c:pt idx="393">
                  <c:v>45589</c:v>
                </c:pt>
                <c:pt idx="394">
                  <c:v>45590</c:v>
                </c:pt>
                <c:pt idx="395">
                  <c:v>45591</c:v>
                </c:pt>
                <c:pt idx="396">
                  <c:v>45592</c:v>
                </c:pt>
                <c:pt idx="397">
                  <c:v>45593</c:v>
                </c:pt>
                <c:pt idx="398">
                  <c:v>45594</c:v>
                </c:pt>
                <c:pt idx="399">
                  <c:v>45595</c:v>
                </c:pt>
                <c:pt idx="400">
                  <c:v>45596</c:v>
                </c:pt>
                <c:pt idx="401">
                  <c:v>45597</c:v>
                </c:pt>
                <c:pt idx="402">
                  <c:v>45598</c:v>
                </c:pt>
                <c:pt idx="403">
                  <c:v>45599</c:v>
                </c:pt>
                <c:pt idx="404">
                  <c:v>45600</c:v>
                </c:pt>
                <c:pt idx="405">
                  <c:v>45601</c:v>
                </c:pt>
                <c:pt idx="406">
                  <c:v>45602</c:v>
                </c:pt>
                <c:pt idx="407">
                  <c:v>45603</c:v>
                </c:pt>
                <c:pt idx="408">
                  <c:v>45604</c:v>
                </c:pt>
                <c:pt idx="409">
                  <c:v>45605</c:v>
                </c:pt>
                <c:pt idx="410">
                  <c:v>45606</c:v>
                </c:pt>
                <c:pt idx="411">
                  <c:v>45607</c:v>
                </c:pt>
                <c:pt idx="412">
                  <c:v>45608</c:v>
                </c:pt>
                <c:pt idx="413">
                  <c:v>45609</c:v>
                </c:pt>
                <c:pt idx="414">
                  <c:v>45610</c:v>
                </c:pt>
                <c:pt idx="415">
                  <c:v>45611</c:v>
                </c:pt>
                <c:pt idx="416">
                  <c:v>45612</c:v>
                </c:pt>
                <c:pt idx="417">
                  <c:v>45613</c:v>
                </c:pt>
                <c:pt idx="418">
                  <c:v>45614</c:v>
                </c:pt>
                <c:pt idx="419">
                  <c:v>45615</c:v>
                </c:pt>
                <c:pt idx="420">
                  <c:v>45616</c:v>
                </c:pt>
                <c:pt idx="421">
                  <c:v>45617</c:v>
                </c:pt>
                <c:pt idx="422">
                  <c:v>45618</c:v>
                </c:pt>
                <c:pt idx="423">
                  <c:v>45619</c:v>
                </c:pt>
                <c:pt idx="424">
                  <c:v>45620</c:v>
                </c:pt>
                <c:pt idx="425">
                  <c:v>45621</c:v>
                </c:pt>
                <c:pt idx="426">
                  <c:v>45622</c:v>
                </c:pt>
                <c:pt idx="427">
                  <c:v>45623</c:v>
                </c:pt>
                <c:pt idx="428">
                  <c:v>45624</c:v>
                </c:pt>
                <c:pt idx="429">
                  <c:v>45625</c:v>
                </c:pt>
                <c:pt idx="430">
                  <c:v>45626</c:v>
                </c:pt>
                <c:pt idx="431">
                  <c:v>45627</c:v>
                </c:pt>
                <c:pt idx="432">
                  <c:v>45628</c:v>
                </c:pt>
                <c:pt idx="433">
                  <c:v>45629</c:v>
                </c:pt>
                <c:pt idx="434">
                  <c:v>45630</c:v>
                </c:pt>
                <c:pt idx="435">
                  <c:v>45631</c:v>
                </c:pt>
                <c:pt idx="436">
                  <c:v>45632</c:v>
                </c:pt>
                <c:pt idx="437">
                  <c:v>45633</c:v>
                </c:pt>
                <c:pt idx="438">
                  <c:v>45634</c:v>
                </c:pt>
                <c:pt idx="439">
                  <c:v>45635</c:v>
                </c:pt>
                <c:pt idx="440">
                  <c:v>45636</c:v>
                </c:pt>
                <c:pt idx="441">
                  <c:v>45637</c:v>
                </c:pt>
                <c:pt idx="442">
                  <c:v>45638</c:v>
                </c:pt>
                <c:pt idx="443">
                  <c:v>45639</c:v>
                </c:pt>
                <c:pt idx="444">
                  <c:v>45640</c:v>
                </c:pt>
                <c:pt idx="445">
                  <c:v>45641</c:v>
                </c:pt>
                <c:pt idx="446">
                  <c:v>45642</c:v>
                </c:pt>
                <c:pt idx="447">
                  <c:v>45643</c:v>
                </c:pt>
                <c:pt idx="448">
                  <c:v>45644</c:v>
                </c:pt>
                <c:pt idx="449">
                  <c:v>45645</c:v>
                </c:pt>
                <c:pt idx="450">
                  <c:v>45646</c:v>
                </c:pt>
                <c:pt idx="451">
                  <c:v>45647</c:v>
                </c:pt>
                <c:pt idx="452">
                  <c:v>45648</c:v>
                </c:pt>
                <c:pt idx="453">
                  <c:v>45649</c:v>
                </c:pt>
                <c:pt idx="454">
                  <c:v>45650</c:v>
                </c:pt>
                <c:pt idx="455">
                  <c:v>45651</c:v>
                </c:pt>
                <c:pt idx="456">
                  <c:v>45652</c:v>
                </c:pt>
                <c:pt idx="457">
                  <c:v>45653</c:v>
                </c:pt>
                <c:pt idx="458">
                  <c:v>45654</c:v>
                </c:pt>
                <c:pt idx="459">
                  <c:v>45655</c:v>
                </c:pt>
                <c:pt idx="460">
                  <c:v>45656</c:v>
                </c:pt>
                <c:pt idx="461">
                  <c:v>45657</c:v>
                </c:pt>
                <c:pt idx="462">
                  <c:v>45658</c:v>
                </c:pt>
                <c:pt idx="463">
                  <c:v>45659</c:v>
                </c:pt>
                <c:pt idx="464">
                  <c:v>45660</c:v>
                </c:pt>
                <c:pt idx="465">
                  <c:v>45661</c:v>
                </c:pt>
                <c:pt idx="466">
                  <c:v>45662</c:v>
                </c:pt>
                <c:pt idx="467">
                  <c:v>45663</c:v>
                </c:pt>
                <c:pt idx="468">
                  <c:v>45664</c:v>
                </c:pt>
                <c:pt idx="469">
                  <c:v>45665</c:v>
                </c:pt>
                <c:pt idx="470">
                  <c:v>45666</c:v>
                </c:pt>
                <c:pt idx="471">
                  <c:v>45667</c:v>
                </c:pt>
                <c:pt idx="472">
                  <c:v>45668</c:v>
                </c:pt>
                <c:pt idx="473">
                  <c:v>45669</c:v>
                </c:pt>
                <c:pt idx="474">
                  <c:v>45670</c:v>
                </c:pt>
                <c:pt idx="475">
                  <c:v>45671</c:v>
                </c:pt>
                <c:pt idx="476">
                  <c:v>45672</c:v>
                </c:pt>
                <c:pt idx="477">
                  <c:v>45673</c:v>
                </c:pt>
                <c:pt idx="478">
                  <c:v>45674</c:v>
                </c:pt>
                <c:pt idx="479">
                  <c:v>45675</c:v>
                </c:pt>
                <c:pt idx="480">
                  <c:v>45676</c:v>
                </c:pt>
                <c:pt idx="481">
                  <c:v>45677</c:v>
                </c:pt>
                <c:pt idx="482">
                  <c:v>45678</c:v>
                </c:pt>
                <c:pt idx="483">
                  <c:v>45679</c:v>
                </c:pt>
                <c:pt idx="484">
                  <c:v>45680</c:v>
                </c:pt>
                <c:pt idx="485">
                  <c:v>45681</c:v>
                </c:pt>
                <c:pt idx="486">
                  <c:v>45682</c:v>
                </c:pt>
                <c:pt idx="487">
                  <c:v>45683</c:v>
                </c:pt>
                <c:pt idx="488">
                  <c:v>45684</c:v>
                </c:pt>
                <c:pt idx="489">
                  <c:v>45685</c:v>
                </c:pt>
                <c:pt idx="490">
                  <c:v>45686</c:v>
                </c:pt>
                <c:pt idx="491">
                  <c:v>45687</c:v>
                </c:pt>
                <c:pt idx="492">
                  <c:v>45688</c:v>
                </c:pt>
                <c:pt idx="493">
                  <c:v>45689</c:v>
                </c:pt>
                <c:pt idx="494">
                  <c:v>45690</c:v>
                </c:pt>
                <c:pt idx="495">
                  <c:v>45691</c:v>
                </c:pt>
                <c:pt idx="496">
                  <c:v>45692</c:v>
                </c:pt>
                <c:pt idx="497">
                  <c:v>45693</c:v>
                </c:pt>
                <c:pt idx="498">
                  <c:v>45694</c:v>
                </c:pt>
                <c:pt idx="499">
                  <c:v>45695</c:v>
                </c:pt>
                <c:pt idx="500">
                  <c:v>45696</c:v>
                </c:pt>
                <c:pt idx="501">
                  <c:v>45697</c:v>
                </c:pt>
                <c:pt idx="502">
                  <c:v>45698</c:v>
                </c:pt>
                <c:pt idx="503">
                  <c:v>45699</c:v>
                </c:pt>
                <c:pt idx="504">
                  <c:v>45700</c:v>
                </c:pt>
                <c:pt idx="505">
                  <c:v>45701</c:v>
                </c:pt>
                <c:pt idx="506">
                  <c:v>45702</c:v>
                </c:pt>
                <c:pt idx="507">
                  <c:v>45703</c:v>
                </c:pt>
                <c:pt idx="508">
                  <c:v>45704</c:v>
                </c:pt>
                <c:pt idx="509">
                  <c:v>45705</c:v>
                </c:pt>
                <c:pt idx="510">
                  <c:v>45706</c:v>
                </c:pt>
                <c:pt idx="511">
                  <c:v>45707</c:v>
                </c:pt>
                <c:pt idx="512">
                  <c:v>45708</c:v>
                </c:pt>
                <c:pt idx="513">
                  <c:v>45709</c:v>
                </c:pt>
                <c:pt idx="514">
                  <c:v>45710</c:v>
                </c:pt>
                <c:pt idx="515">
                  <c:v>45711</c:v>
                </c:pt>
                <c:pt idx="516">
                  <c:v>45712</c:v>
                </c:pt>
                <c:pt idx="517">
                  <c:v>45713</c:v>
                </c:pt>
                <c:pt idx="518">
                  <c:v>45714</c:v>
                </c:pt>
                <c:pt idx="519">
                  <c:v>45715</c:v>
                </c:pt>
                <c:pt idx="520">
                  <c:v>45716</c:v>
                </c:pt>
                <c:pt idx="521">
                  <c:v>45717</c:v>
                </c:pt>
                <c:pt idx="522">
                  <c:v>45718</c:v>
                </c:pt>
                <c:pt idx="523">
                  <c:v>45719</c:v>
                </c:pt>
                <c:pt idx="524">
                  <c:v>45720</c:v>
                </c:pt>
                <c:pt idx="525">
                  <c:v>45721</c:v>
                </c:pt>
                <c:pt idx="526">
                  <c:v>45722</c:v>
                </c:pt>
                <c:pt idx="527">
                  <c:v>45723</c:v>
                </c:pt>
                <c:pt idx="528">
                  <c:v>45724</c:v>
                </c:pt>
                <c:pt idx="529">
                  <c:v>45725</c:v>
                </c:pt>
                <c:pt idx="530">
                  <c:v>45726</c:v>
                </c:pt>
                <c:pt idx="531">
                  <c:v>45727</c:v>
                </c:pt>
                <c:pt idx="532">
                  <c:v>45728</c:v>
                </c:pt>
                <c:pt idx="533">
                  <c:v>45729</c:v>
                </c:pt>
                <c:pt idx="534">
                  <c:v>45730</c:v>
                </c:pt>
                <c:pt idx="535">
                  <c:v>45731</c:v>
                </c:pt>
                <c:pt idx="536">
                  <c:v>45732</c:v>
                </c:pt>
                <c:pt idx="537">
                  <c:v>45733</c:v>
                </c:pt>
                <c:pt idx="538">
                  <c:v>45734</c:v>
                </c:pt>
                <c:pt idx="539">
                  <c:v>45735</c:v>
                </c:pt>
                <c:pt idx="540">
                  <c:v>45736</c:v>
                </c:pt>
                <c:pt idx="541">
                  <c:v>45737</c:v>
                </c:pt>
                <c:pt idx="542">
                  <c:v>45738</c:v>
                </c:pt>
                <c:pt idx="543">
                  <c:v>45739</c:v>
                </c:pt>
                <c:pt idx="544">
                  <c:v>45740</c:v>
                </c:pt>
                <c:pt idx="545">
                  <c:v>45741</c:v>
                </c:pt>
                <c:pt idx="546">
                  <c:v>45742</c:v>
                </c:pt>
                <c:pt idx="547">
                  <c:v>45743</c:v>
                </c:pt>
                <c:pt idx="548">
                  <c:v>45744</c:v>
                </c:pt>
                <c:pt idx="549">
                  <c:v>45745</c:v>
                </c:pt>
                <c:pt idx="550">
                  <c:v>45746</c:v>
                </c:pt>
                <c:pt idx="551">
                  <c:v>45747</c:v>
                </c:pt>
                <c:pt idx="552">
                  <c:v>45748</c:v>
                </c:pt>
                <c:pt idx="553">
                  <c:v>45749</c:v>
                </c:pt>
                <c:pt idx="554">
                  <c:v>45750</c:v>
                </c:pt>
                <c:pt idx="555">
                  <c:v>45751</c:v>
                </c:pt>
                <c:pt idx="556">
                  <c:v>45752</c:v>
                </c:pt>
                <c:pt idx="557">
                  <c:v>45753</c:v>
                </c:pt>
                <c:pt idx="558">
                  <c:v>45754</c:v>
                </c:pt>
                <c:pt idx="559">
                  <c:v>45755</c:v>
                </c:pt>
              </c:numCache>
            </c:numRef>
          </c:cat>
          <c:val>
            <c:numRef>
              <c:f>'PMO REAL'!$F$62:$US$62</c:f>
              <c:numCache>
                <c:formatCode>#,##0</c:formatCode>
                <c:ptCount val="5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16.5</c:v>
                </c:pt>
                <c:pt idx="7">
                  <c:v>36</c:v>
                </c:pt>
                <c:pt idx="8">
                  <c:v>69</c:v>
                </c:pt>
                <c:pt idx="9">
                  <c:v>96</c:v>
                </c:pt>
                <c:pt idx="10">
                  <c:v>96</c:v>
                </c:pt>
                <c:pt idx="11">
                  <c:v>96</c:v>
                </c:pt>
                <c:pt idx="12">
                  <c:v>124</c:v>
                </c:pt>
                <c:pt idx="13">
                  <c:v>149</c:v>
                </c:pt>
                <c:pt idx="14">
                  <c:v>158</c:v>
                </c:pt>
                <c:pt idx="15">
                  <c:v>158</c:v>
                </c:pt>
                <c:pt idx="16">
                  <c:v>166</c:v>
                </c:pt>
                <c:pt idx="17">
                  <c:v>166</c:v>
                </c:pt>
                <c:pt idx="18">
                  <c:v>166</c:v>
                </c:pt>
                <c:pt idx="19">
                  <c:v>175</c:v>
                </c:pt>
                <c:pt idx="20">
                  <c:v>184</c:v>
                </c:pt>
                <c:pt idx="21">
                  <c:v>193</c:v>
                </c:pt>
                <c:pt idx="22">
                  <c:v>202</c:v>
                </c:pt>
                <c:pt idx="23">
                  <c:v>210</c:v>
                </c:pt>
                <c:pt idx="24">
                  <c:v>210</c:v>
                </c:pt>
                <c:pt idx="25">
                  <c:v>210</c:v>
                </c:pt>
                <c:pt idx="26">
                  <c:v>234</c:v>
                </c:pt>
                <c:pt idx="27">
                  <c:v>276</c:v>
                </c:pt>
                <c:pt idx="28">
                  <c:v>321</c:v>
                </c:pt>
                <c:pt idx="29">
                  <c:v>393</c:v>
                </c:pt>
                <c:pt idx="30">
                  <c:v>465</c:v>
                </c:pt>
                <c:pt idx="31">
                  <c:v>465</c:v>
                </c:pt>
                <c:pt idx="32">
                  <c:v>465</c:v>
                </c:pt>
                <c:pt idx="33">
                  <c:v>577</c:v>
                </c:pt>
                <c:pt idx="34">
                  <c:v>709</c:v>
                </c:pt>
                <c:pt idx="35">
                  <c:v>839</c:v>
                </c:pt>
                <c:pt idx="36">
                  <c:v>839</c:v>
                </c:pt>
                <c:pt idx="37">
                  <c:v>913.5</c:v>
                </c:pt>
                <c:pt idx="38">
                  <c:v>913.5</c:v>
                </c:pt>
                <c:pt idx="39">
                  <c:v>913.5</c:v>
                </c:pt>
                <c:pt idx="40">
                  <c:v>985.5</c:v>
                </c:pt>
                <c:pt idx="41">
                  <c:v>1080</c:v>
                </c:pt>
                <c:pt idx="42">
                  <c:v>1196</c:v>
                </c:pt>
                <c:pt idx="43">
                  <c:v>1332.5</c:v>
                </c:pt>
                <c:pt idx="44">
                  <c:v>1444.5</c:v>
                </c:pt>
                <c:pt idx="45">
                  <c:v>1444.5</c:v>
                </c:pt>
                <c:pt idx="46">
                  <c:v>1444.5</c:v>
                </c:pt>
                <c:pt idx="47">
                  <c:v>1539</c:v>
                </c:pt>
                <c:pt idx="48">
                  <c:v>1620</c:v>
                </c:pt>
                <c:pt idx="49">
                  <c:v>1620</c:v>
                </c:pt>
                <c:pt idx="50">
                  <c:v>1719</c:v>
                </c:pt>
                <c:pt idx="51">
                  <c:v>1800</c:v>
                </c:pt>
                <c:pt idx="52">
                  <c:v>1800</c:v>
                </c:pt>
                <c:pt idx="53">
                  <c:v>1800</c:v>
                </c:pt>
                <c:pt idx="54">
                  <c:v>1881</c:v>
                </c:pt>
                <c:pt idx="55">
                  <c:v>1985</c:v>
                </c:pt>
                <c:pt idx="56">
                  <c:v>2086</c:v>
                </c:pt>
                <c:pt idx="57">
                  <c:v>2169</c:v>
                </c:pt>
                <c:pt idx="58">
                  <c:v>2236</c:v>
                </c:pt>
                <c:pt idx="59">
                  <c:v>2236</c:v>
                </c:pt>
                <c:pt idx="60">
                  <c:v>2236</c:v>
                </c:pt>
                <c:pt idx="61">
                  <c:v>2299</c:v>
                </c:pt>
                <c:pt idx="62">
                  <c:v>2362</c:v>
                </c:pt>
                <c:pt idx="63">
                  <c:v>2448</c:v>
                </c:pt>
                <c:pt idx="64">
                  <c:v>2539</c:v>
                </c:pt>
                <c:pt idx="65">
                  <c:v>2643</c:v>
                </c:pt>
                <c:pt idx="66">
                  <c:v>2643</c:v>
                </c:pt>
                <c:pt idx="67">
                  <c:v>2643</c:v>
                </c:pt>
                <c:pt idx="68">
                  <c:v>2772</c:v>
                </c:pt>
                <c:pt idx="69">
                  <c:v>2878.5</c:v>
                </c:pt>
                <c:pt idx="70">
                  <c:v>2982</c:v>
                </c:pt>
                <c:pt idx="71">
                  <c:v>3094.5</c:v>
                </c:pt>
                <c:pt idx="72">
                  <c:v>3199.5</c:v>
                </c:pt>
                <c:pt idx="73">
                  <c:v>3199.5</c:v>
                </c:pt>
                <c:pt idx="74">
                  <c:v>3199.5</c:v>
                </c:pt>
                <c:pt idx="75">
                  <c:v>3277</c:v>
                </c:pt>
                <c:pt idx="76">
                  <c:v>3367</c:v>
                </c:pt>
                <c:pt idx="77">
                  <c:v>3466</c:v>
                </c:pt>
                <c:pt idx="78">
                  <c:v>3565</c:v>
                </c:pt>
                <c:pt idx="79">
                  <c:v>3673</c:v>
                </c:pt>
                <c:pt idx="80">
                  <c:v>3673</c:v>
                </c:pt>
                <c:pt idx="81">
                  <c:v>3673</c:v>
                </c:pt>
                <c:pt idx="82">
                  <c:v>3773</c:v>
                </c:pt>
                <c:pt idx="83">
                  <c:v>3818</c:v>
                </c:pt>
                <c:pt idx="84">
                  <c:v>3863</c:v>
                </c:pt>
                <c:pt idx="85">
                  <c:v>3948</c:v>
                </c:pt>
                <c:pt idx="86">
                  <c:v>4041</c:v>
                </c:pt>
                <c:pt idx="87">
                  <c:v>4041</c:v>
                </c:pt>
                <c:pt idx="88">
                  <c:v>4041</c:v>
                </c:pt>
                <c:pt idx="89">
                  <c:v>4041</c:v>
                </c:pt>
                <c:pt idx="90">
                  <c:v>4114.5</c:v>
                </c:pt>
                <c:pt idx="91">
                  <c:v>4167</c:v>
                </c:pt>
                <c:pt idx="92">
                  <c:v>4200</c:v>
                </c:pt>
                <c:pt idx="93">
                  <c:v>4227</c:v>
                </c:pt>
                <c:pt idx="94">
                  <c:v>4227</c:v>
                </c:pt>
                <c:pt idx="95">
                  <c:v>4227</c:v>
                </c:pt>
                <c:pt idx="96">
                  <c:v>4227</c:v>
                </c:pt>
                <c:pt idx="97">
                  <c:v>4252</c:v>
                </c:pt>
                <c:pt idx="98">
                  <c:v>4257</c:v>
                </c:pt>
                <c:pt idx="99">
                  <c:v>4257</c:v>
                </c:pt>
                <c:pt idx="100">
                  <c:v>4257</c:v>
                </c:pt>
                <c:pt idx="101">
                  <c:v>4257</c:v>
                </c:pt>
                <c:pt idx="102">
                  <c:v>4257</c:v>
                </c:pt>
                <c:pt idx="103">
                  <c:v>4257</c:v>
                </c:pt>
                <c:pt idx="104">
                  <c:v>4257</c:v>
                </c:pt>
                <c:pt idx="105">
                  <c:v>4257</c:v>
                </c:pt>
                <c:pt idx="106">
                  <c:v>4257</c:v>
                </c:pt>
                <c:pt idx="107">
                  <c:v>4257</c:v>
                </c:pt>
                <c:pt idx="108">
                  <c:v>4257</c:v>
                </c:pt>
                <c:pt idx="109">
                  <c:v>4257</c:v>
                </c:pt>
                <c:pt idx="110">
                  <c:v>4257</c:v>
                </c:pt>
                <c:pt idx="111">
                  <c:v>4257</c:v>
                </c:pt>
                <c:pt idx="112">
                  <c:v>4257</c:v>
                </c:pt>
                <c:pt idx="113">
                  <c:v>4257</c:v>
                </c:pt>
                <c:pt idx="114">
                  <c:v>4257</c:v>
                </c:pt>
                <c:pt idx="115">
                  <c:v>4257</c:v>
                </c:pt>
                <c:pt idx="116">
                  <c:v>4257</c:v>
                </c:pt>
                <c:pt idx="117">
                  <c:v>4257</c:v>
                </c:pt>
                <c:pt idx="118">
                  <c:v>4257</c:v>
                </c:pt>
                <c:pt idx="119">
                  <c:v>4257</c:v>
                </c:pt>
                <c:pt idx="120">
                  <c:v>4257</c:v>
                </c:pt>
                <c:pt idx="121">
                  <c:v>4257</c:v>
                </c:pt>
                <c:pt idx="122">
                  <c:v>4257</c:v>
                </c:pt>
                <c:pt idx="123">
                  <c:v>4257</c:v>
                </c:pt>
                <c:pt idx="124">
                  <c:v>4257</c:v>
                </c:pt>
                <c:pt idx="125">
                  <c:v>4257</c:v>
                </c:pt>
                <c:pt idx="126">
                  <c:v>4257</c:v>
                </c:pt>
                <c:pt idx="127">
                  <c:v>4257</c:v>
                </c:pt>
                <c:pt idx="128">
                  <c:v>4257</c:v>
                </c:pt>
                <c:pt idx="129">
                  <c:v>4257</c:v>
                </c:pt>
                <c:pt idx="130">
                  <c:v>4257</c:v>
                </c:pt>
                <c:pt idx="131">
                  <c:v>4257</c:v>
                </c:pt>
                <c:pt idx="132">
                  <c:v>4257</c:v>
                </c:pt>
                <c:pt idx="133">
                  <c:v>4257</c:v>
                </c:pt>
                <c:pt idx="134">
                  <c:v>4257</c:v>
                </c:pt>
                <c:pt idx="135">
                  <c:v>4257</c:v>
                </c:pt>
                <c:pt idx="136">
                  <c:v>4257</c:v>
                </c:pt>
                <c:pt idx="137">
                  <c:v>4257</c:v>
                </c:pt>
                <c:pt idx="138">
                  <c:v>4257</c:v>
                </c:pt>
                <c:pt idx="139">
                  <c:v>4257</c:v>
                </c:pt>
                <c:pt idx="140">
                  <c:v>4257</c:v>
                </c:pt>
                <c:pt idx="141">
                  <c:v>4257</c:v>
                </c:pt>
                <c:pt idx="142">
                  <c:v>4257</c:v>
                </c:pt>
                <c:pt idx="143">
                  <c:v>4257</c:v>
                </c:pt>
                <c:pt idx="144">
                  <c:v>4257</c:v>
                </c:pt>
                <c:pt idx="145">
                  <c:v>4257</c:v>
                </c:pt>
                <c:pt idx="146">
                  <c:v>4257</c:v>
                </c:pt>
                <c:pt idx="147">
                  <c:v>4257</c:v>
                </c:pt>
                <c:pt idx="148">
                  <c:v>4257</c:v>
                </c:pt>
                <c:pt idx="149">
                  <c:v>4257</c:v>
                </c:pt>
                <c:pt idx="150">
                  <c:v>4257</c:v>
                </c:pt>
                <c:pt idx="151">
                  <c:v>4257</c:v>
                </c:pt>
                <c:pt idx="152">
                  <c:v>4257</c:v>
                </c:pt>
                <c:pt idx="153">
                  <c:v>4257</c:v>
                </c:pt>
                <c:pt idx="154">
                  <c:v>4257</c:v>
                </c:pt>
                <c:pt idx="155">
                  <c:v>4257</c:v>
                </c:pt>
                <c:pt idx="156">
                  <c:v>4257</c:v>
                </c:pt>
                <c:pt idx="157">
                  <c:v>4257</c:v>
                </c:pt>
                <c:pt idx="158">
                  <c:v>4257</c:v>
                </c:pt>
                <c:pt idx="159">
                  <c:v>4257</c:v>
                </c:pt>
                <c:pt idx="160">
                  <c:v>4257</c:v>
                </c:pt>
                <c:pt idx="161">
                  <c:v>4257</c:v>
                </c:pt>
                <c:pt idx="162">
                  <c:v>4257</c:v>
                </c:pt>
                <c:pt idx="163">
                  <c:v>4257</c:v>
                </c:pt>
                <c:pt idx="164">
                  <c:v>4257</c:v>
                </c:pt>
                <c:pt idx="165">
                  <c:v>4257</c:v>
                </c:pt>
                <c:pt idx="166">
                  <c:v>4257</c:v>
                </c:pt>
                <c:pt idx="167">
                  <c:v>4257</c:v>
                </c:pt>
                <c:pt idx="168">
                  <c:v>4257</c:v>
                </c:pt>
                <c:pt idx="169">
                  <c:v>4257</c:v>
                </c:pt>
                <c:pt idx="170">
                  <c:v>4257</c:v>
                </c:pt>
                <c:pt idx="171">
                  <c:v>4257</c:v>
                </c:pt>
                <c:pt idx="172">
                  <c:v>4257</c:v>
                </c:pt>
                <c:pt idx="173">
                  <c:v>4257</c:v>
                </c:pt>
                <c:pt idx="174">
                  <c:v>4257</c:v>
                </c:pt>
                <c:pt idx="175">
                  <c:v>4257</c:v>
                </c:pt>
                <c:pt idx="176">
                  <c:v>4257</c:v>
                </c:pt>
                <c:pt idx="177">
                  <c:v>4257</c:v>
                </c:pt>
                <c:pt idx="178">
                  <c:v>4257</c:v>
                </c:pt>
                <c:pt idx="179">
                  <c:v>4257</c:v>
                </c:pt>
                <c:pt idx="180">
                  <c:v>4257</c:v>
                </c:pt>
                <c:pt idx="181">
                  <c:v>4257</c:v>
                </c:pt>
                <c:pt idx="182">
                  <c:v>4257</c:v>
                </c:pt>
                <c:pt idx="183">
                  <c:v>4257</c:v>
                </c:pt>
                <c:pt idx="184">
                  <c:v>4257</c:v>
                </c:pt>
                <c:pt idx="185">
                  <c:v>4257</c:v>
                </c:pt>
                <c:pt idx="186">
                  <c:v>4257</c:v>
                </c:pt>
                <c:pt idx="187">
                  <c:v>4257</c:v>
                </c:pt>
                <c:pt idx="188">
                  <c:v>4257</c:v>
                </c:pt>
                <c:pt idx="189">
                  <c:v>4257</c:v>
                </c:pt>
                <c:pt idx="190">
                  <c:v>4257</c:v>
                </c:pt>
                <c:pt idx="191">
                  <c:v>4257</c:v>
                </c:pt>
                <c:pt idx="192">
                  <c:v>4257</c:v>
                </c:pt>
                <c:pt idx="193">
                  <c:v>4257</c:v>
                </c:pt>
                <c:pt idx="194">
                  <c:v>4257</c:v>
                </c:pt>
                <c:pt idx="195">
                  <c:v>4257</c:v>
                </c:pt>
                <c:pt idx="196">
                  <c:v>4257</c:v>
                </c:pt>
                <c:pt idx="197">
                  <c:v>4257</c:v>
                </c:pt>
                <c:pt idx="198">
                  <c:v>4257</c:v>
                </c:pt>
                <c:pt idx="199">
                  <c:v>4257</c:v>
                </c:pt>
                <c:pt idx="200">
                  <c:v>4257</c:v>
                </c:pt>
                <c:pt idx="201">
                  <c:v>4257</c:v>
                </c:pt>
                <c:pt idx="202">
                  <c:v>4257</c:v>
                </c:pt>
                <c:pt idx="203">
                  <c:v>4257</c:v>
                </c:pt>
                <c:pt idx="204">
                  <c:v>4257</c:v>
                </c:pt>
                <c:pt idx="205">
                  <c:v>4257</c:v>
                </c:pt>
                <c:pt idx="206">
                  <c:v>4257</c:v>
                </c:pt>
                <c:pt idx="207">
                  <c:v>4257</c:v>
                </c:pt>
                <c:pt idx="208">
                  <c:v>4257</c:v>
                </c:pt>
                <c:pt idx="209">
                  <c:v>4257</c:v>
                </c:pt>
                <c:pt idx="210">
                  <c:v>4257</c:v>
                </c:pt>
                <c:pt idx="211">
                  <c:v>4257</c:v>
                </c:pt>
                <c:pt idx="212">
                  <c:v>4257</c:v>
                </c:pt>
                <c:pt idx="213">
                  <c:v>4257</c:v>
                </c:pt>
                <c:pt idx="214">
                  <c:v>4257</c:v>
                </c:pt>
                <c:pt idx="215">
                  <c:v>4257</c:v>
                </c:pt>
                <c:pt idx="216">
                  <c:v>4257</c:v>
                </c:pt>
                <c:pt idx="217">
                  <c:v>4257</c:v>
                </c:pt>
                <c:pt idx="218">
                  <c:v>4257</c:v>
                </c:pt>
                <c:pt idx="219">
                  <c:v>4257</c:v>
                </c:pt>
                <c:pt idx="220">
                  <c:v>4257</c:v>
                </c:pt>
                <c:pt idx="221">
                  <c:v>4257</c:v>
                </c:pt>
                <c:pt idx="222">
                  <c:v>4257</c:v>
                </c:pt>
                <c:pt idx="223">
                  <c:v>4257</c:v>
                </c:pt>
                <c:pt idx="224">
                  <c:v>4257</c:v>
                </c:pt>
                <c:pt idx="225">
                  <c:v>4257</c:v>
                </c:pt>
                <c:pt idx="226">
                  <c:v>4257</c:v>
                </c:pt>
                <c:pt idx="227">
                  <c:v>4257</c:v>
                </c:pt>
                <c:pt idx="228">
                  <c:v>4257</c:v>
                </c:pt>
                <c:pt idx="229">
                  <c:v>4257</c:v>
                </c:pt>
                <c:pt idx="230">
                  <c:v>4257</c:v>
                </c:pt>
                <c:pt idx="231">
                  <c:v>4257</c:v>
                </c:pt>
                <c:pt idx="232">
                  <c:v>4257</c:v>
                </c:pt>
                <c:pt idx="233">
                  <c:v>4257</c:v>
                </c:pt>
                <c:pt idx="234">
                  <c:v>4257</c:v>
                </c:pt>
                <c:pt idx="235">
                  <c:v>4257</c:v>
                </c:pt>
                <c:pt idx="236">
                  <c:v>4257</c:v>
                </c:pt>
                <c:pt idx="237">
                  <c:v>4257</c:v>
                </c:pt>
                <c:pt idx="238">
                  <c:v>4257</c:v>
                </c:pt>
                <c:pt idx="239">
                  <c:v>4257</c:v>
                </c:pt>
                <c:pt idx="240">
                  <c:v>4257</c:v>
                </c:pt>
                <c:pt idx="241">
                  <c:v>4257</c:v>
                </c:pt>
                <c:pt idx="242">
                  <c:v>4257</c:v>
                </c:pt>
                <c:pt idx="243">
                  <c:v>4257</c:v>
                </c:pt>
                <c:pt idx="244">
                  <c:v>4257</c:v>
                </c:pt>
                <c:pt idx="245">
                  <c:v>4257</c:v>
                </c:pt>
                <c:pt idx="246">
                  <c:v>4257</c:v>
                </c:pt>
                <c:pt idx="247">
                  <c:v>4257</c:v>
                </c:pt>
                <c:pt idx="248">
                  <c:v>4257</c:v>
                </c:pt>
                <c:pt idx="249">
                  <c:v>4257</c:v>
                </c:pt>
                <c:pt idx="250">
                  <c:v>4257</c:v>
                </c:pt>
                <c:pt idx="251">
                  <c:v>4257</c:v>
                </c:pt>
                <c:pt idx="252">
                  <c:v>4257</c:v>
                </c:pt>
                <c:pt idx="253">
                  <c:v>4257</c:v>
                </c:pt>
                <c:pt idx="254">
                  <c:v>4257</c:v>
                </c:pt>
                <c:pt idx="255">
                  <c:v>4257</c:v>
                </c:pt>
                <c:pt idx="256">
                  <c:v>4257</c:v>
                </c:pt>
                <c:pt idx="257">
                  <c:v>4257</c:v>
                </c:pt>
                <c:pt idx="258">
                  <c:v>4257</c:v>
                </c:pt>
                <c:pt idx="259">
                  <c:v>4257</c:v>
                </c:pt>
                <c:pt idx="260">
                  <c:v>4257</c:v>
                </c:pt>
                <c:pt idx="261">
                  <c:v>4257</c:v>
                </c:pt>
                <c:pt idx="262">
                  <c:v>4257</c:v>
                </c:pt>
                <c:pt idx="263">
                  <c:v>4257</c:v>
                </c:pt>
                <c:pt idx="264">
                  <c:v>4257</c:v>
                </c:pt>
                <c:pt idx="265">
                  <c:v>4257</c:v>
                </c:pt>
                <c:pt idx="266">
                  <c:v>4257</c:v>
                </c:pt>
                <c:pt idx="267">
                  <c:v>4257</c:v>
                </c:pt>
                <c:pt idx="268">
                  <c:v>4257</c:v>
                </c:pt>
                <c:pt idx="269">
                  <c:v>4257</c:v>
                </c:pt>
                <c:pt idx="270">
                  <c:v>4257</c:v>
                </c:pt>
                <c:pt idx="271">
                  <c:v>4257</c:v>
                </c:pt>
                <c:pt idx="272">
                  <c:v>4257</c:v>
                </c:pt>
                <c:pt idx="273">
                  <c:v>4257</c:v>
                </c:pt>
                <c:pt idx="274">
                  <c:v>4257</c:v>
                </c:pt>
                <c:pt idx="275">
                  <c:v>4257</c:v>
                </c:pt>
                <c:pt idx="276">
                  <c:v>4257</c:v>
                </c:pt>
                <c:pt idx="277">
                  <c:v>4257</c:v>
                </c:pt>
                <c:pt idx="278">
                  <c:v>4257</c:v>
                </c:pt>
                <c:pt idx="279">
                  <c:v>4257</c:v>
                </c:pt>
                <c:pt idx="280">
                  <c:v>4257</c:v>
                </c:pt>
                <c:pt idx="281">
                  <c:v>4257</c:v>
                </c:pt>
                <c:pt idx="282">
                  <c:v>4257</c:v>
                </c:pt>
                <c:pt idx="283">
                  <c:v>4257</c:v>
                </c:pt>
                <c:pt idx="284">
                  <c:v>4257</c:v>
                </c:pt>
                <c:pt idx="285">
                  <c:v>4257</c:v>
                </c:pt>
                <c:pt idx="286">
                  <c:v>4257</c:v>
                </c:pt>
                <c:pt idx="287">
                  <c:v>4257</c:v>
                </c:pt>
                <c:pt idx="288">
                  <c:v>4257</c:v>
                </c:pt>
                <c:pt idx="289">
                  <c:v>4257</c:v>
                </c:pt>
                <c:pt idx="290">
                  <c:v>4257</c:v>
                </c:pt>
                <c:pt idx="291">
                  <c:v>4257</c:v>
                </c:pt>
                <c:pt idx="292">
                  <c:v>4257</c:v>
                </c:pt>
                <c:pt idx="293">
                  <c:v>4257</c:v>
                </c:pt>
                <c:pt idx="294">
                  <c:v>4257</c:v>
                </c:pt>
                <c:pt idx="295">
                  <c:v>4257</c:v>
                </c:pt>
                <c:pt idx="296">
                  <c:v>4257</c:v>
                </c:pt>
                <c:pt idx="297">
                  <c:v>4257</c:v>
                </c:pt>
                <c:pt idx="298">
                  <c:v>4257</c:v>
                </c:pt>
                <c:pt idx="299">
                  <c:v>4257</c:v>
                </c:pt>
                <c:pt idx="300">
                  <c:v>4257</c:v>
                </c:pt>
                <c:pt idx="301">
                  <c:v>4257</c:v>
                </c:pt>
                <c:pt idx="302">
                  <c:v>4257</c:v>
                </c:pt>
                <c:pt idx="303">
                  <c:v>4257</c:v>
                </c:pt>
                <c:pt idx="304">
                  <c:v>4257</c:v>
                </c:pt>
                <c:pt idx="305">
                  <c:v>4257</c:v>
                </c:pt>
                <c:pt idx="306">
                  <c:v>4257</c:v>
                </c:pt>
                <c:pt idx="307">
                  <c:v>4257</c:v>
                </c:pt>
                <c:pt idx="308">
                  <c:v>4257</c:v>
                </c:pt>
                <c:pt idx="309">
                  <c:v>4257</c:v>
                </c:pt>
                <c:pt idx="310">
                  <c:v>4257</c:v>
                </c:pt>
                <c:pt idx="311">
                  <c:v>4257</c:v>
                </c:pt>
                <c:pt idx="312">
                  <c:v>4257</c:v>
                </c:pt>
                <c:pt idx="313">
                  <c:v>4257</c:v>
                </c:pt>
                <c:pt idx="314">
                  <c:v>4257</c:v>
                </c:pt>
                <c:pt idx="315">
                  <c:v>4257</c:v>
                </c:pt>
                <c:pt idx="316">
                  <c:v>4257</c:v>
                </c:pt>
                <c:pt idx="317">
                  <c:v>4257</c:v>
                </c:pt>
                <c:pt idx="318">
                  <c:v>4257</c:v>
                </c:pt>
                <c:pt idx="319">
                  <c:v>4257</c:v>
                </c:pt>
                <c:pt idx="320">
                  <c:v>4257</c:v>
                </c:pt>
                <c:pt idx="321">
                  <c:v>4257</c:v>
                </c:pt>
                <c:pt idx="322">
                  <c:v>4257</c:v>
                </c:pt>
                <c:pt idx="323">
                  <c:v>4257</c:v>
                </c:pt>
                <c:pt idx="324">
                  <c:v>4257</c:v>
                </c:pt>
                <c:pt idx="325">
                  <c:v>4257</c:v>
                </c:pt>
                <c:pt idx="326">
                  <c:v>4257</c:v>
                </c:pt>
                <c:pt idx="327">
                  <c:v>4257</c:v>
                </c:pt>
                <c:pt idx="328">
                  <c:v>4257</c:v>
                </c:pt>
                <c:pt idx="329">
                  <c:v>4257</c:v>
                </c:pt>
                <c:pt idx="330">
                  <c:v>4257</c:v>
                </c:pt>
                <c:pt idx="331">
                  <c:v>4257</c:v>
                </c:pt>
                <c:pt idx="332">
                  <c:v>4257</c:v>
                </c:pt>
                <c:pt idx="333">
                  <c:v>4257</c:v>
                </c:pt>
                <c:pt idx="334">
                  <c:v>4257</c:v>
                </c:pt>
                <c:pt idx="335">
                  <c:v>4257</c:v>
                </c:pt>
                <c:pt idx="336">
                  <c:v>4257</c:v>
                </c:pt>
                <c:pt idx="337">
                  <c:v>4257</c:v>
                </c:pt>
                <c:pt idx="338">
                  <c:v>4257</c:v>
                </c:pt>
                <c:pt idx="339">
                  <c:v>4257</c:v>
                </c:pt>
                <c:pt idx="340">
                  <c:v>4257</c:v>
                </c:pt>
                <c:pt idx="341">
                  <c:v>4257</c:v>
                </c:pt>
                <c:pt idx="342">
                  <c:v>4257</c:v>
                </c:pt>
                <c:pt idx="343">
                  <c:v>4257</c:v>
                </c:pt>
                <c:pt idx="344">
                  <c:v>4257</c:v>
                </c:pt>
                <c:pt idx="345">
                  <c:v>4257</c:v>
                </c:pt>
                <c:pt idx="346">
                  <c:v>4257</c:v>
                </c:pt>
                <c:pt idx="347">
                  <c:v>4257</c:v>
                </c:pt>
                <c:pt idx="348">
                  <c:v>4257</c:v>
                </c:pt>
                <c:pt idx="349">
                  <c:v>4257</c:v>
                </c:pt>
                <c:pt idx="350">
                  <c:v>4257</c:v>
                </c:pt>
                <c:pt idx="351">
                  <c:v>4257</c:v>
                </c:pt>
                <c:pt idx="352">
                  <c:v>4257</c:v>
                </c:pt>
                <c:pt idx="353">
                  <c:v>4257</c:v>
                </c:pt>
                <c:pt idx="354">
                  <c:v>4257</c:v>
                </c:pt>
                <c:pt idx="355">
                  <c:v>4257</c:v>
                </c:pt>
                <c:pt idx="356">
                  <c:v>4257</c:v>
                </c:pt>
                <c:pt idx="357">
                  <c:v>4257</c:v>
                </c:pt>
                <c:pt idx="358">
                  <c:v>4257</c:v>
                </c:pt>
                <c:pt idx="359">
                  <c:v>4257</c:v>
                </c:pt>
                <c:pt idx="360">
                  <c:v>4257</c:v>
                </c:pt>
                <c:pt idx="361">
                  <c:v>4257</c:v>
                </c:pt>
                <c:pt idx="362">
                  <c:v>4257</c:v>
                </c:pt>
                <c:pt idx="363">
                  <c:v>4257</c:v>
                </c:pt>
                <c:pt idx="364">
                  <c:v>4257</c:v>
                </c:pt>
                <c:pt idx="365">
                  <c:v>4257</c:v>
                </c:pt>
                <c:pt idx="366">
                  <c:v>4257</c:v>
                </c:pt>
                <c:pt idx="367">
                  <c:v>4257</c:v>
                </c:pt>
                <c:pt idx="368">
                  <c:v>4257</c:v>
                </c:pt>
                <c:pt idx="369">
                  <c:v>4257</c:v>
                </c:pt>
                <c:pt idx="370">
                  <c:v>4257</c:v>
                </c:pt>
                <c:pt idx="371">
                  <c:v>4257</c:v>
                </c:pt>
                <c:pt idx="372">
                  <c:v>4257</c:v>
                </c:pt>
                <c:pt idx="373">
                  <c:v>4257</c:v>
                </c:pt>
                <c:pt idx="374">
                  <c:v>4257</c:v>
                </c:pt>
                <c:pt idx="375">
                  <c:v>4257</c:v>
                </c:pt>
                <c:pt idx="376">
                  <c:v>4257</c:v>
                </c:pt>
                <c:pt idx="377">
                  <c:v>4257</c:v>
                </c:pt>
                <c:pt idx="378">
                  <c:v>4257</c:v>
                </c:pt>
                <c:pt idx="379">
                  <c:v>4257</c:v>
                </c:pt>
                <c:pt idx="380">
                  <c:v>4257</c:v>
                </c:pt>
                <c:pt idx="381">
                  <c:v>4257</c:v>
                </c:pt>
                <c:pt idx="382">
                  <c:v>4257</c:v>
                </c:pt>
                <c:pt idx="383">
                  <c:v>4257</c:v>
                </c:pt>
                <c:pt idx="384">
                  <c:v>4257</c:v>
                </c:pt>
                <c:pt idx="385">
                  <c:v>4257</c:v>
                </c:pt>
                <c:pt idx="386">
                  <c:v>4257</c:v>
                </c:pt>
                <c:pt idx="387">
                  <c:v>4257</c:v>
                </c:pt>
                <c:pt idx="388">
                  <c:v>4257</c:v>
                </c:pt>
                <c:pt idx="389">
                  <c:v>4257</c:v>
                </c:pt>
                <c:pt idx="390">
                  <c:v>4257</c:v>
                </c:pt>
                <c:pt idx="391">
                  <c:v>4257</c:v>
                </c:pt>
                <c:pt idx="392">
                  <c:v>4257</c:v>
                </c:pt>
                <c:pt idx="393">
                  <c:v>4257</c:v>
                </c:pt>
                <c:pt idx="394">
                  <c:v>4257</c:v>
                </c:pt>
                <c:pt idx="395">
                  <c:v>4257</c:v>
                </c:pt>
                <c:pt idx="396">
                  <c:v>4257</c:v>
                </c:pt>
                <c:pt idx="397">
                  <c:v>4257</c:v>
                </c:pt>
                <c:pt idx="398">
                  <c:v>4257</c:v>
                </c:pt>
                <c:pt idx="399">
                  <c:v>4257</c:v>
                </c:pt>
                <c:pt idx="400">
                  <c:v>4257</c:v>
                </c:pt>
                <c:pt idx="401">
                  <c:v>4257</c:v>
                </c:pt>
                <c:pt idx="402">
                  <c:v>4257</c:v>
                </c:pt>
                <c:pt idx="403">
                  <c:v>4257</c:v>
                </c:pt>
                <c:pt idx="404">
                  <c:v>4257</c:v>
                </c:pt>
                <c:pt idx="405">
                  <c:v>4257</c:v>
                </c:pt>
                <c:pt idx="406">
                  <c:v>4257</c:v>
                </c:pt>
                <c:pt idx="407">
                  <c:v>4257</c:v>
                </c:pt>
                <c:pt idx="408">
                  <c:v>4257</c:v>
                </c:pt>
                <c:pt idx="409">
                  <c:v>4257</c:v>
                </c:pt>
                <c:pt idx="410">
                  <c:v>4257</c:v>
                </c:pt>
                <c:pt idx="411">
                  <c:v>4257</c:v>
                </c:pt>
                <c:pt idx="412">
                  <c:v>4257</c:v>
                </c:pt>
                <c:pt idx="413">
                  <c:v>4257</c:v>
                </c:pt>
                <c:pt idx="414">
                  <c:v>4257</c:v>
                </c:pt>
                <c:pt idx="415">
                  <c:v>4257</c:v>
                </c:pt>
                <c:pt idx="416">
                  <c:v>4257</c:v>
                </c:pt>
                <c:pt idx="417">
                  <c:v>4257</c:v>
                </c:pt>
                <c:pt idx="418">
                  <c:v>4257</c:v>
                </c:pt>
                <c:pt idx="419">
                  <c:v>4257</c:v>
                </c:pt>
                <c:pt idx="420">
                  <c:v>4257</c:v>
                </c:pt>
                <c:pt idx="421">
                  <c:v>4257</c:v>
                </c:pt>
                <c:pt idx="422">
                  <c:v>4257</c:v>
                </c:pt>
                <c:pt idx="423">
                  <c:v>4257</c:v>
                </c:pt>
                <c:pt idx="424">
                  <c:v>4257</c:v>
                </c:pt>
                <c:pt idx="425">
                  <c:v>4257</c:v>
                </c:pt>
                <c:pt idx="426">
                  <c:v>4257</c:v>
                </c:pt>
                <c:pt idx="427">
                  <c:v>4257</c:v>
                </c:pt>
                <c:pt idx="428">
                  <c:v>4257</c:v>
                </c:pt>
                <c:pt idx="429">
                  <c:v>4257</c:v>
                </c:pt>
                <c:pt idx="430">
                  <c:v>4257</c:v>
                </c:pt>
                <c:pt idx="431">
                  <c:v>4257</c:v>
                </c:pt>
                <c:pt idx="432">
                  <c:v>4257</c:v>
                </c:pt>
                <c:pt idx="433">
                  <c:v>4257</c:v>
                </c:pt>
                <c:pt idx="434">
                  <c:v>4257</c:v>
                </c:pt>
                <c:pt idx="435">
                  <c:v>4257</c:v>
                </c:pt>
                <c:pt idx="436">
                  <c:v>4257</c:v>
                </c:pt>
                <c:pt idx="437">
                  <c:v>4257</c:v>
                </c:pt>
                <c:pt idx="438">
                  <c:v>4257</c:v>
                </c:pt>
                <c:pt idx="439">
                  <c:v>4257</c:v>
                </c:pt>
                <c:pt idx="440">
                  <c:v>4257</c:v>
                </c:pt>
                <c:pt idx="441">
                  <c:v>4257</c:v>
                </c:pt>
                <c:pt idx="442">
                  <c:v>4257</c:v>
                </c:pt>
                <c:pt idx="443">
                  <c:v>4257</c:v>
                </c:pt>
                <c:pt idx="444">
                  <c:v>4257</c:v>
                </c:pt>
                <c:pt idx="445">
                  <c:v>4257</c:v>
                </c:pt>
                <c:pt idx="446">
                  <c:v>4257</c:v>
                </c:pt>
                <c:pt idx="447">
                  <c:v>4257</c:v>
                </c:pt>
                <c:pt idx="448">
                  <c:v>4257</c:v>
                </c:pt>
                <c:pt idx="449">
                  <c:v>4257</c:v>
                </c:pt>
                <c:pt idx="450">
                  <c:v>4257</c:v>
                </c:pt>
                <c:pt idx="451">
                  <c:v>4257</c:v>
                </c:pt>
                <c:pt idx="452">
                  <c:v>4257</c:v>
                </c:pt>
                <c:pt idx="453">
                  <c:v>4257</c:v>
                </c:pt>
                <c:pt idx="454">
                  <c:v>4257</c:v>
                </c:pt>
                <c:pt idx="455">
                  <c:v>4257</c:v>
                </c:pt>
                <c:pt idx="456">
                  <c:v>4257</c:v>
                </c:pt>
                <c:pt idx="457">
                  <c:v>4257</c:v>
                </c:pt>
                <c:pt idx="458">
                  <c:v>4257</c:v>
                </c:pt>
                <c:pt idx="459">
                  <c:v>4257</c:v>
                </c:pt>
                <c:pt idx="460">
                  <c:v>4257</c:v>
                </c:pt>
                <c:pt idx="461">
                  <c:v>4257</c:v>
                </c:pt>
                <c:pt idx="462">
                  <c:v>4257</c:v>
                </c:pt>
                <c:pt idx="463">
                  <c:v>4257</c:v>
                </c:pt>
                <c:pt idx="464">
                  <c:v>4257</c:v>
                </c:pt>
                <c:pt idx="465">
                  <c:v>4257</c:v>
                </c:pt>
                <c:pt idx="466">
                  <c:v>4257</c:v>
                </c:pt>
                <c:pt idx="467">
                  <c:v>4257</c:v>
                </c:pt>
                <c:pt idx="468">
                  <c:v>4257</c:v>
                </c:pt>
                <c:pt idx="469">
                  <c:v>4257</c:v>
                </c:pt>
                <c:pt idx="470">
                  <c:v>4257</c:v>
                </c:pt>
                <c:pt idx="471">
                  <c:v>4257</c:v>
                </c:pt>
                <c:pt idx="472">
                  <c:v>4257</c:v>
                </c:pt>
                <c:pt idx="473">
                  <c:v>4257</c:v>
                </c:pt>
                <c:pt idx="474">
                  <c:v>4257</c:v>
                </c:pt>
                <c:pt idx="475">
                  <c:v>4257</c:v>
                </c:pt>
                <c:pt idx="476">
                  <c:v>4257</c:v>
                </c:pt>
                <c:pt idx="477">
                  <c:v>4257</c:v>
                </c:pt>
                <c:pt idx="478">
                  <c:v>4257</c:v>
                </c:pt>
                <c:pt idx="479">
                  <c:v>4257</c:v>
                </c:pt>
                <c:pt idx="480">
                  <c:v>4257</c:v>
                </c:pt>
                <c:pt idx="481">
                  <c:v>4257</c:v>
                </c:pt>
                <c:pt idx="482">
                  <c:v>4257</c:v>
                </c:pt>
                <c:pt idx="483">
                  <c:v>4257</c:v>
                </c:pt>
                <c:pt idx="484">
                  <c:v>4257</c:v>
                </c:pt>
                <c:pt idx="485">
                  <c:v>4257</c:v>
                </c:pt>
                <c:pt idx="486">
                  <c:v>4257</c:v>
                </c:pt>
                <c:pt idx="487">
                  <c:v>4257</c:v>
                </c:pt>
                <c:pt idx="488">
                  <c:v>4257</c:v>
                </c:pt>
                <c:pt idx="489">
                  <c:v>4257</c:v>
                </c:pt>
                <c:pt idx="490">
                  <c:v>4257</c:v>
                </c:pt>
                <c:pt idx="491">
                  <c:v>4257</c:v>
                </c:pt>
                <c:pt idx="492">
                  <c:v>4257</c:v>
                </c:pt>
                <c:pt idx="493">
                  <c:v>4257</c:v>
                </c:pt>
                <c:pt idx="494">
                  <c:v>4257</c:v>
                </c:pt>
                <c:pt idx="495">
                  <c:v>4257</c:v>
                </c:pt>
                <c:pt idx="496">
                  <c:v>4257</c:v>
                </c:pt>
                <c:pt idx="497">
                  <c:v>4257</c:v>
                </c:pt>
                <c:pt idx="498">
                  <c:v>4257</c:v>
                </c:pt>
                <c:pt idx="499">
                  <c:v>4257</c:v>
                </c:pt>
                <c:pt idx="500">
                  <c:v>4257</c:v>
                </c:pt>
                <c:pt idx="501">
                  <c:v>4257</c:v>
                </c:pt>
                <c:pt idx="502">
                  <c:v>4257</c:v>
                </c:pt>
                <c:pt idx="503">
                  <c:v>4257</c:v>
                </c:pt>
                <c:pt idx="504">
                  <c:v>4257</c:v>
                </c:pt>
                <c:pt idx="505">
                  <c:v>4257</c:v>
                </c:pt>
                <c:pt idx="506">
                  <c:v>4257</c:v>
                </c:pt>
                <c:pt idx="507">
                  <c:v>4257</c:v>
                </c:pt>
                <c:pt idx="508">
                  <c:v>4257</c:v>
                </c:pt>
                <c:pt idx="509">
                  <c:v>4257</c:v>
                </c:pt>
                <c:pt idx="510">
                  <c:v>4257</c:v>
                </c:pt>
                <c:pt idx="511">
                  <c:v>4257</c:v>
                </c:pt>
                <c:pt idx="512">
                  <c:v>4257</c:v>
                </c:pt>
                <c:pt idx="513">
                  <c:v>4257</c:v>
                </c:pt>
                <c:pt idx="514">
                  <c:v>4257</c:v>
                </c:pt>
                <c:pt idx="515">
                  <c:v>4257</c:v>
                </c:pt>
                <c:pt idx="516">
                  <c:v>4257</c:v>
                </c:pt>
                <c:pt idx="517">
                  <c:v>4257</c:v>
                </c:pt>
                <c:pt idx="518">
                  <c:v>4257</c:v>
                </c:pt>
                <c:pt idx="519">
                  <c:v>4257</c:v>
                </c:pt>
                <c:pt idx="520">
                  <c:v>4257</c:v>
                </c:pt>
                <c:pt idx="521">
                  <c:v>4257</c:v>
                </c:pt>
                <c:pt idx="522">
                  <c:v>4257</c:v>
                </c:pt>
                <c:pt idx="523">
                  <c:v>4257</c:v>
                </c:pt>
                <c:pt idx="524">
                  <c:v>4257</c:v>
                </c:pt>
                <c:pt idx="525">
                  <c:v>4257</c:v>
                </c:pt>
                <c:pt idx="526">
                  <c:v>4257</c:v>
                </c:pt>
                <c:pt idx="527">
                  <c:v>4257</c:v>
                </c:pt>
                <c:pt idx="528">
                  <c:v>4257</c:v>
                </c:pt>
                <c:pt idx="529">
                  <c:v>4257</c:v>
                </c:pt>
                <c:pt idx="530">
                  <c:v>4257</c:v>
                </c:pt>
                <c:pt idx="531">
                  <c:v>4257</c:v>
                </c:pt>
                <c:pt idx="532">
                  <c:v>4257</c:v>
                </c:pt>
                <c:pt idx="533">
                  <c:v>4257</c:v>
                </c:pt>
                <c:pt idx="534">
                  <c:v>4257</c:v>
                </c:pt>
                <c:pt idx="535">
                  <c:v>4257</c:v>
                </c:pt>
                <c:pt idx="536">
                  <c:v>4257</c:v>
                </c:pt>
                <c:pt idx="537">
                  <c:v>4257</c:v>
                </c:pt>
                <c:pt idx="538">
                  <c:v>4257</c:v>
                </c:pt>
                <c:pt idx="539">
                  <c:v>4257</c:v>
                </c:pt>
                <c:pt idx="540">
                  <c:v>4257</c:v>
                </c:pt>
                <c:pt idx="541">
                  <c:v>4257</c:v>
                </c:pt>
                <c:pt idx="542">
                  <c:v>4257</c:v>
                </c:pt>
                <c:pt idx="543">
                  <c:v>4257</c:v>
                </c:pt>
                <c:pt idx="544">
                  <c:v>4257</c:v>
                </c:pt>
                <c:pt idx="545">
                  <c:v>4257</c:v>
                </c:pt>
                <c:pt idx="546">
                  <c:v>4257</c:v>
                </c:pt>
                <c:pt idx="547">
                  <c:v>4257</c:v>
                </c:pt>
                <c:pt idx="548">
                  <c:v>4257</c:v>
                </c:pt>
                <c:pt idx="549">
                  <c:v>4257</c:v>
                </c:pt>
                <c:pt idx="550">
                  <c:v>4257</c:v>
                </c:pt>
                <c:pt idx="551">
                  <c:v>4257</c:v>
                </c:pt>
                <c:pt idx="552">
                  <c:v>4257</c:v>
                </c:pt>
                <c:pt idx="553">
                  <c:v>4257</c:v>
                </c:pt>
                <c:pt idx="554">
                  <c:v>4257</c:v>
                </c:pt>
                <c:pt idx="555">
                  <c:v>4257</c:v>
                </c:pt>
                <c:pt idx="556">
                  <c:v>4257</c:v>
                </c:pt>
                <c:pt idx="557">
                  <c:v>4257</c:v>
                </c:pt>
                <c:pt idx="558">
                  <c:v>4257</c:v>
                </c:pt>
                <c:pt idx="559">
                  <c:v>4257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14-4E12-86AB-81DC96CFD332}"/>
            </c:ext>
          </c:extLst>
        </c:ser>
        <c:ser>
          <c:idx val="1"/>
          <c:order val="1"/>
          <c:tx>
            <c:v>TRABALHO ACUMULADO REAL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Pt>
            <c:idx val="7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3-7614-4E12-86AB-81DC96CFD332}"/>
              </c:ext>
            </c:extLst>
          </c:dPt>
          <c:cat>
            <c:numRef>
              <c:f>'PMO REAL'!$F$14:$US$14</c:f>
              <c:numCache>
                <c:formatCode>m/d/yyyy</c:formatCode>
                <c:ptCount val="560"/>
                <c:pt idx="0">
                  <c:v>45196</c:v>
                </c:pt>
                <c:pt idx="1">
                  <c:v>45197</c:v>
                </c:pt>
                <c:pt idx="2">
                  <c:v>45198</c:v>
                </c:pt>
                <c:pt idx="3">
                  <c:v>45199</c:v>
                </c:pt>
                <c:pt idx="4">
                  <c:v>45200</c:v>
                </c:pt>
                <c:pt idx="5">
                  <c:v>45201</c:v>
                </c:pt>
                <c:pt idx="6">
                  <c:v>45202</c:v>
                </c:pt>
                <c:pt idx="7">
                  <c:v>45203</c:v>
                </c:pt>
                <c:pt idx="8">
                  <c:v>45204</c:v>
                </c:pt>
                <c:pt idx="9">
                  <c:v>45205</c:v>
                </c:pt>
                <c:pt idx="10">
                  <c:v>45206</c:v>
                </c:pt>
                <c:pt idx="11">
                  <c:v>45207</c:v>
                </c:pt>
                <c:pt idx="12">
                  <c:v>45208</c:v>
                </c:pt>
                <c:pt idx="13">
                  <c:v>45209</c:v>
                </c:pt>
                <c:pt idx="14">
                  <c:v>45210</c:v>
                </c:pt>
                <c:pt idx="15">
                  <c:v>45211</c:v>
                </c:pt>
                <c:pt idx="16">
                  <c:v>45212</c:v>
                </c:pt>
                <c:pt idx="17">
                  <c:v>45213</c:v>
                </c:pt>
                <c:pt idx="18">
                  <c:v>45214</c:v>
                </c:pt>
                <c:pt idx="19">
                  <c:v>45215</c:v>
                </c:pt>
                <c:pt idx="20">
                  <c:v>45216</c:v>
                </c:pt>
                <c:pt idx="21">
                  <c:v>45217</c:v>
                </c:pt>
                <c:pt idx="22">
                  <c:v>45218</c:v>
                </c:pt>
                <c:pt idx="23">
                  <c:v>45219</c:v>
                </c:pt>
                <c:pt idx="24">
                  <c:v>45220</c:v>
                </c:pt>
                <c:pt idx="25">
                  <c:v>45221</c:v>
                </c:pt>
                <c:pt idx="26">
                  <c:v>45222</c:v>
                </c:pt>
                <c:pt idx="27">
                  <c:v>45223</c:v>
                </c:pt>
                <c:pt idx="28">
                  <c:v>45224</c:v>
                </c:pt>
                <c:pt idx="29">
                  <c:v>45225</c:v>
                </c:pt>
                <c:pt idx="30">
                  <c:v>45226</c:v>
                </c:pt>
                <c:pt idx="31">
                  <c:v>45227</c:v>
                </c:pt>
                <c:pt idx="32">
                  <c:v>45228</c:v>
                </c:pt>
                <c:pt idx="33">
                  <c:v>45229</c:v>
                </c:pt>
                <c:pt idx="34">
                  <c:v>45230</c:v>
                </c:pt>
                <c:pt idx="35">
                  <c:v>45231</c:v>
                </c:pt>
                <c:pt idx="36">
                  <c:v>45232</c:v>
                </c:pt>
                <c:pt idx="37">
                  <c:v>45233</c:v>
                </c:pt>
                <c:pt idx="38">
                  <c:v>45234</c:v>
                </c:pt>
                <c:pt idx="39">
                  <c:v>45235</c:v>
                </c:pt>
                <c:pt idx="40">
                  <c:v>45236</c:v>
                </c:pt>
                <c:pt idx="41">
                  <c:v>45237</c:v>
                </c:pt>
                <c:pt idx="42">
                  <c:v>45238</c:v>
                </c:pt>
                <c:pt idx="43">
                  <c:v>45239</c:v>
                </c:pt>
                <c:pt idx="44">
                  <c:v>45240</c:v>
                </c:pt>
                <c:pt idx="45">
                  <c:v>45241</c:v>
                </c:pt>
                <c:pt idx="46">
                  <c:v>45242</c:v>
                </c:pt>
                <c:pt idx="47">
                  <c:v>45243</c:v>
                </c:pt>
                <c:pt idx="48">
                  <c:v>45244</c:v>
                </c:pt>
                <c:pt idx="49">
                  <c:v>45245</c:v>
                </c:pt>
                <c:pt idx="50">
                  <c:v>45246</c:v>
                </c:pt>
                <c:pt idx="51">
                  <c:v>45247</c:v>
                </c:pt>
                <c:pt idx="52">
                  <c:v>45248</c:v>
                </c:pt>
                <c:pt idx="53">
                  <c:v>45249</c:v>
                </c:pt>
                <c:pt idx="54">
                  <c:v>45250</c:v>
                </c:pt>
                <c:pt idx="55">
                  <c:v>45251</c:v>
                </c:pt>
                <c:pt idx="56">
                  <c:v>45252</c:v>
                </c:pt>
                <c:pt idx="57">
                  <c:v>45253</c:v>
                </c:pt>
                <c:pt idx="58">
                  <c:v>45254</c:v>
                </c:pt>
                <c:pt idx="59">
                  <c:v>45255</c:v>
                </c:pt>
                <c:pt idx="60">
                  <c:v>45256</c:v>
                </c:pt>
                <c:pt idx="61">
                  <c:v>45257</c:v>
                </c:pt>
                <c:pt idx="62">
                  <c:v>45258</c:v>
                </c:pt>
                <c:pt idx="63">
                  <c:v>45259</c:v>
                </c:pt>
                <c:pt idx="64">
                  <c:v>45260</c:v>
                </c:pt>
                <c:pt idx="65">
                  <c:v>45261</c:v>
                </c:pt>
                <c:pt idx="66">
                  <c:v>45262</c:v>
                </c:pt>
                <c:pt idx="67">
                  <c:v>45263</c:v>
                </c:pt>
                <c:pt idx="68">
                  <c:v>45264</c:v>
                </c:pt>
                <c:pt idx="69">
                  <c:v>45265</c:v>
                </c:pt>
                <c:pt idx="70">
                  <c:v>45266</c:v>
                </c:pt>
                <c:pt idx="71">
                  <c:v>45267</c:v>
                </c:pt>
                <c:pt idx="72">
                  <c:v>45268</c:v>
                </c:pt>
                <c:pt idx="73">
                  <c:v>45269</c:v>
                </c:pt>
                <c:pt idx="74">
                  <c:v>45270</c:v>
                </c:pt>
                <c:pt idx="75">
                  <c:v>45271</c:v>
                </c:pt>
                <c:pt idx="76">
                  <c:v>45272</c:v>
                </c:pt>
                <c:pt idx="77">
                  <c:v>45273</c:v>
                </c:pt>
                <c:pt idx="78">
                  <c:v>45274</c:v>
                </c:pt>
                <c:pt idx="79">
                  <c:v>45275</c:v>
                </c:pt>
                <c:pt idx="80">
                  <c:v>45276</c:v>
                </c:pt>
                <c:pt idx="81">
                  <c:v>45277</c:v>
                </c:pt>
                <c:pt idx="82">
                  <c:v>45278</c:v>
                </c:pt>
                <c:pt idx="83">
                  <c:v>45279</c:v>
                </c:pt>
                <c:pt idx="84">
                  <c:v>45280</c:v>
                </c:pt>
                <c:pt idx="85">
                  <c:v>45281</c:v>
                </c:pt>
                <c:pt idx="86">
                  <c:v>45282</c:v>
                </c:pt>
                <c:pt idx="87">
                  <c:v>45283</c:v>
                </c:pt>
                <c:pt idx="88">
                  <c:v>45284</c:v>
                </c:pt>
                <c:pt idx="89">
                  <c:v>45285</c:v>
                </c:pt>
                <c:pt idx="90">
                  <c:v>45286</c:v>
                </c:pt>
                <c:pt idx="91">
                  <c:v>45287</c:v>
                </c:pt>
                <c:pt idx="92">
                  <c:v>45288</c:v>
                </c:pt>
                <c:pt idx="93">
                  <c:v>45289</c:v>
                </c:pt>
                <c:pt idx="94">
                  <c:v>45290</c:v>
                </c:pt>
                <c:pt idx="95">
                  <c:v>45291</c:v>
                </c:pt>
                <c:pt idx="96">
                  <c:v>45292</c:v>
                </c:pt>
                <c:pt idx="97">
                  <c:v>45293</c:v>
                </c:pt>
                <c:pt idx="98">
                  <c:v>45294</c:v>
                </c:pt>
                <c:pt idx="99">
                  <c:v>45295</c:v>
                </c:pt>
                <c:pt idx="100">
                  <c:v>45296</c:v>
                </c:pt>
                <c:pt idx="101">
                  <c:v>45297</c:v>
                </c:pt>
                <c:pt idx="102">
                  <c:v>45298</c:v>
                </c:pt>
                <c:pt idx="103">
                  <c:v>45299</c:v>
                </c:pt>
                <c:pt idx="104">
                  <c:v>45300</c:v>
                </c:pt>
                <c:pt idx="105">
                  <c:v>45301</c:v>
                </c:pt>
                <c:pt idx="106">
                  <c:v>45302</c:v>
                </c:pt>
                <c:pt idx="107">
                  <c:v>45303</c:v>
                </c:pt>
                <c:pt idx="108">
                  <c:v>45304</c:v>
                </c:pt>
                <c:pt idx="109">
                  <c:v>45305</c:v>
                </c:pt>
                <c:pt idx="110">
                  <c:v>45306</c:v>
                </c:pt>
                <c:pt idx="111">
                  <c:v>45307</c:v>
                </c:pt>
                <c:pt idx="112">
                  <c:v>45308</c:v>
                </c:pt>
                <c:pt idx="113">
                  <c:v>45309</c:v>
                </c:pt>
                <c:pt idx="114">
                  <c:v>45310</c:v>
                </c:pt>
                <c:pt idx="115">
                  <c:v>45311</c:v>
                </c:pt>
                <c:pt idx="116">
                  <c:v>45312</c:v>
                </c:pt>
                <c:pt idx="117">
                  <c:v>45313</c:v>
                </c:pt>
                <c:pt idx="118">
                  <c:v>45314</c:v>
                </c:pt>
                <c:pt idx="119">
                  <c:v>45315</c:v>
                </c:pt>
                <c:pt idx="120">
                  <c:v>45316</c:v>
                </c:pt>
                <c:pt idx="121">
                  <c:v>45317</c:v>
                </c:pt>
                <c:pt idx="122">
                  <c:v>45318</c:v>
                </c:pt>
                <c:pt idx="123">
                  <c:v>45319</c:v>
                </c:pt>
                <c:pt idx="124">
                  <c:v>45320</c:v>
                </c:pt>
                <c:pt idx="125">
                  <c:v>45321</c:v>
                </c:pt>
                <c:pt idx="126">
                  <c:v>45322</c:v>
                </c:pt>
                <c:pt idx="127">
                  <c:v>45323</c:v>
                </c:pt>
                <c:pt idx="128">
                  <c:v>45324</c:v>
                </c:pt>
                <c:pt idx="129">
                  <c:v>45325</c:v>
                </c:pt>
                <c:pt idx="130">
                  <c:v>45326</c:v>
                </c:pt>
                <c:pt idx="131">
                  <c:v>45327</c:v>
                </c:pt>
                <c:pt idx="132">
                  <c:v>45328</c:v>
                </c:pt>
                <c:pt idx="133">
                  <c:v>45329</c:v>
                </c:pt>
                <c:pt idx="134">
                  <c:v>45330</c:v>
                </c:pt>
                <c:pt idx="135">
                  <c:v>45331</c:v>
                </c:pt>
                <c:pt idx="136">
                  <c:v>45332</c:v>
                </c:pt>
                <c:pt idx="137">
                  <c:v>45333</c:v>
                </c:pt>
                <c:pt idx="138">
                  <c:v>45334</c:v>
                </c:pt>
                <c:pt idx="139">
                  <c:v>45335</c:v>
                </c:pt>
                <c:pt idx="140">
                  <c:v>45336</c:v>
                </c:pt>
                <c:pt idx="141">
                  <c:v>45337</c:v>
                </c:pt>
                <c:pt idx="142">
                  <c:v>45338</c:v>
                </c:pt>
                <c:pt idx="143">
                  <c:v>45339</c:v>
                </c:pt>
                <c:pt idx="144">
                  <c:v>45340</c:v>
                </c:pt>
                <c:pt idx="145">
                  <c:v>45341</c:v>
                </c:pt>
                <c:pt idx="146">
                  <c:v>45342</c:v>
                </c:pt>
                <c:pt idx="147">
                  <c:v>45343</c:v>
                </c:pt>
                <c:pt idx="148">
                  <c:v>45344</c:v>
                </c:pt>
                <c:pt idx="149">
                  <c:v>45345</c:v>
                </c:pt>
                <c:pt idx="150">
                  <c:v>45346</c:v>
                </c:pt>
                <c:pt idx="151">
                  <c:v>45347</c:v>
                </c:pt>
                <c:pt idx="152">
                  <c:v>45348</c:v>
                </c:pt>
                <c:pt idx="153">
                  <c:v>45349</c:v>
                </c:pt>
                <c:pt idx="154">
                  <c:v>45350</c:v>
                </c:pt>
                <c:pt idx="155">
                  <c:v>45351</c:v>
                </c:pt>
                <c:pt idx="156">
                  <c:v>45352</c:v>
                </c:pt>
                <c:pt idx="157">
                  <c:v>45353</c:v>
                </c:pt>
                <c:pt idx="158">
                  <c:v>45354</c:v>
                </c:pt>
                <c:pt idx="159">
                  <c:v>45355</c:v>
                </c:pt>
                <c:pt idx="160">
                  <c:v>45356</c:v>
                </c:pt>
                <c:pt idx="161">
                  <c:v>45357</c:v>
                </c:pt>
                <c:pt idx="162">
                  <c:v>45358</c:v>
                </c:pt>
                <c:pt idx="163">
                  <c:v>45359</c:v>
                </c:pt>
                <c:pt idx="164">
                  <c:v>45360</c:v>
                </c:pt>
                <c:pt idx="165">
                  <c:v>45361</c:v>
                </c:pt>
                <c:pt idx="166">
                  <c:v>45362</c:v>
                </c:pt>
                <c:pt idx="167">
                  <c:v>45363</c:v>
                </c:pt>
                <c:pt idx="168">
                  <c:v>45364</c:v>
                </c:pt>
                <c:pt idx="169">
                  <c:v>45365</c:v>
                </c:pt>
                <c:pt idx="170">
                  <c:v>45366</c:v>
                </c:pt>
                <c:pt idx="171">
                  <c:v>45367</c:v>
                </c:pt>
                <c:pt idx="172">
                  <c:v>45368</c:v>
                </c:pt>
                <c:pt idx="173">
                  <c:v>45369</c:v>
                </c:pt>
                <c:pt idx="174">
                  <c:v>45370</c:v>
                </c:pt>
                <c:pt idx="175">
                  <c:v>45371</c:v>
                </c:pt>
                <c:pt idx="176">
                  <c:v>45372</c:v>
                </c:pt>
                <c:pt idx="177">
                  <c:v>45373</c:v>
                </c:pt>
                <c:pt idx="178">
                  <c:v>45374</c:v>
                </c:pt>
                <c:pt idx="179">
                  <c:v>45375</c:v>
                </c:pt>
                <c:pt idx="180">
                  <c:v>45376</c:v>
                </c:pt>
                <c:pt idx="181">
                  <c:v>45377</c:v>
                </c:pt>
                <c:pt idx="182">
                  <c:v>45378</c:v>
                </c:pt>
                <c:pt idx="183">
                  <c:v>45379</c:v>
                </c:pt>
                <c:pt idx="184">
                  <c:v>45380</c:v>
                </c:pt>
                <c:pt idx="185">
                  <c:v>45381</c:v>
                </c:pt>
                <c:pt idx="186">
                  <c:v>45382</c:v>
                </c:pt>
                <c:pt idx="187">
                  <c:v>45383</c:v>
                </c:pt>
                <c:pt idx="188">
                  <c:v>45384</c:v>
                </c:pt>
                <c:pt idx="189">
                  <c:v>45385</c:v>
                </c:pt>
                <c:pt idx="190">
                  <c:v>45386</c:v>
                </c:pt>
                <c:pt idx="191">
                  <c:v>45387</c:v>
                </c:pt>
                <c:pt idx="192">
                  <c:v>45388</c:v>
                </c:pt>
                <c:pt idx="193">
                  <c:v>45389</c:v>
                </c:pt>
                <c:pt idx="194">
                  <c:v>45390</c:v>
                </c:pt>
                <c:pt idx="195">
                  <c:v>45391</c:v>
                </c:pt>
                <c:pt idx="196">
                  <c:v>45392</c:v>
                </c:pt>
                <c:pt idx="197">
                  <c:v>45393</c:v>
                </c:pt>
                <c:pt idx="198">
                  <c:v>45394</c:v>
                </c:pt>
                <c:pt idx="199">
                  <c:v>45395</c:v>
                </c:pt>
                <c:pt idx="200">
                  <c:v>45396</c:v>
                </c:pt>
                <c:pt idx="201">
                  <c:v>45397</c:v>
                </c:pt>
                <c:pt idx="202">
                  <c:v>45398</c:v>
                </c:pt>
                <c:pt idx="203">
                  <c:v>45399</c:v>
                </c:pt>
                <c:pt idx="204">
                  <c:v>45400</c:v>
                </c:pt>
                <c:pt idx="205">
                  <c:v>45401</c:v>
                </c:pt>
                <c:pt idx="206">
                  <c:v>45402</c:v>
                </c:pt>
                <c:pt idx="207">
                  <c:v>45403</c:v>
                </c:pt>
                <c:pt idx="208">
                  <c:v>45404</c:v>
                </c:pt>
                <c:pt idx="209">
                  <c:v>45405</c:v>
                </c:pt>
                <c:pt idx="210">
                  <c:v>45406</c:v>
                </c:pt>
                <c:pt idx="211">
                  <c:v>45407</c:v>
                </c:pt>
                <c:pt idx="212">
                  <c:v>45408</c:v>
                </c:pt>
                <c:pt idx="213">
                  <c:v>45409</c:v>
                </c:pt>
                <c:pt idx="214">
                  <c:v>45410</c:v>
                </c:pt>
                <c:pt idx="215">
                  <c:v>45411</c:v>
                </c:pt>
                <c:pt idx="216">
                  <c:v>45412</c:v>
                </c:pt>
                <c:pt idx="217">
                  <c:v>45413</c:v>
                </c:pt>
                <c:pt idx="218">
                  <c:v>45414</c:v>
                </c:pt>
                <c:pt idx="219">
                  <c:v>45415</c:v>
                </c:pt>
                <c:pt idx="220">
                  <c:v>45416</c:v>
                </c:pt>
                <c:pt idx="221">
                  <c:v>45417</c:v>
                </c:pt>
                <c:pt idx="222">
                  <c:v>45418</c:v>
                </c:pt>
                <c:pt idx="223">
                  <c:v>45419</c:v>
                </c:pt>
                <c:pt idx="224">
                  <c:v>45420</c:v>
                </c:pt>
                <c:pt idx="225">
                  <c:v>45421</c:v>
                </c:pt>
                <c:pt idx="226">
                  <c:v>45422</c:v>
                </c:pt>
                <c:pt idx="227">
                  <c:v>45423</c:v>
                </c:pt>
                <c:pt idx="228">
                  <c:v>45424</c:v>
                </c:pt>
                <c:pt idx="229">
                  <c:v>45425</c:v>
                </c:pt>
                <c:pt idx="230">
                  <c:v>45426</c:v>
                </c:pt>
                <c:pt idx="231">
                  <c:v>45427</c:v>
                </c:pt>
                <c:pt idx="232">
                  <c:v>45428</c:v>
                </c:pt>
                <c:pt idx="233">
                  <c:v>45429</c:v>
                </c:pt>
                <c:pt idx="234">
                  <c:v>45430</c:v>
                </c:pt>
                <c:pt idx="235">
                  <c:v>45431</c:v>
                </c:pt>
                <c:pt idx="236">
                  <c:v>45432</c:v>
                </c:pt>
                <c:pt idx="237">
                  <c:v>45433</c:v>
                </c:pt>
                <c:pt idx="238">
                  <c:v>45434</c:v>
                </c:pt>
                <c:pt idx="239">
                  <c:v>45435</c:v>
                </c:pt>
                <c:pt idx="240">
                  <c:v>45436</c:v>
                </c:pt>
                <c:pt idx="241">
                  <c:v>45437</c:v>
                </c:pt>
                <c:pt idx="242">
                  <c:v>45438</c:v>
                </c:pt>
                <c:pt idx="243">
                  <c:v>45439</c:v>
                </c:pt>
                <c:pt idx="244">
                  <c:v>45440</c:v>
                </c:pt>
                <c:pt idx="245">
                  <c:v>45441</c:v>
                </c:pt>
                <c:pt idx="246">
                  <c:v>45442</c:v>
                </c:pt>
                <c:pt idx="247">
                  <c:v>45443</c:v>
                </c:pt>
                <c:pt idx="248">
                  <c:v>45444</c:v>
                </c:pt>
                <c:pt idx="249">
                  <c:v>45445</c:v>
                </c:pt>
                <c:pt idx="250">
                  <c:v>45446</c:v>
                </c:pt>
                <c:pt idx="251">
                  <c:v>45447</c:v>
                </c:pt>
                <c:pt idx="252">
                  <c:v>45448</c:v>
                </c:pt>
                <c:pt idx="253">
                  <c:v>45449</c:v>
                </c:pt>
                <c:pt idx="254">
                  <c:v>45450</c:v>
                </c:pt>
                <c:pt idx="255">
                  <c:v>45451</c:v>
                </c:pt>
                <c:pt idx="256">
                  <c:v>45452</c:v>
                </c:pt>
                <c:pt idx="257">
                  <c:v>45453</c:v>
                </c:pt>
                <c:pt idx="258">
                  <c:v>45454</c:v>
                </c:pt>
                <c:pt idx="259">
                  <c:v>45455</c:v>
                </c:pt>
                <c:pt idx="260">
                  <c:v>45456</c:v>
                </c:pt>
                <c:pt idx="261">
                  <c:v>45457</c:v>
                </c:pt>
                <c:pt idx="262">
                  <c:v>45458</c:v>
                </c:pt>
                <c:pt idx="263">
                  <c:v>45459</c:v>
                </c:pt>
                <c:pt idx="264">
                  <c:v>45460</c:v>
                </c:pt>
                <c:pt idx="265">
                  <c:v>45461</c:v>
                </c:pt>
                <c:pt idx="266">
                  <c:v>45462</c:v>
                </c:pt>
                <c:pt idx="267">
                  <c:v>45463</c:v>
                </c:pt>
                <c:pt idx="268">
                  <c:v>45464</c:v>
                </c:pt>
                <c:pt idx="269">
                  <c:v>45465</c:v>
                </c:pt>
                <c:pt idx="270">
                  <c:v>45466</c:v>
                </c:pt>
                <c:pt idx="271">
                  <c:v>45467</c:v>
                </c:pt>
                <c:pt idx="272">
                  <c:v>45468</c:v>
                </c:pt>
                <c:pt idx="273">
                  <c:v>45469</c:v>
                </c:pt>
                <c:pt idx="274">
                  <c:v>45470</c:v>
                </c:pt>
                <c:pt idx="275">
                  <c:v>45471</c:v>
                </c:pt>
                <c:pt idx="276">
                  <c:v>45472</c:v>
                </c:pt>
                <c:pt idx="277">
                  <c:v>45473</c:v>
                </c:pt>
                <c:pt idx="278">
                  <c:v>45474</c:v>
                </c:pt>
                <c:pt idx="279">
                  <c:v>45475</c:v>
                </c:pt>
                <c:pt idx="280">
                  <c:v>45476</c:v>
                </c:pt>
                <c:pt idx="281">
                  <c:v>45477</c:v>
                </c:pt>
                <c:pt idx="282">
                  <c:v>45478</c:v>
                </c:pt>
                <c:pt idx="283">
                  <c:v>45479</c:v>
                </c:pt>
                <c:pt idx="284">
                  <c:v>45480</c:v>
                </c:pt>
                <c:pt idx="285">
                  <c:v>45481</c:v>
                </c:pt>
                <c:pt idx="286">
                  <c:v>45482</c:v>
                </c:pt>
                <c:pt idx="287">
                  <c:v>45483</c:v>
                </c:pt>
                <c:pt idx="288">
                  <c:v>45484</c:v>
                </c:pt>
                <c:pt idx="289">
                  <c:v>45485</c:v>
                </c:pt>
                <c:pt idx="290">
                  <c:v>45486</c:v>
                </c:pt>
                <c:pt idx="291">
                  <c:v>45487</c:v>
                </c:pt>
                <c:pt idx="292">
                  <c:v>45488</c:v>
                </c:pt>
                <c:pt idx="293">
                  <c:v>45489</c:v>
                </c:pt>
                <c:pt idx="294">
                  <c:v>45490</c:v>
                </c:pt>
                <c:pt idx="295">
                  <c:v>45491</c:v>
                </c:pt>
                <c:pt idx="296">
                  <c:v>45492</c:v>
                </c:pt>
                <c:pt idx="297">
                  <c:v>45493</c:v>
                </c:pt>
                <c:pt idx="298">
                  <c:v>45494</c:v>
                </c:pt>
                <c:pt idx="299">
                  <c:v>45495</c:v>
                </c:pt>
                <c:pt idx="300">
                  <c:v>45496</c:v>
                </c:pt>
                <c:pt idx="301">
                  <c:v>45497</c:v>
                </c:pt>
                <c:pt idx="302">
                  <c:v>45498</c:v>
                </c:pt>
                <c:pt idx="303">
                  <c:v>45499</c:v>
                </c:pt>
                <c:pt idx="304">
                  <c:v>45500</c:v>
                </c:pt>
                <c:pt idx="305">
                  <c:v>45501</c:v>
                </c:pt>
                <c:pt idx="306">
                  <c:v>45502</c:v>
                </c:pt>
                <c:pt idx="307">
                  <c:v>45503</c:v>
                </c:pt>
                <c:pt idx="308">
                  <c:v>45504</c:v>
                </c:pt>
                <c:pt idx="309">
                  <c:v>45505</c:v>
                </c:pt>
                <c:pt idx="310">
                  <c:v>45506</c:v>
                </c:pt>
                <c:pt idx="311">
                  <c:v>45507</c:v>
                </c:pt>
                <c:pt idx="312">
                  <c:v>45508</c:v>
                </c:pt>
                <c:pt idx="313">
                  <c:v>45509</c:v>
                </c:pt>
                <c:pt idx="314">
                  <c:v>45510</c:v>
                </c:pt>
                <c:pt idx="315">
                  <c:v>45511</c:v>
                </c:pt>
                <c:pt idx="316">
                  <c:v>45512</c:v>
                </c:pt>
                <c:pt idx="317">
                  <c:v>45513</c:v>
                </c:pt>
                <c:pt idx="318">
                  <c:v>45514</c:v>
                </c:pt>
                <c:pt idx="319">
                  <c:v>45515</c:v>
                </c:pt>
                <c:pt idx="320">
                  <c:v>45516</c:v>
                </c:pt>
                <c:pt idx="321">
                  <c:v>45517</c:v>
                </c:pt>
                <c:pt idx="322">
                  <c:v>45518</c:v>
                </c:pt>
                <c:pt idx="323">
                  <c:v>45519</c:v>
                </c:pt>
                <c:pt idx="324">
                  <c:v>45520</c:v>
                </c:pt>
                <c:pt idx="325">
                  <c:v>45521</c:v>
                </c:pt>
                <c:pt idx="326">
                  <c:v>45522</c:v>
                </c:pt>
                <c:pt idx="327">
                  <c:v>45523</c:v>
                </c:pt>
                <c:pt idx="328">
                  <c:v>45524</c:v>
                </c:pt>
                <c:pt idx="329">
                  <c:v>45525</c:v>
                </c:pt>
                <c:pt idx="330">
                  <c:v>45526</c:v>
                </c:pt>
                <c:pt idx="331">
                  <c:v>45527</c:v>
                </c:pt>
                <c:pt idx="332">
                  <c:v>45528</c:v>
                </c:pt>
                <c:pt idx="333">
                  <c:v>45529</c:v>
                </c:pt>
                <c:pt idx="334">
                  <c:v>45530</c:v>
                </c:pt>
                <c:pt idx="335">
                  <c:v>45531</c:v>
                </c:pt>
                <c:pt idx="336">
                  <c:v>45532</c:v>
                </c:pt>
                <c:pt idx="337">
                  <c:v>45533</c:v>
                </c:pt>
                <c:pt idx="338">
                  <c:v>45534</c:v>
                </c:pt>
                <c:pt idx="339">
                  <c:v>45535</c:v>
                </c:pt>
                <c:pt idx="340">
                  <c:v>45536</c:v>
                </c:pt>
                <c:pt idx="341">
                  <c:v>45537</c:v>
                </c:pt>
                <c:pt idx="342">
                  <c:v>45538</c:v>
                </c:pt>
                <c:pt idx="343">
                  <c:v>45539</c:v>
                </c:pt>
                <c:pt idx="344">
                  <c:v>45540</c:v>
                </c:pt>
                <c:pt idx="345">
                  <c:v>45541</c:v>
                </c:pt>
                <c:pt idx="346">
                  <c:v>45542</c:v>
                </c:pt>
                <c:pt idx="347">
                  <c:v>45543</c:v>
                </c:pt>
                <c:pt idx="348">
                  <c:v>45544</c:v>
                </c:pt>
                <c:pt idx="349">
                  <c:v>45545</c:v>
                </c:pt>
                <c:pt idx="350">
                  <c:v>45546</c:v>
                </c:pt>
                <c:pt idx="351">
                  <c:v>45547</c:v>
                </c:pt>
                <c:pt idx="352">
                  <c:v>45548</c:v>
                </c:pt>
                <c:pt idx="353">
                  <c:v>45549</c:v>
                </c:pt>
                <c:pt idx="354">
                  <c:v>45550</c:v>
                </c:pt>
                <c:pt idx="355">
                  <c:v>45551</c:v>
                </c:pt>
                <c:pt idx="356">
                  <c:v>45552</c:v>
                </c:pt>
                <c:pt idx="357">
                  <c:v>45553</c:v>
                </c:pt>
                <c:pt idx="358">
                  <c:v>45554</c:v>
                </c:pt>
                <c:pt idx="359">
                  <c:v>45555</c:v>
                </c:pt>
                <c:pt idx="360">
                  <c:v>45556</c:v>
                </c:pt>
                <c:pt idx="361">
                  <c:v>45557</c:v>
                </c:pt>
                <c:pt idx="362">
                  <c:v>45558</c:v>
                </c:pt>
                <c:pt idx="363">
                  <c:v>45559</c:v>
                </c:pt>
                <c:pt idx="364">
                  <c:v>45560</c:v>
                </c:pt>
                <c:pt idx="365">
                  <c:v>45561</c:v>
                </c:pt>
                <c:pt idx="366">
                  <c:v>45562</c:v>
                </c:pt>
                <c:pt idx="367">
                  <c:v>45563</c:v>
                </c:pt>
                <c:pt idx="368">
                  <c:v>45564</c:v>
                </c:pt>
                <c:pt idx="369">
                  <c:v>45565</c:v>
                </c:pt>
                <c:pt idx="370">
                  <c:v>45566</c:v>
                </c:pt>
                <c:pt idx="371">
                  <c:v>45567</c:v>
                </c:pt>
                <c:pt idx="372">
                  <c:v>45568</c:v>
                </c:pt>
                <c:pt idx="373">
                  <c:v>45569</c:v>
                </c:pt>
                <c:pt idx="374">
                  <c:v>45570</c:v>
                </c:pt>
                <c:pt idx="375">
                  <c:v>45571</c:v>
                </c:pt>
                <c:pt idx="376">
                  <c:v>45572</c:v>
                </c:pt>
                <c:pt idx="377">
                  <c:v>45573</c:v>
                </c:pt>
                <c:pt idx="378">
                  <c:v>45574</c:v>
                </c:pt>
                <c:pt idx="379">
                  <c:v>45575</c:v>
                </c:pt>
                <c:pt idx="380">
                  <c:v>45576</c:v>
                </c:pt>
                <c:pt idx="381">
                  <c:v>45577</c:v>
                </c:pt>
                <c:pt idx="382">
                  <c:v>45578</c:v>
                </c:pt>
                <c:pt idx="383">
                  <c:v>45579</c:v>
                </c:pt>
                <c:pt idx="384">
                  <c:v>45580</c:v>
                </c:pt>
                <c:pt idx="385">
                  <c:v>45581</c:v>
                </c:pt>
                <c:pt idx="386">
                  <c:v>45582</c:v>
                </c:pt>
                <c:pt idx="387">
                  <c:v>45583</c:v>
                </c:pt>
                <c:pt idx="388">
                  <c:v>45584</c:v>
                </c:pt>
                <c:pt idx="389">
                  <c:v>45585</c:v>
                </c:pt>
                <c:pt idx="390">
                  <c:v>45586</c:v>
                </c:pt>
                <c:pt idx="391">
                  <c:v>45587</c:v>
                </c:pt>
                <c:pt idx="392">
                  <c:v>45588</c:v>
                </c:pt>
                <c:pt idx="393">
                  <c:v>45589</c:v>
                </c:pt>
                <c:pt idx="394">
                  <c:v>45590</c:v>
                </c:pt>
                <c:pt idx="395">
                  <c:v>45591</c:v>
                </c:pt>
                <c:pt idx="396">
                  <c:v>45592</c:v>
                </c:pt>
                <c:pt idx="397">
                  <c:v>45593</c:v>
                </c:pt>
                <c:pt idx="398">
                  <c:v>45594</c:v>
                </c:pt>
                <c:pt idx="399">
                  <c:v>45595</c:v>
                </c:pt>
                <c:pt idx="400">
                  <c:v>45596</c:v>
                </c:pt>
                <c:pt idx="401">
                  <c:v>45597</c:v>
                </c:pt>
                <c:pt idx="402">
                  <c:v>45598</c:v>
                </c:pt>
                <c:pt idx="403">
                  <c:v>45599</c:v>
                </c:pt>
                <c:pt idx="404">
                  <c:v>45600</c:v>
                </c:pt>
                <c:pt idx="405">
                  <c:v>45601</c:v>
                </c:pt>
                <c:pt idx="406">
                  <c:v>45602</c:v>
                </c:pt>
                <c:pt idx="407">
                  <c:v>45603</c:v>
                </c:pt>
                <c:pt idx="408">
                  <c:v>45604</c:v>
                </c:pt>
                <c:pt idx="409">
                  <c:v>45605</c:v>
                </c:pt>
                <c:pt idx="410">
                  <c:v>45606</c:v>
                </c:pt>
                <c:pt idx="411">
                  <c:v>45607</c:v>
                </c:pt>
                <c:pt idx="412">
                  <c:v>45608</c:v>
                </c:pt>
                <c:pt idx="413">
                  <c:v>45609</c:v>
                </c:pt>
                <c:pt idx="414">
                  <c:v>45610</c:v>
                </c:pt>
                <c:pt idx="415">
                  <c:v>45611</c:v>
                </c:pt>
                <c:pt idx="416">
                  <c:v>45612</c:v>
                </c:pt>
                <c:pt idx="417">
                  <c:v>45613</c:v>
                </c:pt>
                <c:pt idx="418">
                  <c:v>45614</c:v>
                </c:pt>
                <c:pt idx="419">
                  <c:v>45615</c:v>
                </c:pt>
                <c:pt idx="420">
                  <c:v>45616</c:v>
                </c:pt>
                <c:pt idx="421">
                  <c:v>45617</c:v>
                </c:pt>
                <c:pt idx="422">
                  <c:v>45618</c:v>
                </c:pt>
                <c:pt idx="423">
                  <c:v>45619</c:v>
                </c:pt>
                <c:pt idx="424">
                  <c:v>45620</c:v>
                </c:pt>
                <c:pt idx="425">
                  <c:v>45621</c:v>
                </c:pt>
                <c:pt idx="426">
                  <c:v>45622</c:v>
                </c:pt>
                <c:pt idx="427">
                  <c:v>45623</c:v>
                </c:pt>
                <c:pt idx="428">
                  <c:v>45624</c:v>
                </c:pt>
                <c:pt idx="429">
                  <c:v>45625</c:v>
                </c:pt>
                <c:pt idx="430">
                  <c:v>45626</c:v>
                </c:pt>
                <c:pt idx="431">
                  <c:v>45627</c:v>
                </c:pt>
                <c:pt idx="432">
                  <c:v>45628</c:v>
                </c:pt>
                <c:pt idx="433">
                  <c:v>45629</c:v>
                </c:pt>
                <c:pt idx="434">
                  <c:v>45630</c:v>
                </c:pt>
                <c:pt idx="435">
                  <c:v>45631</c:v>
                </c:pt>
                <c:pt idx="436">
                  <c:v>45632</c:v>
                </c:pt>
                <c:pt idx="437">
                  <c:v>45633</c:v>
                </c:pt>
                <c:pt idx="438">
                  <c:v>45634</c:v>
                </c:pt>
                <c:pt idx="439">
                  <c:v>45635</c:v>
                </c:pt>
                <c:pt idx="440">
                  <c:v>45636</c:v>
                </c:pt>
                <c:pt idx="441">
                  <c:v>45637</c:v>
                </c:pt>
                <c:pt idx="442">
                  <c:v>45638</c:v>
                </c:pt>
                <c:pt idx="443">
                  <c:v>45639</c:v>
                </c:pt>
                <c:pt idx="444">
                  <c:v>45640</c:v>
                </c:pt>
                <c:pt idx="445">
                  <c:v>45641</c:v>
                </c:pt>
                <c:pt idx="446">
                  <c:v>45642</c:v>
                </c:pt>
                <c:pt idx="447">
                  <c:v>45643</c:v>
                </c:pt>
                <c:pt idx="448">
                  <c:v>45644</c:v>
                </c:pt>
                <c:pt idx="449">
                  <c:v>45645</c:v>
                </c:pt>
                <c:pt idx="450">
                  <c:v>45646</c:v>
                </c:pt>
                <c:pt idx="451">
                  <c:v>45647</c:v>
                </c:pt>
                <c:pt idx="452">
                  <c:v>45648</c:v>
                </c:pt>
                <c:pt idx="453">
                  <c:v>45649</c:v>
                </c:pt>
                <c:pt idx="454">
                  <c:v>45650</c:v>
                </c:pt>
                <c:pt idx="455">
                  <c:v>45651</c:v>
                </c:pt>
                <c:pt idx="456">
                  <c:v>45652</c:v>
                </c:pt>
                <c:pt idx="457">
                  <c:v>45653</c:v>
                </c:pt>
                <c:pt idx="458">
                  <c:v>45654</c:v>
                </c:pt>
                <c:pt idx="459">
                  <c:v>45655</c:v>
                </c:pt>
                <c:pt idx="460">
                  <c:v>45656</c:v>
                </c:pt>
                <c:pt idx="461">
                  <c:v>45657</c:v>
                </c:pt>
                <c:pt idx="462">
                  <c:v>45658</c:v>
                </c:pt>
                <c:pt idx="463">
                  <c:v>45659</c:v>
                </c:pt>
                <c:pt idx="464">
                  <c:v>45660</c:v>
                </c:pt>
                <c:pt idx="465">
                  <c:v>45661</c:v>
                </c:pt>
                <c:pt idx="466">
                  <c:v>45662</c:v>
                </c:pt>
                <c:pt idx="467">
                  <c:v>45663</c:v>
                </c:pt>
                <c:pt idx="468">
                  <c:v>45664</c:v>
                </c:pt>
                <c:pt idx="469">
                  <c:v>45665</c:v>
                </c:pt>
                <c:pt idx="470">
                  <c:v>45666</c:v>
                </c:pt>
                <c:pt idx="471">
                  <c:v>45667</c:v>
                </c:pt>
                <c:pt idx="472">
                  <c:v>45668</c:v>
                </c:pt>
                <c:pt idx="473">
                  <c:v>45669</c:v>
                </c:pt>
                <c:pt idx="474">
                  <c:v>45670</c:v>
                </c:pt>
                <c:pt idx="475">
                  <c:v>45671</c:v>
                </c:pt>
                <c:pt idx="476">
                  <c:v>45672</c:v>
                </c:pt>
                <c:pt idx="477">
                  <c:v>45673</c:v>
                </c:pt>
                <c:pt idx="478">
                  <c:v>45674</c:v>
                </c:pt>
                <c:pt idx="479">
                  <c:v>45675</c:v>
                </c:pt>
                <c:pt idx="480">
                  <c:v>45676</c:v>
                </c:pt>
                <c:pt idx="481">
                  <c:v>45677</c:v>
                </c:pt>
                <c:pt idx="482">
                  <c:v>45678</c:v>
                </c:pt>
                <c:pt idx="483">
                  <c:v>45679</c:v>
                </c:pt>
                <c:pt idx="484">
                  <c:v>45680</c:v>
                </c:pt>
                <c:pt idx="485">
                  <c:v>45681</c:v>
                </c:pt>
                <c:pt idx="486">
                  <c:v>45682</c:v>
                </c:pt>
                <c:pt idx="487">
                  <c:v>45683</c:v>
                </c:pt>
                <c:pt idx="488">
                  <c:v>45684</c:v>
                </c:pt>
                <c:pt idx="489">
                  <c:v>45685</c:v>
                </c:pt>
                <c:pt idx="490">
                  <c:v>45686</c:v>
                </c:pt>
                <c:pt idx="491">
                  <c:v>45687</c:v>
                </c:pt>
                <c:pt idx="492">
                  <c:v>45688</c:v>
                </c:pt>
                <c:pt idx="493">
                  <c:v>45689</c:v>
                </c:pt>
                <c:pt idx="494">
                  <c:v>45690</c:v>
                </c:pt>
                <c:pt idx="495">
                  <c:v>45691</c:v>
                </c:pt>
                <c:pt idx="496">
                  <c:v>45692</c:v>
                </c:pt>
                <c:pt idx="497">
                  <c:v>45693</c:v>
                </c:pt>
                <c:pt idx="498">
                  <c:v>45694</c:v>
                </c:pt>
                <c:pt idx="499">
                  <c:v>45695</c:v>
                </c:pt>
                <c:pt idx="500">
                  <c:v>45696</c:v>
                </c:pt>
                <c:pt idx="501">
                  <c:v>45697</c:v>
                </c:pt>
                <c:pt idx="502">
                  <c:v>45698</c:v>
                </c:pt>
                <c:pt idx="503">
                  <c:v>45699</c:v>
                </c:pt>
                <c:pt idx="504">
                  <c:v>45700</c:v>
                </c:pt>
                <c:pt idx="505">
                  <c:v>45701</c:v>
                </c:pt>
                <c:pt idx="506">
                  <c:v>45702</c:v>
                </c:pt>
                <c:pt idx="507">
                  <c:v>45703</c:v>
                </c:pt>
                <c:pt idx="508">
                  <c:v>45704</c:v>
                </c:pt>
                <c:pt idx="509">
                  <c:v>45705</c:v>
                </c:pt>
                <c:pt idx="510">
                  <c:v>45706</c:v>
                </c:pt>
                <c:pt idx="511">
                  <c:v>45707</c:v>
                </c:pt>
                <c:pt idx="512">
                  <c:v>45708</c:v>
                </c:pt>
                <c:pt idx="513">
                  <c:v>45709</c:v>
                </c:pt>
                <c:pt idx="514">
                  <c:v>45710</c:v>
                </c:pt>
                <c:pt idx="515">
                  <c:v>45711</c:v>
                </c:pt>
                <c:pt idx="516">
                  <c:v>45712</c:v>
                </c:pt>
                <c:pt idx="517">
                  <c:v>45713</c:v>
                </c:pt>
                <c:pt idx="518">
                  <c:v>45714</c:v>
                </c:pt>
                <c:pt idx="519">
                  <c:v>45715</c:v>
                </c:pt>
                <c:pt idx="520">
                  <c:v>45716</c:v>
                </c:pt>
                <c:pt idx="521">
                  <c:v>45717</c:v>
                </c:pt>
                <c:pt idx="522">
                  <c:v>45718</c:v>
                </c:pt>
                <c:pt idx="523">
                  <c:v>45719</c:v>
                </c:pt>
                <c:pt idx="524">
                  <c:v>45720</c:v>
                </c:pt>
                <c:pt idx="525">
                  <c:v>45721</c:v>
                </c:pt>
                <c:pt idx="526">
                  <c:v>45722</c:v>
                </c:pt>
                <c:pt idx="527">
                  <c:v>45723</c:v>
                </c:pt>
                <c:pt idx="528">
                  <c:v>45724</c:v>
                </c:pt>
                <c:pt idx="529">
                  <c:v>45725</c:v>
                </c:pt>
                <c:pt idx="530">
                  <c:v>45726</c:v>
                </c:pt>
                <c:pt idx="531">
                  <c:v>45727</c:v>
                </c:pt>
                <c:pt idx="532">
                  <c:v>45728</c:v>
                </c:pt>
                <c:pt idx="533">
                  <c:v>45729</c:v>
                </c:pt>
                <c:pt idx="534">
                  <c:v>45730</c:v>
                </c:pt>
                <c:pt idx="535">
                  <c:v>45731</c:v>
                </c:pt>
                <c:pt idx="536">
                  <c:v>45732</c:v>
                </c:pt>
                <c:pt idx="537">
                  <c:v>45733</c:v>
                </c:pt>
                <c:pt idx="538">
                  <c:v>45734</c:v>
                </c:pt>
                <c:pt idx="539">
                  <c:v>45735</c:v>
                </c:pt>
                <c:pt idx="540">
                  <c:v>45736</c:v>
                </c:pt>
                <c:pt idx="541">
                  <c:v>45737</c:v>
                </c:pt>
                <c:pt idx="542">
                  <c:v>45738</c:v>
                </c:pt>
                <c:pt idx="543">
                  <c:v>45739</c:v>
                </c:pt>
                <c:pt idx="544">
                  <c:v>45740</c:v>
                </c:pt>
                <c:pt idx="545">
                  <c:v>45741</c:v>
                </c:pt>
                <c:pt idx="546">
                  <c:v>45742</c:v>
                </c:pt>
                <c:pt idx="547">
                  <c:v>45743</c:v>
                </c:pt>
                <c:pt idx="548">
                  <c:v>45744</c:v>
                </c:pt>
                <c:pt idx="549">
                  <c:v>45745</c:v>
                </c:pt>
                <c:pt idx="550">
                  <c:v>45746</c:v>
                </c:pt>
                <c:pt idx="551">
                  <c:v>45747</c:v>
                </c:pt>
                <c:pt idx="552">
                  <c:v>45748</c:v>
                </c:pt>
                <c:pt idx="553">
                  <c:v>45749</c:v>
                </c:pt>
                <c:pt idx="554">
                  <c:v>45750</c:v>
                </c:pt>
                <c:pt idx="555">
                  <c:v>45751</c:v>
                </c:pt>
                <c:pt idx="556">
                  <c:v>45752</c:v>
                </c:pt>
                <c:pt idx="557">
                  <c:v>45753</c:v>
                </c:pt>
                <c:pt idx="558">
                  <c:v>45754</c:v>
                </c:pt>
                <c:pt idx="559">
                  <c:v>45755</c:v>
                </c:pt>
              </c:numCache>
            </c:numRef>
          </c:cat>
          <c:val>
            <c:numRef>
              <c:f>'PMO REAL'!$F$59:$US$59</c:f>
              <c:numCache>
                <c:formatCode>#,##0</c:formatCode>
                <c:ptCount val="5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614-4E12-86AB-81DC96CFD3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8171808"/>
        <c:axId val="728162952"/>
      </c:lineChart>
      <c:dateAx>
        <c:axId val="728171808"/>
        <c:scaling>
          <c:orientation val="minMax"/>
          <c:max val="45016"/>
          <c:min val="44823"/>
        </c:scaling>
        <c:delete val="0"/>
        <c:axPos val="b"/>
        <c:numFmt formatCode="m/d/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28162952"/>
        <c:crosses val="autoZero"/>
        <c:auto val="0"/>
        <c:lblOffset val="100"/>
        <c:baseTimeUnit val="days"/>
        <c:majorUnit val="7"/>
        <c:majorTimeUnit val="days"/>
      </c:dateAx>
      <c:valAx>
        <c:axId val="728162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28171808"/>
        <c:crosses val="autoZero"/>
        <c:crossBetween val="between"/>
      </c:valAx>
      <c:spPr>
        <a:noFill/>
        <a:ln>
          <a:noFill/>
        </a:ln>
        <a:effectLst/>
      </c:spPr>
      <c:extLst/>
    </c:plotArea>
    <c:legend>
      <c:legendPos val="b"/>
      <c:layout>
        <c:manualLayout>
          <c:xMode val="edge"/>
          <c:yMode val="edge"/>
          <c:x val="0.23279883974430032"/>
          <c:y val="9.7184027777777765E-2"/>
          <c:w val="0.53189498193357077"/>
          <c:h val="5.01631944444444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chemeClr val="bg1">
            <a:lumMod val="65000"/>
          </a:schemeClr>
        </a:gs>
        <a:gs pos="12000">
          <a:srgbClr val="E6E6E6"/>
        </a:gs>
        <a:gs pos="18000">
          <a:srgbClr val="EBEBEB"/>
        </a:gs>
        <a:gs pos="100000">
          <a:srgbClr val="E6E6E6"/>
        </a:gs>
      </a:gsLst>
      <a:lin ang="0" scaled="0"/>
    </a:gra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1868128654970767E-2"/>
          <c:y val="0.16428382619384169"/>
          <c:w val="0.91273865920183761"/>
          <c:h val="0.6747408469191041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'PMO PREV'!$C$12</c:f>
              <c:strCache>
                <c:ptCount val="1"/>
                <c:pt idx="0">
                  <c:v>INDIRETA PREVISTA</c:v>
                </c:pt>
              </c:strCache>
            </c:strRef>
          </c:tx>
          <c:spPr>
            <a:solidFill>
              <a:srgbClr val="0D1A43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shade val="95000"/>
                          <a:satMod val="10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'PMO PREV'!$F$11:$BH$11</c15:sqref>
                  </c15:fullRef>
                </c:ext>
              </c:extLst>
              <c:f>('PMO PREV'!$F$11:$S$11,'PMO PREV'!$AH$11:$BH$11)</c:f>
              <c:numCache>
                <c:formatCode>General</c:formatCode>
                <c:ptCount val="4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29</c:v>
                </c:pt>
                <c:pt idx="15">
                  <c:v>30</c:v>
                </c:pt>
                <c:pt idx="16">
                  <c:v>31</c:v>
                </c:pt>
                <c:pt idx="17">
                  <c:v>32</c:v>
                </c:pt>
                <c:pt idx="18">
                  <c:v>33</c:v>
                </c:pt>
                <c:pt idx="19">
                  <c:v>34</c:v>
                </c:pt>
                <c:pt idx="20">
                  <c:v>35</c:v>
                </c:pt>
                <c:pt idx="21">
                  <c:v>36</c:v>
                </c:pt>
                <c:pt idx="22">
                  <c:v>37</c:v>
                </c:pt>
                <c:pt idx="23">
                  <c:v>38</c:v>
                </c:pt>
                <c:pt idx="24">
                  <c:v>39</c:v>
                </c:pt>
                <c:pt idx="25">
                  <c:v>40</c:v>
                </c:pt>
                <c:pt idx="26">
                  <c:v>41</c:v>
                </c:pt>
                <c:pt idx="27">
                  <c:v>42</c:v>
                </c:pt>
                <c:pt idx="28">
                  <c:v>43</c:v>
                </c:pt>
                <c:pt idx="29">
                  <c:v>44</c:v>
                </c:pt>
                <c:pt idx="30">
                  <c:v>45</c:v>
                </c:pt>
                <c:pt idx="31">
                  <c:v>46</c:v>
                </c:pt>
                <c:pt idx="32">
                  <c:v>47</c:v>
                </c:pt>
                <c:pt idx="33">
                  <c:v>48</c:v>
                </c:pt>
                <c:pt idx="34">
                  <c:v>49</c:v>
                </c:pt>
                <c:pt idx="35">
                  <c:v>50</c:v>
                </c:pt>
                <c:pt idx="36">
                  <c:v>51</c:v>
                </c:pt>
                <c:pt idx="37">
                  <c:v>52</c:v>
                </c:pt>
                <c:pt idx="38">
                  <c:v>53</c:v>
                </c:pt>
                <c:pt idx="39">
                  <c:v>54</c:v>
                </c:pt>
                <c:pt idx="40">
                  <c:v>55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'PMO PREV'!$F$50:$AG$50</c15:sqref>
                  </c15:fullRef>
                </c:ext>
              </c:extLst>
              <c:f>'PMO PREV'!$F$50:$S$50</c:f>
              <c:numCache>
                <c:formatCode>0</c:formatCode>
                <c:ptCount val="1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79-4874-BD32-9F64358A6CE2}"/>
            </c:ext>
          </c:extLst>
        </c:ser>
        <c:ser>
          <c:idx val="1"/>
          <c:order val="1"/>
          <c:tx>
            <c:strRef>
              <c:f>'PMO PREV'!$C$19</c:f>
              <c:strCache>
                <c:ptCount val="1"/>
                <c:pt idx="0">
                  <c:v>DIRETA PREVISTA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6350" cap="flat" cmpd="sng" algn="ctr">
                      <a:solidFill>
                        <a:schemeClr val="tx1"/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'PMO PREV'!$F$11:$BH$11</c15:sqref>
                  </c15:fullRef>
                </c:ext>
              </c:extLst>
              <c:f>('PMO PREV'!$F$11:$S$11,'PMO PREV'!$AH$11:$BH$11)</c:f>
              <c:numCache>
                <c:formatCode>General</c:formatCode>
                <c:ptCount val="4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29</c:v>
                </c:pt>
                <c:pt idx="15">
                  <c:v>30</c:v>
                </c:pt>
                <c:pt idx="16">
                  <c:v>31</c:v>
                </c:pt>
                <c:pt idx="17">
                  <c:v>32</c:v>
                </c:pt>
                <c:pt idx="18">
                  <c:v>33</c:v>
                </c:pt>
                <c:pt idx="19">
                  <c:v>34</c:v>
                </c:pt>
                <c:pt idx="20">
                  <c:v>35</c:v>
                </c:pt>
                <c:pt idx="21">
                  <c:v>36</c:v>
                </c:pt>
                <c:pt idx="22">
                  <c:v>37</c:v>
                </c:pt>
                <c:pt idx="23">
                  <c:v>38</c:v>
                </c:pt>
                <c:pt idx="24">
                  <c:v>39</c:v>
                </c:pt>
                <c:pt idx="25">
                  <c:v>40</c:v>
                </c:pt>
                <c:pt idx="26">
                  <c:v>41</c:v>
                </c:pt>
                <c:pt idx="27">
                  <c:v>42</c:v>
                </c:pt>
                <c:pt idx="28">
                  <c:v>43</c:v>
                </c:pt>
                <c:pt idx="29">
                  <c:v>44</c:v>
                </c:pt>
                <c:pt idx="30">
                  <c:v>45</c:v>
                </c:pt>
                <c:pt idx="31">
                  <c:v>46</c:v>
                </c:pt>
                <c:pt idx="32">
                  <c:v>47</c:v>
                </c:pt>
                <c:pt idx="33">
                  <c:v>48</c:v>
                </c:pt>
                <c:pt idx="34">
                  <c:v>49</c:v>
                </c:pt>
                <c:pt idx="35">
                  <c:v>50</c:v>
                </c:pt>
                <c:pt idx="36">
                  <c:v>51</c:v>
                </c:pt>
                <c:pt idx="37">
                  <c:v>52</c:v>
                </c:pt>
                <c:pt idx="38">
                  <c:v>53</c:v>
                </c:pt>
                <c:pt idx="39">
                  <c:v>54</c:v>
                </c:pt>
                <c:pt idx="40">
                  <c:v>55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'PMO PREV'!$F$51:$AG$51</c15:sqref>
                  </c15:fullRef>
                </c:ext>
              </c:extLst>
              <c:f>'PMO PREV'!$F$51:$S$51</c:f>
              <c:numCache>
                <c:formatCode>0</c:formatCode>
                <c:ptCount val="14"/>
                <c:pt idx="0">
                  <c:v>2.1818181818181817</c:v>
                </c:pt>
                <c:pt idx="1">
                  <c:v>1.5909090909090911</c:v>
                </c:pt>
                <c:pt idx="2">
                  <c:v>1</c:v>
                </c:pt>
                <c:pt idx="3">
                  <c:v>5.7500000000000009</c:v>
                </c:pt>
                <c:pt idx="4">
                  <c:v>10.03409090909091</c:v>
                </c:pt>
                <c:pt idx="5">
                  <c:v>12.068181818181818</c:v>
                </c:pt>
                <c:pt idx="6">
                  <c:v>8.0795454545454533</c:v>
                </c:pt>
                <c:pt idx="7">
                  <c:v>9.9090909090909083</c:v>
                </c:pt>
                <c:pt idx="8">
                  <c:v>9.25</c:v>
                </c:pt>
                <c:pt idx="9">
                  <c:v>12.545454545454545</c:v>
                </c:pt>
                <c:pt idx="10">
                  <c:v>10.670454545454547</c:v>
                </c:pt>
                <c:pt idx="11">
                  <c:v>7.7045454545454541</c:v>
                </c:pt>
                <c:pt idx="12">
                  <c:v>3.3409090909090908</c:v>
                </c:pt>
                <c:pt idx="13">
                  <c:v>0.68181818181818188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79-4874-BD32-9F64358A6C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0"/>
        <c:axId val="642549736"/>
        <c:axId val="642550128"/>
      </c:barChart>
      <c:lineChart>
        <c:grouping val="standard"/>
        <c:varyColors val="0"/>
        <c:ser>
          <c:idx val="2"/>
          <c:order val="2"/>
          <c:tx>
            <c:strRef>
              <c:f>'PMO PREV'!$C$52</c:f>
              <c:strCache>
                <c:ptCount val="1"/>
                <c:pt idx="0">
                  <c:v>TOTAL PREVISTA</c:v>
                </c:pt>
              </c:strCache>
            </c:strRef>
          </c:tx>
          <c:spPr>
            <a:ln w="19050" cap="rnd" cmpd="sng" algn="ctr">
              <a:solidFill>
                <a:srgbClr val="0000FF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'PMO PREV'!$F$11:$CG$11</c15:sqref>
                  </c15:fullRef>
                </c:ext>
              </c:extLst>
              <c:f>('PMO PREV'!$F$11:$S$11,'PMO PREV'!$AH$11:$CG$11)</c:f>
              <c:numCache>
                <c:formatCode>General</c:formatCode>
                <c:ptCount val="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29</c:v>
                </c:pt>
                <c:pt idx="15">
                  <c:v>30</c:v>
                </c:pt>
                <c:pt idx="16">
                  <c:v>31</c:v>
                </c:pt>
                <c:pt idx="17">
                  <c:v>32</c:v>
                </c:pt>
                <c:pt idx="18">
                  <c:v>33</c:v>
                </c:pt>
                <c:pt idx="19">
                  <c:v>34</c:v>
                </c:pt>
                <c:pt idx="20">
                  <c:v>35</c:v>
                </c:pt>
                <c:pt idx="21">
                  <c:v>36</c:v>
                </c:pt>
                <c:pt idx="22">
                  <c:v>37</c:v>
                </c:pt>
                <c:pt idx="23">
                  <c:v>38</c:v>
                </c:pt>
                <c:pt idx="24">
                  <c:v>39</c:v>
                </c:pt>
                <c:pt idx="25">
                  <c:v>40</c:v>
                </c:pt>
                <c:pt idx="26">
                  <c:v>41</c:v>
                </c:pt>
                <c:pt idx="27">
                  <c:v>42</c:v>
                </c:pt>
                <c:pt idx="28">
                  <c:v>43</c:v>
                </c:pt>
                <c:pt idx="29">
                  <c:v>44</c:v>
                </c:pt>
                <c:pt idx="30">
                  <c:v>45</c:v>
                </c:pt>
                <c:pt idx="31">
                  <c:v>46</c:v>
                </c:pt>
                <c:pt idx="32">
                  <c:v>47</c:v>
                </c:pt>
                <c:pt idx="33">
                  <c:v>48</c:v>
                </c:pt>
                <c:pt idx="34">
                  <c:v>49</c:v>
                </c:pt>
                <c:pt idx="35">
                  <c:v>50</c:v>
                </c:pt>
                <c:pt idx="36">
                  <c:v>51</c:v>
                </c:pt>
                <c:pt idx="37">
                  <c:v>52</c:v>
                </c:pt>
                <c:pt idx="38">
                  <c:v>53</c:v>
                </c:pt>
                <c:pt idx="39">
                  <c:v>54</c:v>
                </c:pt>
                <c:pt idx="40">
                  <c:v>55</c:v>
                </c:pt>
                <c:pt idx="41">
                  <c:v>56</c:v>
                </c:pt>
                <c:pt idx="42">
                  <c:v>57</c:v>
                </c:pt>
                <c:pt idx="43">
                  <c:v>58</c:v>
                </c:pt>
                <c:pt idx="44">
                  <c:v>59</c:v>
                </c:pt>
                <c:pt idx="45">
                  <c:v>60</c:v>
                </c:pt>
                <c:pt idx="46">
                  <c:v>61</c:v>
                </c:pt>
                <c:pt idx="47">
                  <c:v>62</c:v>
                </c:pt>
                <c:pt idx="48">
                  <c:v>63</c:v>
                </c:pt>
                <c:pt idx="49">
                  <c:v>64</c:v>
                </c:pt>
                <c:pt idx="50">
                  <c:v>65</c:v>
                </c:pt>
                <c:pt idx="51">
                  <c:v>66</c:v>
                </c:pt>
                <c:pt idx="52">
                  <c:v>67</c:v>
                </c:pt>
                <c:pt idx="53">
                  <c:v>68</c:v>
                </c:pt>
                <c:pt idx="54">
                  <c:v>69</c:v>
                </c:pt>
                <c:pt idx="55">
                  <c:v>70</c:v>
                </c:pt>
                <c:pt idx="56">
                  <c:v>71</c:v>
                </c:pt>
                <c:pt idx="57">
                  <c:v>72</c:v>
                </c:pt>
                <c:pt idx="58">
                  <c:v>73</c:v>
                </c:pt>
                <c:pt idx="59">
                  <c:v>74</c:v>
                </c:pt>
                <c:pt idx="60">
                  <c:v>75</c:v>
                </c:pt>
                <c:pt idx="61">
                  <c:v>76</c:v>
                </c:pt>
                <c:pt idx="62">
                  <c:v>77</c:v>
                </c:pt>
                <c:pt idx="63">
                  <c:v>78</c:v>
                </c:pt>
                <c:pt idx="64">
                  <c:v>79</c:v>
                </c:pt>
                <c:pt idx="65">
                  <c:v>80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'PMO PREV'!$F$52:$AG$52</c15:sqref>
                  </c15:fullRef>
                </c:ext>
              </c:extLst>
              <c:f>'PMO PREV'!$F$52:$S$52</c:f>
              <c:numCache>
                <c:formatCode>0</c:formatCode>
                <c:ptCount val="14"/>
                <c:pt idx="0">
                  <c:v>3.1818181818181817</c:v>
                </c:pt>
                <c:pt idx="1">
                  <c:v>2.5909090909090908</c:v>
                </c:pt>
                <c:pt idx="2">
                  <c:v>2</c:v>
                </c:pt>
                <c:pt idx="3" formatCode="General">
                  <c:v>6.7500000000000009</c:v>
                </c:pt>
                <c:pt idx="4" formatCode="General">
                  <c:v>11.03409090909091</c:v>
                </c:pt>
                <c:pt idx="5" formatCode="General">
                  <c:v>13.068181818181818</c:v>
                </c:pt>
                <c:pt idx="6" formatCode="General">
                  <c:v>9.0795454545454533</c:v>
                </c:pt>
                <c:pt idx="7" formatCode="General">
                  <c:v>10.909090909090908</c:v>
                </c:pt>
                <c:pt idx="8" formatCode="General">
                  <c:v>10.25</c:v>
                </c:pt>
                <c:pt idx="9" formatCode="General">
                  <c:v>13.545454545454545</c:v>
                </c:pt>
                <c:pt idx="10" formatCode="General">
                  <c:v>11.670454545454547</c:v>
                </c:pt>
                <c:pt idx="11" formatCode="General">
                  <c:v>8.7045454545454533</c:v>
                </c:pt>
                <c:pt idx="12" formatCode="General">
                  <c:v>4.3409090909090908</c:v>
                </c:pt>
                <c:pt idx="13" formatCode="General">
                  <c:v>1.6818181818181819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0779-4874-BD32-9F64358A6CE2}"/>
            </c:ext>
          </c:extLst>
        </c:ser>
        <c:ser>
          <c:idx val="3"/>
          <c:order val="3"/>
          <c:tx>
            <c:strRef>
              <c:f>'PMO PREV'!$C$105</c:f>
              <c:strCache>
                <c:ptCount val="1"/>
                <c:pt idx="0">
                  <c:v>TOTAL REAL</c:v>
                </c:pt>
              </c:strCache>
            </c:strRef>
          </c:tx>
          <c:spPr>
            <a:ln w="19050" cap="rnd" cmpd="sng" algn="ctr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'PMO PREV'!$F$11:$CG$11</c15:sqref>
                  </c15:fullRef>
                </c:ext>
              </c:extLst>
              <c:f>('PMO PREV'!$F$11:$S$11,'PMO PREV'!$AH$11:$CG$11)</c:f>
              <c:numCache>
                <c:formatCode>General</c:formatCode>
                <c:ptCount val="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'PMO PREV'!$F$105:$J$105</c15:sqref>
                  </c15:fullRef>
                </c:ext>
              </c:extLst>
              <c:f>'PMO PREV'!$F$105:$J$105</c:f>
              <c:numCache>
                <c:formatCode>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C-0779-4874-BD32-9F64358A6C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2549736"/>
        <c:axId val="642550128"/>
      </c:lineChart>
      <c:dateAx>
        <c:axId val="64254973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tint val="5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SEMANAS DA OBRA</a:t>
                </a:r>
              </a:p>
            </c:rich>
          </c:tx>
          <c:layout>
            <c:manualLayout>
              <c:xMode val="edge"/>
              <c:yMode val="edge"/>
              <c:x val="0.44315982082021055"/>
              <c:y val="0.924367786268362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0"/>
        <c:majorTickMark val="in"/>
        <c:minorTickMark val="none"/>
        <c:tickLblPos val="low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5400000" spcFirstLastPara="1" vertOverflow="ellipsis" wrap="square" anchor="t" anchorCtr="0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42550128"/>
        <c:crosses val="autoZero"/>
        <c:auto val="0"/>
        <c:lblOffset val="100"/>
        <c:baseTimeUnit val="days"/>
        <c:majorUnit val="1"/>
        <c:majorTimeUnit val="days"/>
        <c:minorUnit val="4"/>
        <c:minorTimeUnit val="days"/>
      </c:dateAx>
      <c:valAx>
        <c:axId val="642550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42549736"/>
        <c:crosses val="autoZero"/>
        <c:crossBetween val="between"/>
      </c:valAx>
      <c:spPr>
        <a:noFill/>
        <a:ln>
          <a:solidFill>
            <a:schemeClr val="tx1">
              <a:lumMod val="50000"/>
              <a:lumOff val="50000"/>
            </a:schemeClr>
          </a:solidFill>
        </a:ln>
        <a:effectLst/>
      </c:spPr>
    </c:plotArea>
    <c:legend>
      <c:legendPos val="r"/>
      <c:layout>
        <c:manualLayout>
          <c:xMode val="edge"/>
          <c:yMode val="edge"/>
          <c:x val="0.20480880347401664"/>
          <c:y val="9.4035555555555553E-2"/>
          <c:w val="0.58963483347688783"/>
          <c:h val="5.64813084497840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>
      <a:gsLst>
        <a:gs pos="2500">
          <a:srgbClr val="9A9A9A"/>
        </a:gs>
        <a:gs pos="0">
          <a:schemeClr val="bg1">
            <a:lumMod val="65000"/>
          </a:schemeClr>
        </a:gs>
        <a:gs pos="10000">
          <a:srgbClr val="EBEBEB"/>
        </a:gs>
        <a:gs pos="18000">
          <a:srgbClr val="E6E6E6"/>
        </a:gs>
        <a:gs pos="100000">
          <a:srgbClr val="E6E6E6"/>
        </a:gs>
      </a:gsLst>
      <a:lin ang="0" scaled="0"/>
    </a:gradFill>
    <a:ln w="9525" cap="flat" cmpd="sng" algn="ctr">
      <a:solidFill>
        <a:schemeClr val="tx1"/>
      </a:solidFill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113" footer="0.3149606200000011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0"/>
      <c:rotY val="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solidFill>
            <a:schemeClr val="bg1">
              <a:lumMod val="65000"/>
            </a:schemeClr>
          </a:solidFill>
        </a:ln>
        <a:effectLst/>
        <a:sp3d>
          <a:contourClr>
            <a:schemeClr val="bg1">
              <a:lumMod val="65000"/>
            </a:schemeClr>
          </a:contourClr>
        </a:sp3d>
      </c:spPr>
    </c:sideWall>
    <c:backWall>
      <c:thickness val="0"/>
      <c:spPr>
        <a:noFill/>
        <a:ln>
          <a:solidFill>
            <a:schemeClr val="bg1">
              <a:lumMod val="65000"/>
            </a:schemeClr>
          </a:solidFill>
        </a:ln>
        <a:effectLst/>
        <a:sp3d>
          <a:contourClr>
            <a:schemeClr val="bg1">
              <a:lumMod val="65000"/>
            </a:schemeClr>
          </a:contourClr>
        </a:sp3d>
      </c:spPr>
    </c:backWall>
    <c:plotArea>
      <c:layout>
        <c:manualLayout>
          <c:layoutTarget val="inner"/>
          <c:xMode val="edge"/>
          <c:yMode val="edge"/>
          <c:x val="7.3901249580526324E-2"/>
          <c:y val="0.21455094765820773"/>
          <c:w val="0.91149965355227225"/>
          <c:h val="0.45588820014519454"/>
        </c:manualLayout>
      </c:layout>
      <c:bar3DChart>
        <c:barDir val="col"/>
        <c:grouping val="clustered"/>
        <c:varyColors val="0"/>
        <c:ser>
          <c:idx val="1"/>
          <c:order val="0"/>
          <c:tx>
            <c:strRef>
              <c:f>DADOS!$B$4</c:f>
              <c:strCache>
                <c:ptCount val="1"/>
                <c:pt idx="0">
                  <c:v>% PREVISTO</c:v>
                </c:pt>
              </c:strCache>
            </c:strRef>
          </c:tx>
          <c:spPr>
            <a:solidFill>
              <a:srgbClr val="FFC000"/>
            </a:solidFill>
            <a:ln>
              <a:solidFill>
                <a:schemeClr val="tx1"/>
              </a:solidFill>
            </a:ln>
            <a:effectLst/>
            <a:sp3d>
              <a:contourClr>
                <a:schemeClr val="tx1"/>
              </a:contourClr>
            </a:sp3d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lIns="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DADOS!$C$23:$C$37</c:f>
              <c:strCache>
                <c:ptCount val="15"/>
                <c:pt idx="0">
                  <c:v>   6º PAVIMENTO:</c:v>
                </c:pt>
                <c:pt idx="1">
                  <c:v>      ESGOTO:</c:v>
                </c:pt>
                <c:pt idx="2">
                  <c:v>      ÁGUA FRIA: </c:v>
                </c:pt>
                <c:pt idx="3">
                  <c:v>      ÁGUA QUENTE:</c:v>
                </c:pt>
                <c:pt idx="4">
                  <c:v>      AR CONDICIONADO:</c:v>
                </c:pt>
                <c:pt idx="5">
                  <c:v>      ELÉTRICA:</c:v>
                </c:pt>
                <c:pt idx="6">
                  <c:v>      TEL, CFTV E DADOS:</c:v>
                </c:pt>
                <c:pt idx="7">
                  <c:v>      PCI:</c:v>
                </c:pt>
                <c:pt idx="8">
                  <c:v>      IMPERMEAB.:</c:v>
                </c:pt>
                <c:pt idx="9">
                  <c:v>      REVEST. MASSA:</c:v>
                </c:pt>
                <c:pt idx="10">
                  <c:v>      REVEST. CERÂMICO:</c:v>
                </c:pt>
                <c:pt idx="11">
                  <c:v>      FORRO:</c:v>
                </c:pt>
                <c:pt idx="12">
                  <c:v>      ESQUADRIAS:</c:v>
                </c:pt>
                <c:pt idx="13">
                  <c:v>      PINTURA INTERNA:</c:v>
                </c:pt>
                <c:pt idx="14">
                  <c:v>      LOUÇAS:</c:v>
                </c:pt>
              </c:strCache>
            </c:strRef>
          </c:cat>
          <c:val>
            <c:numRef>
              <c:f>DADOS!$B$23:$B$37</c:f>
              <c:numCache>
                <c:formatCode>0.0%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FA-48D6-B924-818693A104C6}"/>
            </c:ext>
          </c:extLst>
        </c:ser>
        <c:ser>
          <c:idx val="0"/>
          <c:order val="1"/>
          <c:tx>
            <c:strRef>
              <c:f>DADOS!$A$4</c:f>
              <c:strCache>
                <c:ptCount val="1"/>
                <c:pt idx="0">
                  <c:v>% REALIZADO</c:v>
                </c:pt>
              </c:strCache>
            </c:strRef>
          </c:tx>
          <c:spPr>
            <a:solidFill>
              <a:srgbClr val="0D1A43"/>
            </a:solidFill>
            <a:ln>
              <a:solidFill>
                <a:schemeClr val="tx1"/>
              </a:solidFill>
            </a:ln>
            <a:effectLst/>
            <a:sp3d>
              <a:contourClr>
                <a:schemeClr val="tx1"/>
              </a:contourClr>
            </a:sp3d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lIns="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DADOS!$C$23:$C$37</c:f>
              <c:strCache>
                <c:ptCount val="15"/>
                <c:pt idx="0">
                  <c:v>   6º PAVIMENTO:</c:v>
                </c:pt>
                <c:pt idx="1">
                  <c:v>      ESGOTO:</c:v>
                </c:pt>
                <c:pt idx="2">
                  <c:v>      ÁGUA FRIA: </c:v>
                </c:pt>
                <c:pt idx="3">
                  <c:v>      ÁGUA QUENTE:</c:v>
                </c:pt>
                <c:pt idx="4">
                  <c:v>      AR CONDICIONADO:</c:v>
                </c:pt>
                <c:pt idx="5">
                  <c:v>      ELÉTRICA:</c:v>
                </c:pt>
                <c:pt idx="6">
                  <c:v>      TEL, CFTV E DADOS:</c:v>
                </c:pt>
                <c:pt idx="7">
                  <c:v>      PCI:</c:v>
                </c:pt>
                <c:pt idx="8">
                  <c:v>      IMPERMEAB.:</c:v>
                </c:pt>
                <c:pt idx="9">
                  <c:v>      REVEST. MASSA:</c:v>
                </c:pt>
                <c:pt idx="10">
                  <c:v>      REVEST. CERÂMICO:</c:v>
                </c:pt>
                <c:pt idx="11">
                  <c:v>      FORRO:</c:v>
                </c:pt>
                <c:pt idx="12">
                  <c:v>      ESQUADRIAS:</c:v>
                </c:pt>
                <c:pt idx="13">
                  <c:v>      PINTURA INTERNA:</c:v>
                </c:pt>
                <c:pt idx="14">
                  <c:v>      LOUÇAS:</c:v>
                </c:pt>
              </c:strCache>
            </c:strRef>
          </c:cat>
          <c:val>
            <c:numRef>
              <c:f>DADOS!$A$23:$A$37</c:f>
              <c:numCache>
                <c:formatCode>0.0%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FA-48D6-B924-818693A104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54596656"/>
        <c:axId val="554596984"/>
        <c:axId val="0"/>
      </c:bar3DChart>
      <c:catAx>
        <c:axId val="554596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280000" spcFirstLastPara="1" vertOverflow="ellipsis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54596984"/>
        <c:crosses val="autoZero"/>
        <c:auto val="1"/>
        <c:lblAlgn val="ctr"/>
        <c:lblOffset val="100"/>
        <c:noMultiLvlLbl val="0"/>
      </c:catAx>
      <c:valAx>
        <c:axId val="554596984"/>
        <c:scaling>
          <c:orientation val="minMax"/>
          <c:max val="1.1000000000000001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54596656"/>
        <c:crosses val="autoZero"/>
        <c:crossBetween val="between"/>
      </c:valAx>
      <c:spPr>
        <a:noFill/>
        <a:ln w="12700">
          <a:noFill/>
        </a:ln>
        <a:effectLst/>
      </c:spPr>
    </c:plotArea>
    <c:legend>
      <c:legendPos val="b"/>
      <c:layout>
        <c:manualLayout>
          <c:xMode val="edge"/>
          <c:yMode val="edge"/>
          <c:x val="0.40236174612533615"/>
          <c:y val="7.941792929292929E-2"/>
          <c:w val="0.20197353754707092"/>
          <c:h val="5.4623267632947149E-2"/>
        </c:manualLayout>
      </c:layout>
      <c:overlay val="0"/>
      <c:spPr>
        <a:ln w="635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chemeClr val="bg1">
            <a:lumMod val="65000"/>
          </a:schemeClr>
        </a:gs>
        <a:gs pos="12000">
          <a:srgbClr val="E6E6E6"/>
        </a:gs>
        <a:gs pos="18000">
          <a:srgbClr val="EBEBEB"/>
        </a:gs>
        <a:gs pos="100000">
          <a:srgbClr val="E6E6E6"/>
        </a:gs>
      </a:gsLst>
      <a:lin ang="0" scaled="0"/>
    </a:gradFill>
    <a:ln w="12700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8" orientation="portrait"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0"/>
      <c:rotY val="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solidFill>
            <a:schemeClr val="bg1">
              <a:lumMod val="65000"/>
            </a:schemeClr>
          </a:solidFill>
        </a:ln>
        <a:effectLst/>
        <a:sp3d>
          <a:contourClr>
            <a:schemeClr val="bg1">
              <a:lumMod val="65000"/>
            </a:schemeClr>
          </a:contourClr>
        </a:sp3d>
      </c:spPr>
    </c:sideWall>
    <c:backWall>
      <c:thickness val="0"/>
      <c:spPr>
        <a:noFill/>
        <a:ln>
          <a:solidFill>
            <a:schemeClr val="bg1">
              <a:lumMod val="65000"/>
            </a:schemeClr>
          </a:solidFill>
        </a:ln>
        <a:effectLst/>
        <a:sp3d>
          <a:contourClr>
            <a:schemeClr val="bg1">
              <a:lumMod val="65000"/>
            </a:schemeClr>
          </a:contourClr>
        </a:sp3d>
      </c:spPr>
    </c:backWall>
    <c:plotArea>
      <c:layout>
        <c:manualLayout>
          <c:layoutTarget val="inner"/>
          <c:xMode val="edge"/>
          <c:yMode val="edge"/>
          <c:x val="7.3901249580526324E-2"/>
          <c:y val="0.16587141979196879"/>
          <c:w val="0.91149965355227225"/>
          <c:h val="0.67718450542409825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DADOS!$A$4</c:f>
              <c:strCache>
                <c:ptCount val="1"/>
                <c:pt idx="0">
                  <c:v>% REALIZADO</c:v>
                </c:pt>
              </c:strCache>
            </c:strRef>
          </c:tx>
          <c:spPr>
            <a:solidFill>
              <a:srgbClr val="0D1A43"/>
            </a:solidFill>
            <a:ln>
              <a:solidFill>
                <a:srgbClr val="0D1A43"/>
              </a:solidFill>
            </a:ln>
          </c:spPr>
          <c:invertIfNegative val="0"/>
          <c:cat>
            <c:strRef>
              <c:f>DADOS!$C$211:$C$216</c:f>
              <c:strCache>
                <c:ptCount val="6"/>
                <c:pt idx="0">
                  <c:v>   5º PAVIMENTO:</c:v>
                </c:pt>
                <c:pt idx="1">
                  <c:v>   6º PAVIMENTO:</c:v>
                </c:pt>
                <c:pt idx="2">
                  <c:v>   7º PAVIMENTO:</c:v>
                </c:pt>
                <c:pt idx="3">
                  <c:v>   8º PAVIMENTO:</c:v>
                </c:pt>
                <c:pt idx="4">
                  <c:v>   9º PAVIMENTO:</c:v>
                </c:pt>
                <c:pt idx="5">
                  <c:v>   10º PAVIMENTO:</c:v>
                </c:pt>
              </c:strCache>
            </c:strRef>
          </c:cat>
          <c:val>
            <c:numRef>
              <c:f>DADOS!$D$211:$D$216</c:f>
              <c:numCache>
                <c:formatCode>0.0%</c:formatCode>
                <c:ptCount val="6"/>
                <c:pt idx="0">
                  <c:v>0.02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D0-4E2C-A00F-727A0017DEF0}"/>
            </c:ext>
          </c:extLst>
        </c:ser>
        <c:ser>
          <c:idx val="1"/>
          <c:order val="1"/>
          <c:tx>
            <c:strRef>
              <c:f>DADOS!$B$4</c:f>
              <c:strCache>
                <c:ptCount val="1"/>
                <c:pt idx="0">
                  <c:v>% PREVISTO</c:v>
                </c:pt>
              </c:strCache>
            </c:strRef>
          </c:tx>
          <c:spPr>
            <a:solidFill>
              <a:srgbClr val="FFC000"/>
            </a:solidFill>
            <a:ln>
              <a:solidFill>
                <a:srgbClr val="0D1A43"/>
              </a:solidFill>
            </a:ln>
          </c:spPr>
          <c:invertIfNegative val="0"/>
          <c:val>
            <c:numRef>
              <c:f>DADOS!$E$211:$E$216</c:f>
              <c:numCache>
                <c:formatCode>0.0%</c:formatCode>
                <c:ptCount val="6"/>
                <c:pt idx="0">
                  <c:v>0.05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8D0-4E2C-A00F-727A0017DE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54596656"/>
        <c:axId val="554596984"/>
        <c:axId val="0"/>
      </c:bar3DChart>
      <c:catAx>
        <c:axId val="554596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54596984"/>
        <c:crosses val="autoZero"/>
        <c:auto val="1"/>
        <c:lblAlgn val="ctr"/>
        <c:lblOffset val="100"/>
        <c:noMultiLvlLbl val="0"/>
      </c:catAx>
      <c:valAx>
        <c:axId val="554596984"/>
        <c:scaling>
          <c:orientation val="minMax"/>
          <c:max val="1.1000000000000001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54596656"/>
        <c:crosses val="autoZero"/>
        <c:crossBetween val="between"/>
      </c:valAx>
      <c:spPr>
        <a:noFill/>
        <a:ln w="12700">
          <a:noFill/>
        </a:ln>
        <a:effectLst/>
      </c:spPr>
    </c:plotArea>
    <c:legend>
      <c:legendPos val="b"/>
      <c:layout>
        <c:manualLayout>
          <c:xMode val="edge"/>
          <c:yMode val="edge"/>
          <c:x val="0.40236174612533615"/>
          <c:y val="7.941792929292929E-2"/>
          <c:w val="0.17608417159017628"/>
          <c:h val="9.2930421486056833E-2"/>
        </c:manualLayout>
      </c:layout>
      <c:overlay val="0"/>
      <c:spPr>
        <a:ln w="635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chemeClr val="bg1">
            <a:lumMod val="65000"/>
          </a:schemeClr>
        </a:gs>
        <a:gs pos="12000">
          <a:srgbClr val="E6E6E6"/>
        </a:gs>
        <a:gs pos="18000">
          <a:srgbClr val="EBEBEB"/>
        </a:gs>
        <a:gs pos="100000">
          <a:srgbClr val="E6E6E6"/>
        </a:gs>
      </a:gsLst>
      <a:lin ang="0" scaled="0"/>
    </a:gradFill>
    <a:ln w="12700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8" orientation="portrait"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0"/>
      <c:rotY val="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solidFill>
            <a:schemeClr val="bg1">
              <a:lumMod val="65000"/>
            </a:schemeClr>
          </a:solidFill>
        </a:ln>
        <a:effectLst/>
        <a:sp3d>
          <a:contourClr>
            <a:schemeClr val="bg1">
              <a:lumMod val="65000"/>
            </a:schemeClr>
          </a:contourClr>
        </a:sp3d>
      </c:spPr>
    </c:sideWall>
    <c:backWall>
      <c:thickness val="0"/>
      <c:spPr>
        <a:noFill/>
        <a:ln>
          <a:solidFill>
            <a:schemeClr val="bg1">
              <a:lumMod val="65000"/>
            </a:schemeClr>
          </a:solidFill>
        </a:ln>
        <a:effectLst/>
        <a:sp3d>
          <a:contourClr>
            <a:schemeClr val="bg1">
              <a:lumMod val="65000"/>
            </a:schemeClr>
          </a:contourClr>
        </a:sp3d>
      </c:spPr>
    </c:backWall>
    <c:plotArea>
      <c:layout>
        <c:manualLayout>
          <c:layoutTarget val="inner"/>
          <c:xMode val="edge"/>
          <c:yMode val="edge"/>
          <c:x val="7.3901249580526324E-2"/>
          <c:y val="0.21455094765820773"/>
          <c:w val="0.91149965355227225"/>
          <c:h val="0.45588820014519454"/>
        </c:manualLayout>
      </c:layout>
      <c:bar3DChart>
        <c:barDir val="col"/>
        <c:grouping val="clustered"/>
        <c:varyColors val="0"/>
        <c:ser>
          <c:idx val="1"/>
          <c:order val="0"/>
          <c:tx>
            <c:strRef>
              <c:f>DADOS!$B$4</c:f>
              <c:strCache>
                <c:ptCount val="1"/>
                <c:pt idx="0">
                  <c:v>% PREVISTO</c:v>
                </c:pt>
              </c:strCache>
            </c:strRef>
          </c:tx>
          <c:spPr>
            <a:solidFill>
              <a:srgbClr val="FFC000"/>
            </a:solidFill>
            <a:ln>
              <a:solidFill>
                <a:schemeClr val="tx1"/>
              </a:solidFill>
            </a:ln>
            <a:effectLst/>
            <a:sp3d>
              <a:contourClr>
                <a:schemeClr val="tx1"/>
              </a:contourClr>
            </a:sp3d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lIns="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DADOS!$C$38:$C$52</c:f>
              <c:strCache>
                <c:ptCount val="15"/>
                <c:pt idx="0">
                  <c:v>   7º PAVIMENTO:</c:v>
                </c:pt>
                <c:pt idx="1">
                  <c:v>      ESGOTO:</c:v>
                </c:pt>
                <c:pt idx="2">
                  <c:v>      ÁGUA FRIA:</c:v>
                </c:pt>
                <c:pt idx="3">
                  <c:v>      ÁGUA QUENTE: </c:v>
                </c:pt>
                <c:pt idx="4">
                  <c:v>      AR CONDICIONADO:</c:v>
                </c:pt>
                <c:pt idx="5">
                  <c:v>      ELÉTRICA:</c:v>
                </c:pt>
                <c:pt idx="6">
                  <c:v>      TEL, CFTV E DADOS:</c:v>
                </c:pt>
                <c:pt idx="7">
                  <c:v>      PCI:</c:v>
                </c:pt>
                <c:pt idx="8">
                  <c:v>      IMPERMEAB.:</c:v>
                </c:pt>
                <c:pt idx="9">
                  <c:v>      REVEST. MASSA:</c:v>
                </c:pt>
                <c:pt idx="10">
                  <c:v>      REVEST. CERÂMICO:</c:v>
                </c:pt>
                <c:pt idx="11">
                  <c:v>      FORRO:</c:v>
                </c:pt>
                <c:pt idx="12">
                  <c:v>      ESQUADRIAS:</c:v>
                </c:pt>
                <c:pt idx="13">
                  <c:v>      PINTURA INTERNA:</c:v>
                </c:pt>
                <c:pt idx="14">
                  <c:v>      LOUÇAS:</c:v>
                </c:pt>
              </c:strCache>
            </c:strRef>
          </c:cat>
          <c:val>
            <c:numRef>
              <c:f>DADOS!$B$38:$B$52</c:f>
              <c:numCache>
                <c:formatCode>0.0%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F0-4840-88F9-195F0A2FF551}"/>
            </c:ext>
          </c:extLst>
        </c:ser>
        <c:ser>
          <c:idx val="0"/>
          <c:order val="1"/>
          <c:tx>
            <c:strRef>
              <c:f>DADOS!$A$4</c:f>
              <c:strCache>
                <c:ptCount val="1"/>
                <c:pt idx="0">
                  <c:v>% REALIZADO</c:v>
                </c:pt>
              </c:strCache>
            </c:strRef>
          </c:tx>
          <c:spPr>
            <a:solidFill>
              <a:srgbClr val="0D1A43"/>
            </a:solidFill>
            <a:ln>
              <a:solidFill>
                <a:schemeClr val="tx1"/>
              </a:solidFill>
            </a:ln>
            <a:effectLst/>
            <a:sp3d>
              <a:contourClr>
                <a:schemeClr val="tx1"/>
              </a:contourClr>
            </a:sp3d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lIns="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DADOS!$C$38:$C$52</c:f>
              <c:strCache>
                <c:ptCount val="15"/>
                <c:pt idx="0">
                  <c:v>   7º PAVIMENTO:</c:v>
                </c:pt>
                <c:pt idx="1">
                  <c:v>      ESGOTO:</c:v>
                </c:pt>
                <c:pt idx="2">
                  <c:v>      ÁGUA FRIA:</c:v>
                </c:pt>
                <c:pt idx="3">
                  <c:v>      ÁGUA QUENTE: </c:v>
                </c:pt>
                <c:pt idx="4">
                  <c:v>      AR CONDICIONADO:</c:v>
                </c:pt>
                <c:pt idx="5">
                  <c:v>      ELÉTRICA:</c:v>
                </c:pt>
                <c:pt idx="6">
                  <c:v>      TEL, CFTV E DADOS:</c:v>
                </c:pt>
                <c:pt idx="7">
                  <c:v>      PCI:</c:v>
                </c:pt>
                <c:pt idx="8">
                  <c:v>      IMPERMEAB.:</c:v>
                </c:pt>
                <c:pt idx="9">
                  <c:v>      REVEST. MASSA:</c:v>
                </c:pt>
                <c:pt idx="10">
                  <c:v>      REVEST. CERÂMICO:</c:v>
                </c:pt>
                <c:pt idx="11">
                  <c:v>      FORRO:</c:v>
                </c:pt>
                <c:pt idx="12">
                  <c:v>      ESQUADRIAS:</c:v>
                </c:pt>
                <c:pt idx="13">
                  <c:v>      PINTURA INTERNA:</c:v>
                </c:pt>
                <c:pt idx="14">
                  <c:v>      LOUÇAS:</c:v>
                </c:pt>
              </c:strCache>
            </c:strRef>
          </c:cat>
          <c:val>
            <c:numRef>
              <c:f>DADOS!$A$38:$A$52</c:f>
              <c:numCache>
                <c:formatCode>0.0%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F0-4840-88F9-195F0A2FF5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54596656"/>
        <c:axId val="554596984"/>
        <c:axId val="0"/>
      </c:bar3DChart>
      <c:catAx>
        <c:axId val="554596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280000" spcFirstLastPara="1" vertOverflow="ellipsis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54596984"/>
        <c:crosses val="autoZero"/>
        <c:auto val="1"/>
        <c:lblAlgn val="ctr"/>
        <c:lblOffset val="100"/>
        <c:noMultiLvlLbl val="0"/>
      </c:catAx>
      <c:valAx>
        <c:axId val="554596984"/>
        <c:scaling>
          <c:orientation val="minMax"/>
          <c:max val="1.1000000000000001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54596656"/>
        <c:crosses val="autoZero"/>
        <c:crossBetween val="between"/>
      </c:valAx>
      <c:spPr>
        <a:noFill/>
        <a:ln w="12700">
          <a:noFill/>
        </a:ln>
        <a:effectLst/>
      </c:spPr>
    </c:plotArea>
    <c:legend>
      <c:legendPos val="b"/>
      <c:layout>
        <c:manualLayout>
          <c:xMode val="edge"/>
          <c:yMode val="edge"/>
          <c:x val="0.40236174612533615"/>
          <c:y val="7.941792929292929E-2"/>
          <c:w val="0.20197353754707092"/>
          <c:h val="5.4623267632947149E-2"/>
        </c:manualLayout>
      </c:layout>
      <c:overlay val="0"/>
      <c:spPr>
        <a:ln w="635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chemeClr val="bg1">
            <a:lumMod val="65000"/>
          </a:schemeClr>
        </a:gs>
        <a:gs pos="12000">
          <a:srgbClr val="E6E6E6"/>
        </a:gs>
        <a:gs pos="18000">
          <a:srgbClr val="EBEBEB"/>
        </a:gs>
        <a:gs pos="100000">
          <a:srgbClr val="E6E6E6"/>
        </a:gs>
      </a:gsLst>
      <a:lin ang="0" scaled="0"/>
    </a:gradFill>
    <a:ln w="12700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8" orientation="portrait"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0"/>
      <c:rotY val="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solidFill>
            <a:schemeClr val="bg1">
              <a:lumMod val="65000"/>
            </a:schemeClr>
          </a:solidFill>
        </a:ln>
        <a:effectLst/>
        <a:sp3d>
          <a:contourClr>
            <a:schemeClr val="bg1">
              <a:lumMod val="65000"/>
            </a:schemeClr>
          </a:contourClr>
        </a:sp3d>
      </c:spPr>
    </c:sideWall>
    <c:backWall>
      <c:thickness val="0"/>
      <c:spPr>
        <a:noFill/>
        <a:ln>
          <a:solidFill>
            <a:schemeClr val="bg1">
              <a:lumMod val="65000"/>
            </a:schemeClr>
          </a:solidFill>
        </a:ln>
        <a:effectLst/>
        <a:sp3d>
          <a:contourClr>
            <a:schemeClr val="bg1">
              <a:lumMod val="65000"/>
            </a:schemeClr>
          </a:contourClr>
        </a:sp3d>
      </c:spPr>
    </c:backWall>
    <c:plotArea>
      <c:layout>
        <c:manualLayout>
          <c:layoutTarget val="inner"/>
          <c:xMode val="edge"/>
          <c:yMode val="edge"/>
          <c:x val="7.3901249580526324E-2"/>
          <c:y val="0.21455094765820773"/>
          <c:w val="0.91149965355227225"/>
          <c:h val="0.45588820014519454"/>
        </c:manualLayout>
      </c:layout>
      <c:bar3DChart>
        <c:barDir val="col"/>
        <c:grouping val="clustered"/>
        <c:varyColors val="0"/>
        <c:ser>
          <c:idx val="1"/>
          <c:order val="0"/>
          <c:tx>
            <c:strRef>
              <c:f>DADOS!$B$4</c:f>
              <c:strCache>
                <c:ptCount val="1"/>
                <c:pt idx="0">
                  <c:v>% PREVISTO</c:v>
                </c:pt>
              </c:strCache>
            </c:strRef>
          </c:tx>
          <c:spPr>
            <a:solidFill>
              <a:srgbClr val="FFC000"/>
            </a:solidFill>
            <a:ln>
              <a:solidFill>
                <a:schemeClr val="tx1"/>
              </a:solidFill>
            </a:ln>
            <a:effectLst/>
            <a:sp3d>
              <a:contourClr>
                <a:schemeClr val="tx1"/>
              </a:contourClr>
            </a:sp3d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lIns="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DADOS!$C$53:$C$67</c:f>
              <c:strCache>
                <c:ptCount val="15"/>
                <c:pt idx="0">
                  <c:v>   8º PAVIMENTO:</c:v>
                </c:pt>
                <c:pt idx="1">
                  <c:v>      ESGOTO:</c:v>
                </c:pt>
                <c:pt idx="2">
                  <c:v>      ÁGUA FRIA:</c:v>
                </c:pt>
                <c:pt idx="3">
                  <c:v>      ÁGUA QUENTE:</c:v>
                </c:pt>
                <c:pt idx="4">
                  <c:v>      AR CONDICIONADO:</c:v>
                </c:pt>
                <c:pt idx="5">
                  <c:v>      ELÉTRICA:</c:v>
                </c:pt>
                <c:pt idx="6">
                  <c:v>      TEL, CFTV E DADOS:</c:v>
                </c:pt>
                <c:pt idx="7">
                  <c:v>      PCI:</c:v>
                </c:pt>
                <c:pt idx="8">
                  <c:v>      IMPERMEAB.:</c:v>
                </c:pt>
                <c:pt idx="9">
                  <c:v>      REVEST. MASSA: </c:v>
                </c:pt>
                <c:pt idx="10">
                  <c:v>      REVEST. CERÂMICO:</c:v>
                </c:pt>
                <c:pt idx="11">
                  <c:v>      FORRO:</c:v>
                </c:pt>
                <c:pt idx="12">
                  <c:v>      ESQUADRIAS:</c:v>
                </c:pt>
                <c:pt idx="13">
                  <c:v>      PINTURA INTERNA:</c:v>
                </c:pt>
                <c:pt idx="14">
                  <c:v>      LOUÇAS:</c:v>
                </c:pt>
              </c:strCache>
            </c:strRef>
          </c:cat>
          <c:val>
            <c:numRef>
              <c:f>DADOS!$B$53:$B$67</c:f>
              <c:numCache>
                <c:formatCode>0.0%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5B-4D10-9A17-677244785261}"/>
            </c:ext>
          </c:extLst>
        </c:ser>
        <c:ser>
          <c:idx val="0"/>
          <c:order val="1"/>
          <c:tx>
            <c:strRef>
              <c:f>DADOS!$A$4</c:f>
              <c:strCache>
                <c:ptCount val="1"/>
                <c:pt idx="0">
                  <c:v>% REALIZADO</c:v>
                </c:pt>
              </c:strCache>
            </c:strRef>
          </c:tx>
          <c:spPr>
            <a:solidFill>
              <a:srgbClr val="0D1A43"/>
            </a:solidFill>
            <a:ln>
              <a:solidFill>
                <a:schemeClr val="tx1"/>
              </a:solidFill>
            </a:ln>
            <a:effectLst/>
            <a:sp3d>
              <a:contourClr>
                <a:schemeClr val="tx1"/>
              </a:contourClr>
            </a:sp3d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lIns="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DADOS!$C$53:$C$67</c:f>
              <c:strCache>
                <c:ptCount val="15"/>
                <c:pt idx="0">
                  <c:v>   8º PAVIMENTO:</c:v>
                </c:pt>
                <c:pt idx="1">
                  <c:v>      ESGOTO:</c:v>
                </c:pt>
                <c:pt idx="2">
                  <c:v>      ÁGUA FRIA:</c:v>
                </c:pt>
                <c:pt idx="3">
                  <c:v>      ÁGUA QUENTE:</c:v>
                </c:pt>
                <c:pt idx="4">
                  <c:v>      AR CONDICIONADO:</c:v>
                </c:pt>
                <c:pt idx="5">
                  <c:v>      ELÉTRICA:</c:v>
                </c:pt>
                <c:pt idx="6">
                  <c:v>      TEL, CFTV E DADOS:</c:v>
                </c:pt>
                <c:pt idx="7">
                  <c:v>      PCI:</c:v>
                </c:pt>
                <c:pt idx="8">
                  <c:v>      IMPERMEAB.:</c:v>
                </c:pt>
                <c:pt idx="9">
                  <c:v>      REVEST. MASSA: </c:v>
                </c:pt>
                <c:pt idx="10">
                  <c:v>      REVEST. CERÂMICO:</c:v>
                </c:pt>
                <c:pt idx="11">
                  <c:v>      FORRO:</c:v>
                </c:pt>
                <c:pt idx="12">
                  <c:v>      ESQUADRIAS:</c:v>
                </c:pt>
                <c:pt idx="13">
                  <c:v>      PINTURA INTERNA:</c:v>
                </c:pt>
                <c:pt idx="14">
                  <c:v>      LOUÇAS:</c:v>
                </c:pt>
              </c:strCache>
            </c:strRef>
          </c:cat>
          <c:val>
            <c:numRef>
              <c:f>DADOS!$A$53:$A$67</c:f>
              <c:numCache>
                <c:formatCode>0.0%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5B-4D10-9A17-6772447852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54596656"/>
        <c:axId val="554596984"/>
        <c:axId val="0"/>
      </c:bar3DChart>
      <c:catAx>
        <c:axId val="554596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280000" spcFirstLastPara="1" vertOverflow="ellipsis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54596984"/>
        <c:crosses val="autoZero"/>
        <c:auto val="1"/>
        <c:lblAlgn val="ctr"/>
        <c:lblOffset val="100"/>
        <c:noMultiLvlLbl val="0"/>
      </c:catAx>
      <c:valAx>
        <c:axId val="554596984"/>
        <c:scaling>
          <c:orientation val="minMax"/>
          <c:max val="1.1000000000000001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54596656"/>
        <c:crosses val="autoZero"/>
        <c:crossBetween val="between"/>
      </c:valAx>
      <c:spPr>
        <a:noFill/>
        <a:ln w="12700">
          <a:noFill/>
        </a:ln>
        <a:effectLst/>
      </c:spPr>
    </c:plotArea>
    <c:legend>
      <c:legendPos val="b"/>
      <c:layout>
        <c:manualLayout>
          <c:xMode val="edge"/>
          <c:yMode val="edge"/>
          <c:x val="0.40236174612533615"/>
          <c:y val="7.941792929292929E-2"/>
          <c:w val="0.20197353754707092"/>
          <c:h val="5.4623267632947149E-2"/>
        </c:manualLayout>
      </c:layout>
      <c:overlay val="0"/>
      <c:spPr>
        <a:ln w="635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chemeClr val="bg1">
            <a:lumMod val="65000"/>
          </a:schemeClr>
        </a:gs>
        <a:gs pos="12000">
          <a:srgbClr val="E6E6E6"/>
        </a:gs>
        <a:gs pos="18000">
          <a:srgbClr val="EBEBEB"/>
        </a:gs>
        <a:gs pos="100000">
          <a:srgbClr val="E6E6E6"/>
        </a:gs>
      </a:gsLst>
      <a:lin ang="0" scaled="0"/>
    </a:gradFill>
    <a:ln w="12700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8" orientation="portrait"/>
  </c:printSettings>
  <c:userShapes r:id="rId1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0"/>
      <c:rotY val="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solidFill>
            <a:schemeClr val="bg1">
              <a:lumMod val="65000"/>
            </a:schemeClr>
          </a:solidFill>
        </a:ln>
        <a:effectLst/>
        <a:sp3d>
          <a:contourClr>
            <a:schemeClr val="bg1">
              <a:lumMod val="65000"/>
            </a:schemeClr>
          </a:contourClr>
        </a:sp3d>
      </c:spPr>
    </c:sideWall>
    <c:backWall>
      <c:thickness val="0"/>
      <c:spPr>
        <a:noFill/>
        <a:ln>
          <a:solidFill>
            <a:schemeClr val="bg1">
              <a:lumMod val="65000"/>
            </a:schemeClr>
          </a:solidFill>
        </a:ln>
        <a:effectLst/>
        <a:sp3d>
          <a:contourClr>
            <a:schemeClr val="bg1">
              <a:lumMod val="65000"/>
            </a:schemeClr>
          </a:contourClr>
        </a:sp3d>
      </c:spPr>
    </c:backWall>
    <c:plotArea>
      <c:layout>
        <c:manualLayout>
          <c:layoutTarget val="inner"/>
          <c:xMode val="edge"/>
          <c:yMode val="edge"/>
          <c:x val="7.3901249580526324E-2"/>
          <c:y val="0.21455094765820773"/>
          <c:w val="0.91149965355227225"/>
          <c:h val="0.45588820014519454"/>
        </c:manualLayout>
      </c:layout>
      <c:bar3DChart>
        <c:barDir val="col"/>
        <c:grouping val="clustered"/>
        <c:varyColors val="0"/>
        <c:ser>
          <c:idx val="1"/>
          <c:order val="0"/>
          <c:tx>
            <c:strRef>
              <c:f>DADOS!$B$4</c:f>
              <c:strCache>
                <c:ptCount val="1"/>
                <c:pt idx="0">
                  <c:v>% PREVISTO</c:v>
                </c:pt>
              </c:strCache>
            </c:strRef>
          </c:tx>
          <c:spPr>
            <a:solidFill>
              <a:srgbClr val="FFC000"/>
            </a:solidFill>
            <a:ln>
              <a:solidFill>
                <a:schemeClr val="tx1"/>
              </a:solidFill>
            </a:ln>
            <a:effectLst/>
            <a:sp3d>
              <a:contourClr>
                <a:schemeClr val="tx1"/>
              </a:contourClr>
            </a:sp3d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lIns="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DADOS!$C$68:$C$82</c15:sqref>
                  </c15:fullRef>
                </c:ext>
              </c:extLst>
              <c:f>(DADOS!$C$68:$C$72,DADOS!$C$75:$C$82)</c:f>
              <c:strCache>
                <c:ptCount val="13"/>
                <c:pt idx="0">
                  <c:v>   9º PAVIMENTO:</c:v>
                </c:pt>
                <c:pt idx="1">
                  <c:v>      ESGOTO:</c:v>
                </c:pt>
                <c:pt idx="2">
                  <c:v>      ÁGUA FRIA:</c:v>
                </c:pt>
                <c:pt idx="3">
                  <c:v>      ÁGUA QUENTE:</c:v>
                </c:pt>
                <c:pt idx="4">
                  <c:v>      AR CONDICIONADO:</c:v>
                </c:pt>
                <c:pt idx="5">
                  <c:v>      PCI:</c:v>
                </c:pt>
                <c:pt idx="6">
                  <c:v>      IMPERMEAB.:</c:v>
                </c:pt>
                <c:pt idx="7">
                  <c:v>      REVEST. MASSA:</c:v>
                </c:pt>
                <c:pt idx="8">
                  <c:v>      REVEST. CERÂMICO:</c:v>
                </c:pt>
                <c:pt idx="9">
                  <c:v>      FORRO:</c:v>
                </c:pt>
                <c:pt idx="10">
                  <c:v>      ESQUADRIAS:</c:v>
                </c:pt>
                <c:pt idx="11">
                  <c:v>      PINTURA INTERNA:</c:v>
                </c:pt>
                <c:pt idx="12">
                  <c:v>      LOUÇAS: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DADOS!$B$68:$B$82</c15:sqref>
                  </c15:fullRef>
                </c:ext>
              </c:extLst>
              <c:f>(DADOS!$B$68:$B$72,DADOS!$B$75:$B$82)</c:f>
              <c:numCache>
                <c:formatCode>0.0%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89-4561-AA83-2255B7068333}"/>
            </c:ext>
          </c:extLst>
        </c:ser>
        <c:ser>
          <c:idx val="0"/>
          <c:order val="1"/>
          <c:tx>
            <c:strRef>
              <c:f>DADOS!$A$4</c:f>
              <c:strCache>
                <c:ptCount val="1"/>
                <c:pt idx="0">
                  <c:v>% REALIZADO</c:v>
                </c:pt>
              </c:strCache>
            </c:strRef>
          </c:tx>
          <c:spPr>
            <a:solidFill>
              <a:srgbClr val="0D1A43"/>
            </a:solidFill>
            <a:ln>
              <a:solidFill>
                <a:schemeClr val="tx1"/>
              </a:solidFill>
            </a:ln>
            <a:effectLst/>
            <a:sp3d>
              <a:contourClr>
                <a:schemeClr val="tx1"/>
              </a:contourClr>
            </a:sp3d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lIns="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DADOS!$C$68:$C$82</c15:sqref>
                  </c15:fullRef>
                </c:ext>
              </c:extLst>
              <c:f>(DADOS!$C$68:$C$72,DADOS!$C$75:$C$82)</c:f>
              <c:strCache>
                <c:ptCount val="13"/>
                <c:pt idx="0">
                  <c:v>   9º PAVIMENTO:</c:v>
                </c:pt>
                <c:pt idx="1">
                  <c:v>      ESGOTO:</c:v>
                </c:pt>
                <c:pt idx="2">
                  <c:v>      ÁGUA FRIA:</c:v>
                </c:pt>
                <c:pt idx="3">
                  <c:v>      ÁGUA QUENTE:</c:v>
                </c:pt>
                <c:pt idx="4">
                  <c:v>      AR CONDICIONADO:</c:v>
                </c:pt>
                <c:pt idx="5">
                  <c:v>      PCI:</c:v>
                </c:pt>
                <c:pt idx="6">
                  <c:v>      IMPERMEAB.:</c:v>
                </c:pt>
                <c:pt idx="7">
                  <c:v>      REVEST. MASSA:</c:v>
                </c:pt>
                <c:pt idx="8">
                  <c:v>      REVEST. CERÂMICO:</c:v>
                </c:pt>
                <c:pt idx="9">
                  <c:v>      FORRO:</c:v>
                </c:pt>
                <c:pt idx="10">
                  <c:v>      ESQUADRIAS:</c:v>
                </c:pt>
                <c:pt idx="11">
                  <c:v>      PINTURA INTERNA:</c:v>
                </c:pt>
                <c:pt idx="12">
                  <c:v>      LOUÇAS: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DADOS!$A$68:$A$82</c15:sqref>
                  </c15:fullRef>
                </c:ext>
              </c:extLst>
              <c:f>(DADOS!$A$68:$A$72,DADOS!$A$75:$A$82)</c:f>
              <c:numCache>
                <c:formatCode>0.0%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89-4561-AA83-2255B7068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54596656"/>
        <c:axId val="554596984"/>
        <c:axId val="0"/>
      </c:bar3DChart>
      <c:catAx>
        <c:axId val="554596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280000" spcFirstLastPara="1" vertOverflow="ellipsis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54596984"/>
        <c:crosses val="autoZero"/>
        <c:auto val="1"/>
        <c:lblAlgn val="ctr"/>
        <c:lblOffset val="100"/>
        <c:noMultiLvlLbl val="0"/>
      </c:catAx>
      <c:valAx>
        <c:axId val="554596984"/>
        <c:scaling>
          <c:orientation val="minMax"/>
          <c:max val="1.1000000000000001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54596656"/>
        <c:crosses val="autoZero"/>
        <c:crossBetween val="between"/>
      </c:valAx>
      <c:spPr>
        <a:noFill/>
        <a:ln w="12700">
          <a:noFill/>
        </a:ln>
        <a:effectLst/>
      </c:spPr>
    </c:plotArea>
    <c:legend>
      <c:legendPos val="b"/>
      <c:layout>
        <c:manualLayout>
          <c:xMode val="edge"/>
          <c:yMode val="edge"/>
          <c:x val="0.40236174612533615"/>
          <c:y val="7.941792929292929E-2"/>
          <c:w val="0.20197353754707092"/>
          <c:h val="5.4623267632947149E-2"/>
        </c:manualLayout>
      </c:layout>
      <c:overlay val="0"/>
      <c:spPr>
        <a:ln w="635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chemeClr val="bg1">
            <a:lumMod val="65000"/>
          </a:schemeClr>
        </a:gs>
        <a:gs pos="12000">
          <a:srgbClr val="E6E6E6"/>
        </a:gs>
        <a:gs pos="18000">
          <a:srgbClr val="EBEBEB"/>
        </a:gs>
        <a:gs pos="100000">
          <a:srgbClr val="E6E6E6"/>
        </a:gs>
      </a:gsLst>
      <a:lin ang="0" scaled="0"/>
    </a:gradFill>
    <a:ln w="12700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8" orientation="portrait"/>
  </c:printSettings>
  <c:userShapes r:id="rId1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0"/>
      <c:rotY val="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solidFill>
            <a:schemeClr val="bg1">
              <a:lumMod val="65000"/>
            </a:schemeClr>
          </a:solidFill>
        </a:ln>
        <a:effectLst/>
        <a:sp3d>
          <a:contourClr>
            <a:schemeClr val="bg1">
              <a:lumMod val="65000"/>
            </a:schemeClr>
          </a:contourClr>
        </a:sp3d>
      </c:spPr>
    </c:sideWall>
    <c:backWall>
      <c:thickness val="0"/>
      <c:spPr>
        <a:noFill/>
        <a:ln>
          <a:solidFill>
            <a:schemeClr val="bg1">
              <a:lumMod val="65000"/>
            </a:schemeClr>
          </a:solidFill>
        </a:ln>
        <a:effectLst/>
        <a:sp3d>
          <a:contourClr>
            <a:schemeClr val="bg1">
              <a:lumMod val="65000"/>
            </a:schemeClr>
          </a:contourClr>
        </a:sp3d>
      </c:spPr>
    </c:backWall>
    <c:plotArea>
      <c:layout>
        <c:manualLayout>
          <c:layoutTarget val="inner"/>
          <c:xMode val="edge"/>
          <c:yMode val="edge"/>
          <c:x val="7.3901249580526324E-2"/>
          <c:y val="0.21455094765820773"/>
          <c:w val="0.91149965355227225"/>
          <c:h val="0.45588820014519454"/>
        </c:manualLayout>
      </c:layout>
      <c:bar3DChart>
        <c:barDir val="col"/>
        <c:grouping val="clustered"/>
        <c:varyColors val="0"/>
        <c:ser>
          <c:idx val="1"/>
          <c:order val="0"/>
          <c:tx>
            <c:strRef>
              <c:f>DADOS!$B$4</c:f>
              <c:strCache>
                <c:ptCount val="1"/>
                <c:pt idx="0">
                  <c:v>% PREVISTO</c:v>
                </c:pt>
              </c:strCache>
            </c:strRef>
          </c:tx>
          <c:spPr>
            <a:solidFill>
              <a:srgbClr val="FFC000"/>
            </a:solidFill>
            <a:ln>
              <a:solidFill>
                <a:schemeClr val="tx1"/>
              </a:solidFill>
            </a:ln>
            <a:effectLst/>
            <a:sp3d>
              <a:contourClr>
                <a:schemeClr val="tx1"/>
              </a:contourClr>
            </a:sp3d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lIns="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DADOS!$C$83:$C$97</c15:sqref>
                  </c15:fullRef>
                </c:ext>
              </c:extLst>
              <c:f>(DADOS!$C$83:$C$94,DADOS!$C$96:$C$97)</c:f>
              <c:strCache>
                <c:ptCount val="14"/>
                <c:pt idx="0">
                  <c:v>   10º PAVIMENTO:</c:v>
                </c:pt>
                <c:pt idx="1">
                  <c:v>      ESGOTO:</c:v>
                </c:pt>
                <c:pt idx="2">
                  <c:v>      ÁGUA FRIA:</c:v>
                </c:pt>
                <c:pt idx="3">
                  <c:v>      ÁGUA QUENTE:</c:v>
                </c:pt>
                <c:pt idx="4">
                  <c:v>      AR CONDICIONADO:</c:v>
                </c:pt>
                <c:pt idx="5">
                  <c:v>      ELÉTRICA:</c:v>
                </c:pt>
                <c:pt idx="6">
                  <c:v>      TEL, CFTV E DADOS:</c:v>
                </c:pt>
                <c:pt idx="7">
                  <c:v>      PCI:</c:v>
                </c:pt>
                <c:pt idx="8">
                  <c:v>      IMPERMEAB.:</c:v>
                </c:pt>
                <c:pt idx="9">
                  <c:v>      REVEST. MASSA:</c:v>
                </c:pt>
                <c:pt idx="10">
                  <c:v>      REVEST. CERÂMICO:</c:v>
                </c:pt>
                <c:pt idx="11">
                  <c:v>      FORRO:</c:v>
                </c:pt>
                <c:pt idx="12">
                  <c:v>      PINTURA INTERNA:</c:v>
                </c:pt>
                <c:pt idx="13">
                  <c:v>      LOUÇAS: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DADOS!$B$83:$B$97</c15:sqref>
                  </c15:fullRef>
                </c:ext>
              </c:extLst>
              <c:f>(DADOS!$B$83:$B$94,DADOS!$B$96:$B$97)</c:f>
              <c:numCache>
                <c:formatCode>0.0%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72-4592-8252-446316339F93}"/>
            </c:ext>
          </c:extLst>
        </c:ser>
        <c:ser>
          <c:idx val="0"/>
          <c:order val="1"/>
          <c:tx>
            <c:strRef>
              <c:f>DADOS!$A$4</c:f>
              <c:strCache>
                <c:ptCount val="1"/>
                <c:pt idx="0">
                  <c:v>% REALIZADO</c:v>
                </c:pt>
              </c:strCache>
            </c:strRef>
          </c:tx>
          <c:spPr>
            <a:solidFill>
              <a:srgbClr val="0D1A43"/>
            </a:solidFill>
            <a:ln>
              <a:solidFill>
                <a:schemeClr val="tx1"/>
              </a:solidFill>
            </a:ln>
            <a:effectLst/>
            <a:sp3d>
              <a:contourClr>
                <a:schemeClr val="tx1"/>
              </a:contourClr>
            </a:sp3d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lIns="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DADOS!$C$83:$C$97</c15:sqref>
                  </c15:fullRef>
                </c:ext>
              </c:extLst>
              <c:f>(DADOS!$C$83:$C$94,DADOS!$C$96:$C$97)</c:f>
              <c:strCache>
                <c:ptCount val="14"/>
                <c:pt idx="0">
                  <c:v>   10º PAVIMENTO:</c:v>
                </c:pt>
                <c:pt idx="1">
                  <c:v>      ESGOTO:</c:v>
                </c:pt>
                <c:pt idx="2">
                  <c:v>      ÁGUA FRIA:</c:v>
                </c:pt>
                <c:pt idx="3">
                  <c:v>      ÁGUA QUENTE:</c:v>
                </c:pt>
                <c:pt idx="4">
                  <c:v>      AR CONDICIONADO:</c:v>
                </c:pt>
                <c:pt idx="5">
                  <c:v>      ELÉTRICA:</c:v>
                </c:pt>
                <c:pt idx="6">
                  <c:v>      TEL, CFTV E DADOS:</c:v>
                </c:pt>
                <c:pt idx="7">
                  <c:v>      PCI:</c:v>
                </c:pt>
                <c:pt idx="8">
                  <c:v>      IMPERMEAB.:</c:v>
                </c:pt>
                <c:pt idx="9">
                  <c:v>      REVEST. MASSA:</c:v>
                </c:pt>
                <c:pt idx="10">
                  <c:v>      REVEST. CERÂMICO:</c:v>
                </c:pt>
                <c:pt idx="11">
                  <c:v>      FORRO:</c:v>
                </c:pt>
                <c:pt idx="12">
                  <c:v>      PINTURA INTERNA:</c:v>
                </c:pt>
                <c:pt idx="13">
                  <c:v>      LOUÇAS: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DADOS!$A$83:$A$97</c15:sqref>
                  </c15:fullRef>
                </c:ext>
              </c:extLst>
              <c:f>(DADOS!$A$83:$A$94,DADOS!$A$96:$A$97)</c:f>
              <c:numCache>
                <c:formatCode>0.0%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72-4592-8252-446316339F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54596656"/>
        <c:axId val="554596984"/>
        <c:axId val="0"/>
      </c:bar3DChart>
      <c:catAx>
        <c:axId val="554596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280000" spcFirstLastPara="1" vertOverflow="ellipsis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54596984"/>
        <c:crosses val="autoZero"/>
        <c:auto val="1"/>
        <c:lblAlgn val="ctr"/>
        <c:lblOffset val="100"/>
        <c:noMultiLvlLbl val="0"/>
      </c:catAx>
      <c:valAx>
        <c:axId val="554596984"/>
        <c:scaling>
          <c:orientation val="minMax"/>
          <c:max val="1.1000000000000001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54596656"/>
        <c:crosses val="autoZero"/>
        <c:crossBetween val="between"/>
      </c:valAx>
      <c:spPr>
        <a:noFill/>
        <a:ln w="12700">
          <a:noFill/>
        </a:ln>
        <a:effectLst/>
      </c:spPr>
    </c:plotArea>
    <c:legend>
      <c:legendPos val="b"/>
      <c:layout>
        <c:manualLayout>
          <c:xMode val="edge"/>
          <c:yMode val="edge"/>
          <c:x val="0.40236174612533615"/>
          <c:y val="7.941792929292929E-2"/>
          <c:w val="0.20197353754707092"/>
          <c:h val="5.4623267632947149E-2"/>
        </c:manualLayout>
      </c:layout>
      <c:overlay val="0"/>
      <c:spPr>
        <a:ln w="635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chemeClr val="bg1">
            <a:lumMod val="65000"/>
          </a:schemeClr>
        </a:gs>
        <a:gs pos="12000">
          <a:srgbClr val="E6E6E6"/>
        </a:gs>
        <a:gs pos="18000">
          <a:srgbClr val="EBEBEB"/>
        </a:gs>
        <a:gs pos="100000">
          <a:srgbClr val="E6E6E6"/>
        </a:gs>
      </a:gsLst>
      <a:lin ang="0" scaled="0"/>
    </a:gradFill>
    <a:ln w="12700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8" orientation="portrait"/>
  </c:printSettings>
  <c:userShapes r:id="rId1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3.xml"/><Relationship Id="rId7" Type="http://schemas.openxmlformats.org/officeDocument/2006/relationships/chart" Target="../charts/chart6.xml"/><Relationship Id="rId12" Type="http://schemas.openxmlformats.org/officeDocument/2006/relationships/chart" Target="../charts/chart1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1.png"/><Relationship Id="rId11" Type="http://schemas.openxmlformats.org/officeDocument/2006/relationships/chart" Target="../charts/chart10.xml"/><Relationship Id="rId5" Type="http://schemas.openxmlformats.org/officeDocument/2006/relationships/chart" Target="../charts/chart5.xml"/><Relationship Id="rId10" Type="http://schemas.openxmlformats.org/officeDocument/2006/relationships/chart" Target="../charts/chart9.xml"/><Relationship Id="rId4" Type="http://schemas.openxmlformats.org/officeDocument/2006/relationships/chart" Target="../charts/chart4.xml"/><Relationship Id="rId9" Type="http://schemas.openxmlformats.org/officeDocument/2006/relationships/chart" Target="../charts/chart8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7233</xdr:colOff>
      <xdr:row>52</xdr:row>
      <xdr:rowOff>16656</xdr:rowOff>
    </xdr:from>
    <xdr:to>
      <xdr:col>17</xdr:col>
      <xdr:colOff>13313</xdr:colOff>
      <xdr:row>68</xdr:row>
      <xdr:rowOff>116178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27C4EFA-E039-4E80-A593-59CDDB2C36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7233</xdr:colOff>
      <xdr:row>8</xdr:row>
      <xdr:rowOff>152398</xdr:rowOff>
    </xdr:from>
    <xdr:to>
      <xdr:col>17</xdr:col>
      <xdr:colOff>13313</xdr:colOff>
      <xdr:row>16</xdr:row>
      <xdr:rowOff>60778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C06E1D79-5FD1-4226-B405-73613E4E7A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13</xdr:col>
      <xdr:colOff>419100</xdr:colOff>
      <xdr:row>9</xdr:row>
      <xdr:rowOff>91626</xdr:rowOff>
    </xdr:from>
    <xdr:to>
      <xdr:col>16</xdr:col>
      <xdr:colOff>173143</xdr:colOff>
      <xdr:row>10</xdr:row>
      <xdr:rowOff>81126</xdr:rowOff>
    </xdr:to>
    <xdr:sp macro="" textlink="">
      <xdr:nvSpPr>
        <xdr:cNvPr id="14" name="CaixaDeTexto 13">
          <a:extLst>
            <a:ext uri="{FF2B5EF4-FFF2-40B4-BE49-F238E27FC236}">
              <a16:creationId xmlns:a16="http://schemas.microsoft.com/office/drawing/2014/main" id="{0E0AD680-32CA-4FD9-B0C3-C6EA8E2114DF}"/>
            </a:ext>
          </a:extLst>
        </xdr:cNvPr>
        <xdr:cNvSpPr txBox="1"/>
      </xdr:nvSpPr>
      <xdr:spPr>
        <a:xfrm>
          <a:off x="9099430" y="2100862"/>
          <a:ext cx="1813600" cy="180000"/>
        </a:xfrm>
        <a:prstGeom prst="rect">
          <a:avLst/>
        </a:prstGeom>
        <a:solidFill>
          <a:srgbClr val="0D1A43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pt-BR" sz="1000">
              <a:solidFill>
                <a:schemeClr val="bg1"/>
              </a:solidFill>
            </a:rPr>
            <a:t>AVANÇO </a:t>
          </a:r>
          <a:r>
            <a:rPr lang="pt-BR" sz="1000" baseline="0">
              <a:solidFill>
                <a:schemeClr val="bg1"/>
              </a:solidFill>
            </a:rPr>
            <a:t>SEMANAL PREVISTO: </a:t>
          </a:r>
          <a:endParaRPr lang="pt-BR" sz="1000" b="1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1</xdr:col>
      <xdr:colOff>7233</xdr:colOff>
      <xdr:row>17</xdr:row>
      <xdr:rowOff>21839</xdr:rowOff>
    </xdr:from>
    <xdr:to>
      <xdr:col>17</xdr:col>
      <xdr:colOff>13313</xdr:colOff>
      <xdr:row>35</xdr:row>
      <xdr:rowOff>136722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9F0D5773-582B-40A8-A70C-60B15FB71D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absolute">
    <xdr:from>
      <xdr:col>16</xdr:col>
      <xdr:colOff>136948</xdr:colOff>
      <xdr:row>9</xdr:row>
      <xdr:rowOff>91626</xdr:rowOff>
    </xdr:from>
    <xdr:to>
      <xdr:col>16</xdr:col>
      <xdr:colOff>744644</xdr:colOff>
      <xdr:row>10</xdr:row>
      <xdr:rowOff>81126</xdr:rowOff>
    </xdr:to>
    <xdr:sp macro="" textlink="DADOS!BT103">
      <xdr:nvSpPr>
        <xdr:cNvPr id="6" name="Retângulo 5">
          <a:extLst>
            <a:ext uri="{FF2B5EF4-FFF2-40B4-BE49-F238E27FC236}">
              <a16:creationId xmlns:a16="http://schemas.microsoft.com/office/drawing/2014/main" id="{37F14D75-4359-47F8-8BD7-0F9053ECFE74}"/>
            </a:ext>
          </a:extLst>
        </xdr:cNvPr>
        <xdr:cNvSpPr/>
      </xdr:nvSpPr>
      <xdr:spPr>
        <a:xfrm>
          <a:off x="10876835" y="2100862"/>
          <a:ext cx="607696" cy="180000"/>
        </a:xfrm>
        <a:prstGeom prst="rect">
          <a:avLst/>
        </a:prstGeom>
        <a:solidFill>
          <a:srgbClr val="0D1A43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r"/>
          <a:fld id="{1B1D297B-F8FC-4178-A102-938023AB1180}" type="TxLink">
            <a:rPr lang="en-US" sz="1100" b="1" i="0" u="none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pPr marL="0" indent="0" algn="r"/>
            <a:t>3,0%</a:t>
          </a:fld>
          <a:endParaRPr lang="pt-BR" sz="1100" b="1" i="0" u="none" strike="noStrike">
            <a:solidFill>
              <a:schemeClr val="bg1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 editAs="absolute">
    <xdr:from>
      <xdr:col>13</xdr:col>
      <xdr:colOff>401955</xdr:colOff>
      <xdr:row>10</xdr:row>
      <xdr:rowOff>133349</xdr:rowOff>
    </xdr:from>
    <xdr:to>
      <xdr:col>16</xdr:col>
      <xdr:colOff>150283</xdr:colOff>
      <xdr:row>11</xdr:row>
      <xdr:rowOff>122849</xdr:rowOff>
    </xdr:to>
    <xdr:sp macro="" textlink="">
      <xdr:nvSpPr>
        <xdr:cNvPr id="15" name="CaixaDeTexto 14">
          <a:extLst>
            <a:ext uri="{FF2B5EF4-FFF2-40B4-BE49-F238E27FC236}">
              <a16:creationId xmlns:a16="http://schemas.microsoft.com/office/drawing/2014/main" id="{582BCBC3-E36B-4483-83EB-3F1B34172C9E}"/>
            </a:ext>
          </a:extLst>
        </xdr:cNvPr>
        <xdr:cNvSpPr txBox="1"/>
      </xdr:nvSpPr>
      <xdr:spPr>
        <a:xfrm>
          <a:off x="9082285" y="2333085"/>
          <a:ext cx="1807885" cy="180000"/>
        </a:xfrm>
        <a:prstGeom prst="rect">
          <a:avLst/>
        </a:prstGeom>
        <a:solidFill>
          <a:srgbClr val="0D1A43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pt-BR" sz="1000">
              <a:solidFill>
                <a:schemeClr val="bg1"/>
              </a:solidFill>
            </a:rPr>
            <a:t>AVANÇO </a:t>
          </a:r>
          <a:r>
            <a:rPr lang="pt-BR" sz="1000" baseline="0">
              <a:solidFill>
                <a:schemeClr val="bg1"/>
              </a:solidFill>
            </a:rPr>
            <a:t>SEMANAL REAL: </a:t>
          </a:r>
          <a:endParaRPr lang="pt-BR" sz="1000" b="1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16</xdr:col>
      <xdr:colOff>135043</xdr:colOff>
      <xdr:row>10</xdr:row>
      <xdr:rowOff>133349</xdr:rowOff>
    </xdr:from>
    <xdr:to>
      <xdr:col>16</xdr:col>
      <xdr:colOff>744644</xdr:colOff>
      <xdr:row>11</xdr:row>
      <xdr:rowOff>122849</xdr:rowOff>
    </xdr:to>
    <xdr:sp macro="" textlink="DADOS!BT104">
      <xdr:nvSpPr>
        <xdr:cNvPr id="16" name="Retângulo 15">
          <a:extLst>
            <a:ext uri="{FF2B5EF4-FFF2-40B4-BE49-F238E27FC236}">
              <a16:creationId xmlns:a16="http://schemas.microsoft.com/office/drawing/2014/main" id="{A39F7556-BCE0-4159-978A-88E673161631}"/>
            </a:ext>
          </a:extLst>
        </xdr:cNvPr>
        <xdr:cNvSpPr/>
      </xdr:nvSpPr>
      <xdr:spPr>
        <a:xfrm>
          <a:off x="10874930" y="2333085"/>
          <a:ext cx="609601" cy="180000"/>
        </a:xfrm>
        <a:prstGeom prst="rect">
          <a:avLst/>
        </a:prstGeom>
        <a:solidFill>
          <a:srgbClr val="0D1A43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r"/>
          <a:fld id="{1A5B7179-01AF-4380-8839-DC79A9078949}" type="TxLink">
            <a:rPr lang="en-US" sz="1100" b="1" i="0" u="none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pPr marL="0" indent="0" algn="r"/>
            <a:t>3,0%</a:t>
          </a:fld>
          <a:endParaRPr lang="pt-BR" sz="1100" b="1" i="0" u="none" strike="noStrike">
            <a:solidFill>
              <a:schemeClr val="bg1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19</xdr:col>
      <xdr:colOff>289277</xdr:colOff>
      <xdr:row>149</xdr:row>
      <xdr:rowOff>26600</xdr:rowOff>
    </xdr:from>
    <xdr:to>
      <xdr:col>38</xdr:col>
      <xdr:colOff>149869</xdr:colOff>
      <xdr:row>168</xdr:row>
      <xdr:rowOff>7102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80FA00B1-DB12-4968-B66C-9938A9E330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463901</xdr:colOff>
      <xdr:row>128</xdr:row>
      <xdr:rowOff>126840</xdr:rowOff>
    </xdr:from>
    <xdr:to>
      <xdr:col>38</xdr:col>
      <xdr:colOff>12901</xdr:colOff>
      <xdr:row>147</xdr:row>
      <xdr:rowOff>173032</xdr:rowOff>
    </xdr:to>
    <xdr:graphicFrame macro="">
      <xdr:nvGraphicFramePr>
        <xdr:cNvPr id="17" name="Gráfico 4">
          <a:extLst>
            <a:ext uri="{FF2B5EF4-FFF2-40B4-BE49-F238E27FC236}">
              <a16:creationId xmlns:a16="http://schemas.microsoft.com/office/drawing/2014/main" id="{8F1C3C1A-741A-40C4-9761-C2DBC9B9CF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</xdr:col>
      <xdr:colOff>338666</xdr:colOff>
      <xdr:row>1</xdr:row>
      <xdr:rowOff>95251</xdr:rowOff>
    </xdr:from>
    <xdr:to>
      <xdr:col>3</xdr:col>
      <xdr:colOff>532789</xdr:colOff>
      <xdr:row>5</xdr:row>
      <xdr:rowOff>95250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D28C357F-8D6E-553F-32E5-37C22126D2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2083" y="285751"/>
          <a:ext cx="2088539" cy="963082"/>
        </a:xfrm>
        <a:prstGeom prst="rect">
          <a:avLst/>
        </a:prstGeom>
      </xdr:spPr>
    </xdr:pic>
    <xdr:clientData/>
  </xdr:twoCellAnchor>
  <xdr:twoCellAnchor editAs="oneCell">
    <xdr:from>
      <xdr:col>1</xdr:col>
      <xdr:colOff>3424</xdr:colOff>
      <xdr:row>69</xdr:row>
      <xdr:rowOff>116416</xdr:rowOff>
    </xdr:from>
    <xdr:to>
      <xdr:col>17</xdr:col>
      <xdr:colOff>7622</xdr:colOff>
      <xdr:row>86</xdr:row>
      <xdr:rowOff>132367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5CB0D44-487A-42D8-B917-5191F43406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</xdr:col>
      <xdr:colOff>7233</xdr:colOff>
      <xdr:row>36</xdr:row>
      <xdr:rowOff>117417</xdr:rowOff>
    </xdr:from>
    <xdr:to>
      <xdr:col>17</xdr:col>
      <xdr:colOff>13313</xdr:colOff>
      <xdr:row>51</xdr:row>
      <xdr:rowOff>22273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172EE14-BEAC-41B9-AE30-CFF20A2B25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19</xdr:col>
      <xdr:colOff>0</xdr:colOff>
      <xdr:row>54</xdr:row>
      <xdr:rowOff>0</xdr:rowOff>
    </xdr:from>
    <xdr:to>
      <xdr:col>37</xdr:col>
      <xdr:colOff>397279</xdr:colOff>
      <xdr:row>70</xdr:row>
      <xdr:rowOff>132311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2C91CC0-2BFA-4BC4-84F2-8C667DFFC7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19</xdr:col>
      <xdr:colOff>0</xdr:colOff>
      <xdr:row>72</xdr:row>
      <xdr:rowOff>0</xdr:rowOff>
    </xdr:from>
    <xdr:to>
      <xdr:col>37</xdr:col>
      <xdr:colOff>397279</xdr:colOff>
      <xdr:row>89</xdr:row>
      <xdr:rowOff>16741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BAE1271-21B5-441F-9C9B-23DB8BCBC8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19</xdr:col>
      <xdr:colOff>0</xdr:colOff>
      <xdr:row>91</xdr:row>
      <xdr:rowOff>0</xdr:rowOff>
    </xdr:from>
    <xdr:to>
      <xdr:col>37</xdr:col>
      <xdr:colOff>397279</xdr:colOff>
      <xdr:row>105</xdr:row>
      <xdr:rowOff>164696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2D6313E8-0B31-4DEB-869D-E6458641AB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19</xdr:col>
      <xdr:colOff>0</xdr:colOff>
      <xdr:row>107</xdr:row>
      <xdr:rowOff>0</xdr:rowOff>
    </xdr:from>
    <xdr:to>
      <xdr:col>37</xdr:col>
      <xdr:colOff>401089</xdr:colOff>
      <xdr:row>124</xdr:row>
      <xdr:rowOff>131273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AC8E7DCB-B284-4133-AB76-77A971987D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oneCellAnchor>
    <xdr:from>
      <xdr:col>1</xdr:col>
      <xdr:colOff>338666</xdr:colOff>
      <xdr:row>89</xdr:row>
      <xdr:rowOff>95251</xdr:rowOff>
    </xdr:from>
    <xdr:ext cx="2120078" cy="962024"/>
    <xdr:pic>
      <xdr:nvPicPr>
        <xdr:cNvPr id="30" name="Imagem 29">
          <a:extLst>
            <a:ext uri="{FF2B5EF4-FFF2-40B4-BE49-F238E27FC236}">
              <a16:creationId xmlns:a16="http://schemas.microsoft.com/office/drawing/2014/main" id="{857F8FB3-44FC-48EB-B7F1-DBE431999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4411" y="272416"/>
          <a:ext cx="2120078" cy="962024"/>
        </a:xfrm>
        <a:prstGeom prst="rect">
          <a:avLst/>
        </a:prstGeom>
      </xdr:spPr>
    </xdr:pic>
    <xdr:clientData/>
  </xdr:oneCellAnchor>
  <xdr:twoCellAnchor>
    <xdr:from>
      <xdr:col>1</xdr:col>
      <xdr:colOff>550272</xdr:colOff>
      <xdr:row>52</xdr:row>
      <xdr:rowOff>106953</xdr:rowOff>
    </xdr:from>
    <xdr:to>
      <xdr:col>3</xdr:col>
      <xdr:colOff>431618</xdr:colOff>
      <xdr:row>54</xdr:row>
      <xdr:rowOff>99060</xdr:rowOff>
    </xdr:to>
    <xdr:sp macro="" textlink="">
      <xdr:nvSpPr>
        <xdr:cNvPr id="21" name="Retângulo: Cantos Diagonais Arredondados 20">
          <a:extLst>
            <a:ext uri="{FF2B5EF4-FFF2-40B4-BE49-F238E27FC236}">
              <a16:creationId xmlns:a16="http://schemas.microsoft.com/office/drawing/2014/main" id="{A18A89E4-A19F-F4D9-4478-3857092DE6BE}"/>
            </a:ext>
          </a:extLst>
        </xdr:cNvPr>
        <xdr:cNvSpPr/>
      </xdr:nvSpPr>
      <xdr:spPr>
        <a:xfrm>
          <a:off x="795201" y="9849667"/>
          <a:ext cx="1813560" cy="345893"/>
        </a:xfrm>
        <a:prstGeom prst="round2DiagRect">
          <a:avLst/>
        </a:prstGeom>
        <a:solidFill>
          <a:srgbClr val="0D1A43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400" b="1"/>
            <a:t>ENTREGA - 01/06/26</a:t>
          </a:r>
        </a:p>
      </xdr:txBody>
    </xdr:sp>
    <xdr:clientData/>
  </xdr:twoCellAnchor>
  <xdr:twoCellAnchor>
    <xdr:from>
      <xdr:col>1</xdr:col>
      <xdr:colOff>513261</xdr:colOff>
      <xdr:row>70</xdr:row>
      <xdr:rowOff>50620</xdr:rowOff>
    </xdr:from>
    <xdr:to>
      <xdr:col>3</xdr:col>
      <xdr:colOff>394607</xdr:colOff>
      <xdr:row>72</xdr:row>
      <xdr:rowOff>25310</xdr:rowOff>
    </xdr:to>
    <xdr:sp macro="" textlink="">
      <xdr:nvSpPr>
        <xdr:cNvPr id="22" name="Retângulo: Cantos Diagonais Arredondados 21">
          <a:extLst>
            <a:ext uri="{FF2B5EF4-FFF2-40B4-BE49-F238E27FC236}">
              <a16:creationId xmlns:a16="http://schemas.microsoft.com/office/drawing/2014/main" id="{0FC9DBAA-2D0B-4FB1-A257-1A704682CEFD}"/>
            </a:ext>
          </a:extLst>
        </xdr:cNvPr>
        <xdr:cNvSpPr/>
      </xdr:nvSpPr>
      <xdr:spPr>
        <a:xfrm>
          <a:off x="758190" y="13045441"/>
          <a:ext cx="1813560" cy="342083"/>
        </a:xfrm>
        <a:prstGeom prst="round2DiagRect">
          <a:avLst/>
        </a:prstGeom>
        <a:solidFill>
          <a:srgbClr val="0D1A43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400" b="1"/>
            <a:t>ENTREGA - 01/07/26</a:t>
          </a: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0.07614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E10EB370-88B3-4321-A0BC-C026C72A917F}"/>
            </a:ext>
          </a:extLst>
        </cdr:cNvPr>
        <cdr:cNvSpPr txBox="1"/>
      </cdr:nvSpPr>
      <cdr:spPr>
        <a:xfrm xmlns:a="http://schemas.openxmlformats.org/drawingml/2006/main">
          <a:off x="0" y="0"/>
          <a:ext cx="11182878" cy="252000"/>
        </a:xfrm>
        <a:prstGeom xmlns:a="http://schemas.openxmlformats.org/drawingml/2006/main" prst="rect">
          <a:avLst/>
        </a:prstGeom>
        <a:solidFill xmlns:a="http://schemas.openxmlformats.org/drawingml/2006/main">
          <a:srgbClr val="FFC000"/>
        </a:solidFill>
        <a:ln xmlns:a="http://schemas.openxmlformats.org/drawingml/2006/main" w="12700">
          <a:solidFill>
            <a:sysClr val="windowText" lastClr="000000"/>
          </a:solidFill>
        </a:ln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pt-BR" sz="1400" b="1">
              <a:solidFill>
                <a:srgbClr val="FF0000"/>
              </a:solidFill>
            </a:rPr>
            <a:t>5º PAVIMENTO </a:t>
          </a:r>
          <a:r>
            <a:rPr lang="pt-BR" sz="1400" b="1">
              <a:solidFill>
                <a:sysClr val="windowText" lastClr="000000"/>
              </a:solidFill>
            </a:rPr>
            <a:t>| AVANÇO</a:t>
          </a:r>
          <a:r>
            <a:rPr lang="pt-BR" sz="1400" b="1" baseline="0">
              <a:solidFill>
                <a:sysClr val="windowText" lastClr="000000"/>
              </a:solidFill>
            </a:rPr>
            <a:t> FÍSICO POR ETAPA - </a:t>
          </a:r>
          <a:r>
            <a:rPr lang="pt-BR" sz="1400" b="1">
              <a:solidFill>
                <a:sysClr val="windowText" lastClr="000000"/>
              </a:solidFill>
            </a:rPr>
            <a:t>PREVISTO</a:t>
          </a:r>
          <a:r>
            <a:rPr lang="pt-BR" sz="1400" b="1" baseline="0">
              <a:solidFill>
                <a:sysClr val="windowText" lastClr="000000"/>
              </a:solidFill>
            </a:rPr>
            <a:t> x REALIZADO</a:t>
          </a:r>
          <a:endParaRPr lang="pt-BR" sz="1400" b="1">
            <a:solidFill>
              <a:sysClr val="windowText" lastClr="000000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0.175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88F118BA-3B2A-45CA-8C08-D9014B48768E}"/>
            </a:ext>
          </a:extLst>
        </cdr:cNvPr>
        <cdr:cNvSpPr txBox="1"/>
      </cdr:nvSpPr>
      <cdr:spPr>
        <a:xfrm xmlns:a="http://schemas.openxmlformats.org/drawingml/2006/main">
          <a:off x="0" y="0"/>
          <a:ext cx="11118354" cy="252000"/>
        </a:xfrm>
        <a:prstGeom xmlns:a="http://schemas.openxmlformats.org/drawingml/2006/main" prst="rect">
          <a:avLst/>
        </a:prstGeom>
        <a:solidFill xmlns:a="http://schemas.openxmlformats.org/drawingml/2006/main">
          <a:srgbClr val="FFC000"/>
        </a:solidFill>
        <a:ln xmlns:a="http://schemas.openxmlformats.org/drawingml/2006/main" w="9525">
          <a:solidFill>
            <a:schemeClr val="tx1"/>
          </a:solidFill>
        </a:ln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pt-BR" sz="1400" b="1"/>
            <a:t>EVOLUÇÃO FÍSICA GLOBAL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0.07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0FFE4997-D62D-4C9C-81D1-5C19047F55B2}"/>
            </a:ext>
          </a:extLst>
        </cdr:cNvPr>
        <cdr:cNvSpPr txBox="1"/>
      </cdr:nvSpPr>
      <cdr:spPr>
        <a:xfrm xmlns:a="http://schemas.openxmlformats.org/drawingml/2006/main">
          <a:off x="0" y="0"/>
          <a:ext cx="11181324" cy="252000"/>
        </a:xfrm>
        <a:prstGeom xmlns:a="http://schemas.openxmlformats.org/drawingml/2006/main" prst="rect">
          <a:avLst/>
        </a:prstGeom>
        <a:solidFill xmlns:a="http://schemas.openxmlformats.org/drawingml/2006/main">
          <a:srgbClr val="FFC000"/>
        </a:solidFill>
        <a:ln xmlns:a="http://schemas.openxmlformats.org/drawingml/2006/main" w="12700">
          <a:solidFill>
            <a:sysClr val="windowText" lastClr="000000"/>
          </a:solidFill>
        </a:ln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400" b="1">
              <a:effectLst/>
              <a:latin typeface="+mn-lt"/>
              <a:ea typeface="+mn-ea"/>
              <a:cs typeface="+mn-cs"/>
            </a:rPr>
            <a:t>AVANÇO</a:t>
          </a:r>
          <a:r>
            <a:rPr lang="pt-BR" sz="1400" b="1" baseline="0">
              <a:effectLst/>
              <a:latin typeface="+mn-lt"/>
              <a:ea typeface="+mn-ea"/>
              <a:cs typeface="+mn-cs"/>
            </a:rPr>
            <a:t> FÍSICO ACUMULADO </a:t>
          </a:r>
          <a:r>
            <a:rPr lang="en-US" sz="1400" b="1" i="0" baseline="0">
              <a:effectLst/>
              <a:latin typeface="+mn-lt"/>
              <a:ea typeface="+mn-ea"/>
              <a:cs typeface="+mn-cs"/>
            </a:rPr>
            <a:t>- PREVISTO x REALIZADO</a:t>
          </a:r>
          <a:endParaRPr lang="pt-BR" sz="1400"/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0.075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F129723E-859C-46A6-BCAA-D1160689015E}"/>
            </a:ext>
          </a:extLst>
        </cdr:cNvPr>
        <cdr:cNvSpPr txBox="1"/>
      </cdr:nvSpPr>
      <cdr:spPr>
        <a:xfrm xmlns:a="http://schemas.openxmlformats.org/drawingml/2006/main">
          <a:off x="0" y="0"/>
          <a:ext cx="10800000" cy="324000"/>
        </a:xfrm>
        <a:prstGeom xmlns:a="http://schemas.openxmlformats.org/drawingml/2006/main" prst="rect">
          <a:avLst/>
        </a:prstGeom>
        <a:solidFill xmlns:a="http://schemas.openxmlformats.org/drawingml/2006/main">
          <a:srgbClr val="FFC000"/>
        </a:solidFill>
        <a:ln xmlns:a="http://schemas.openxmlformats.org/drawingml/2006/main" w="12700" cmpd="sng">
          <a:solidFill>
            <a:schemeClr val="tx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/>
          <a:r>
            <a:rPr lang="pt-BR" sz="14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CURVA "S" DE TRABALHO PREVISTO REALIZADO</a:t>
          </a:r>
          <a:endParaRPr lang="pt-BR" sz="1400" b="1">
            <a:effectLst/>
          </a:endParaRP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0.06857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5197CA70-9CB7-4AD5-8FFD-CD078CEC03D1}"/>
            </a:ext>
          </a:extLst>
        </cdr:cNvPr>
        <cdr:cNvSpPr txBox="1"/>
      </cdr:nvSpPr>
      <cdr:spPr>
        <a:xfrm xmlns:a="http://schemas.openxmlformats.org/drawingml/2006/main">
          <a:off x="0" y="0"/>
          <a:ext cx="16265897" cy="324000"/>
        </a:xfrm>
        <a:prstGeom xmlns:a="http://schemas.openxmlformats.org/drawingml/2006/main" prst="rect">
          <a:avLst/>
        </a:prstGeom>
        <a:solidFill xmlns:a="http://schemas.openxmlformats.org/drawingml/2006/main">
          <a:srgbClr val="FFC000"/>
        </a:solidFill>
        <a:ln xmlns:a="http://schemas.openxmlformats.org/drawingml/2006/main" w="9525">
          <a:solidFill>
            <a:sysClr val="windowText" lastClr="000000"/>
          </a:solidFill>
        </a:ln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1" i="0" baseline="0">
              <a:effectLst/>
              <a:latin typeface="+mn-lt"/>
              <a:ea typeface="+mn-ea"/>
              <a:cs typeface="+mn-cs"/>
            </a:rPr>
            <a:t>HISTOGRAMA DE MÃO DE OBRA - PREVISTO X REALIZADO</a:t>
          </a:r>
          <a:endParaRPr lang="pt-BR" sz="1400">
            <a:effectLst/>
          </a:endParaRPr>
        </a:p>
        <a:p xmlns:a="http://schemas.openxmlformats.org/drawingml/2006/main">
          <a:r>
            <a:rPr lang="pt-BR" sz="1100"/>
            <a:t>E</a:t>
          </a:r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0.07614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E10EB370-88B3-4321-A0BC-C026C72A917F}"/>
            </a:ext>
          </a:extLst>
        </cdr:cNvPr>
        <cdr:cNvSpPr txBox="1"/>
      </cdr:nvSpPr>
      <cdr:spPr>
        <a:xfrm xmlns:a="http://schemas.openxmlformats.org/drawingml/2006/main">
          <a:off x="0" y="0"/>
          <a:ext cx="11182878" cy="252000"/>
        </a:xfrm>
        <a:prstGeom xmlns:a="http://schemas.openxmlformats.org/drawingml/2006/main" prst="rect">
          <a:avLst/>
        </a:prstGeom>
        <a:solidFill xmlns:a="http://schemas.openxmlformats.org/drawingml/2006/main">
          <a:srgbClr val="FFC000"/>
        </a:solidFill>
        <a:ln xmlns:a="http://schemas.openxmlformats.org/drawingml/2006/main" w="12700">
          <a:solidFill>
            <a:sysClr val="windowText" lastClr="000000"/>
          </a:solidFill>
        </a:ln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pt-BR" sz="1400" b="1">
              <a:solidFill>
                <a:srgbClr val="FF0000"/>
              </a:solidFill>
            </a:rPr>
            <a:t>6º PAVIMENTO</a:t>
          </a:r>
          <a:r>
            <a:rPr lang="pt-BR" sz="1400" b="1" baseline="0">
              <a:solidFill>
                <a:srgbClr val="FF0000"/>
              </a:solidFill>
            </a:rPr>
            <a:t> </a:t>
          </a:r>
          <a:r>
            <a:rPr lang="pt-BR" sz="1400" b="1" baseline="0">
              <a:solidFill>
                <a:sysClr val="windowText" lastClr="000000"/>
              </a:solidFill>
            </a:rPr>
            <a:t>| </a:t>
          </a:r>
          <a:r>
            <a:rPr lang="pt-BR" sz="1400" b="1">
              <a:solidFill>
                <a:sysClr val="windowText" lastClr="000000"/>
              </a:solidFill>
            </a:rPr>
            <a:t>AVANÇO</a:t>
          </a:r>
          <a:r>
            <a:rPr lang="pt-BR" sz="1400" b="1" baseline="0">
              <a:solidFill>
                <a:sysClr val="windowText" lastClr="000000"/>
              </a:solidFill>
            </a:rPr>
            <a:t> FÍSICO POR ETAPA - </a:t>
          </a:r>
          <a:r>
            <a:rPr lang="pt-BR" sz="1400" b="1">
              <a:solidFill>
                <a:sysClr val="windowText" lastClr="000000"/>
              </a:solidFill>
            </a:rPr>
            <a:t>PREVISTO</a:t>
          </a:r>
          <a:r>
            <a:rPr lang="pt-BR" sz="1400" b="1" baseline="0">
              <a:solidFill>
                <a:sysClr val="windowText" lastClr="000000"/>
              </a:solidFill>
            </a:rPr>
            <a:t> x REALIZADO</a:t>
          </a:r>
          <a:endParaRPr lang="pt-BR" sz="1400" b="1">
            <a:solidFill>
              <a:sysClr val="windowText" lastClr="000000"/>
            </a:solidFill>
          </a:endParaRPr>
        </a:p>
      </cdr:txBody>
    </cdr: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0.07614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E10EB370-88B3-4321-A0BC-C026C72A917F}"/>
            </a:ext>
          </a:extLst>
        </cdr:cNvPr>
        <cdr:cNvSpPr txBox="1"/>
      </cdr:nvSpPr>
      <cdr:spPr>
        <a:xfrm xmlns:a="http://schemas.openxmlformats.org/drawingml/2006/main">
          <a:off x="0" y="0"/>
          <a:ext cx="11182878" cy="252000"/>
        </a:xfrm>
        <a:prstGeom xmlns:a="http://schemas.openxmlformats.org/drawingml/2006/main" prst="rect">
          <a:avLst/>
        </a:prstGeom>
        <a:solidFill xmlns:a="http://schemas.openxmlformats.org/drawingml/2006/main">
          <a:srgbClr val="FFC000"/>
        </a:solidFill>
        <a:ln xmlns:a="http://schemas.openxmlformats.org/drawingml/2006/main" w="12700">
          <a:solidFill>
            <a:sysClr val="windowText" lastClr="000000"/>
          </a:solidFill>
        </a:ln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pt-BR" sz="1400" b="1">
              <a:solidFill>
                <a:sysClr val="windowText" lastClr="000000"/>
              </a:solidFill>
            </a:rPr>
            <a:t>AVANÇO</a:t>
          </a:r>
          <a:r>
            <a:rPr lang="pt-BR" sz="1400" b="1" baseline="0">
              <a:solidFill>
                <a:sysClr val="windowText" lastClr="000000"/>
              </a:solidFill>
            </a:rPr>
            <a:t> FÍSICO POR PAVIMENTO - </a:t>
          </a:r>
          <a:r>
            <a:rPr lang="pt-BR" sz="1400" b="1">
              <a:solidFill>
                <a:sysClr val="windowText" lastClr="000000"/>
              </a:solidFill>
            </a:rPr>
            <a:t>PREVISTO</a:t>
          </a:r>
          <a:r>
            <a:rPr lang="pt-BR" sz="1400" b="1" baseline="0">
              <a:solidFill>
                <a:sysClr val="windowText" lastClr="000000"/>
              </a:solidFill>
            </a:rPr>
            <a:t> x REALIZADO</a:t>
          </a:r>
          <a:endParaRPr lang="pt-BR" sz="1400" b="1">
            <a:solidFill>
              <a:sysClr val="windowText" lastClr="000000"/>
            </a:solidFill>
          </a:endParaRP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0.07614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E10EB370-88B3-4321-A0BC-C026C72A917F}"/>
            </a:ext>
          </a:extLst>
        </cdr:cNvPr>
        <cdr:cNvSpPr txBox="1"/>
      </cdr:nvSpPr>
      <cdr:spPr>
        <a:xfrm xmlns:a="http://schemas.openxmlformats.org/drawingml/2006/main">
          <a:off x="0" y="0"/>
          <a:ext cx="11182878" cy="252000"/>
        </a:xfrm>
        <a:prstGeom xmlns:a="http://schemas.openxmlformats.org/drawingml/2006/main" prst="rect">
          <a:avLst/>
        </a:prstGeom>
        <a:solidFill xmlns:a="http://schemas.openxmlformats.org/drawingml/2006/main">
          <a:srgbClr val="FFC000"/>
        </a:solidFill>
        <a:ln xmlns:a="http://schemas.openxmlformats.org/drawingml/2006/main" w="12700">
          <a:solidFill>
            <a:sysClr val="windowText" lastClr="000000"/>
          </a:solidFill>
        </a:ln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pt-BR" sz="1400" b="1">
              <a:solidFill>
                <a:srgbClr val="FF0000"/>
              </a:solidFill>
            </a:rPr>
            <a:t>7º PAVIMENTO </a:t>
          </a:r>
          <a:r>
            <a:rPr lang="pt-BR" sz="1400" b="1">
              <a:solidFill>
                <a:sysClr val="windowText" lastClr="000000"/>
              </a:solidFill>
            </a:rPr>
            <a:t>| AVANÇO</a:t>
          </a:r>
          <a:r>
            <a:rPr lang="pt-BR" sz="1400" b="1" baseline="0">
              <a:solidFill>
                <a:sysClr val="windowText" lastClr="000000"/>
              </a:solidFill>
            </a:rPr>
            <a:t> FÍSICO POR ETAPA - </a:t>
          </a:r>
          <a:r>
            <a:rPr lang="pt-BR" sz="1400" b="1">
              <a:solidFill>
                <a:sysClr val="windowText" lastClr="000000"/>
              </a:solidFill>
            </a:rPr>
            <a:t>PREVISTO</a:t>
          </a:r>
          <a:r>
            <a:rPr lang="pt-BR" sz="1400" b="1" baseline="0">
              <a:solidFill>
                <a:sysClr val="windowText" lastClr="000000"/>
              </a:solidFill>
            </a:rPr>
            <a:t> x REALIZADO</a:t>
          </a:r>
          <a:endParaRPr lang="pt-BR" sz="1400" b="1">
            <a:solidFill>
              <a:sysClr val="windowText" lastClr="000000"/>
            </a:solidFill>
          </a:endParaRPr>
        </a:p>
      </cdr:txBody>
    </cdr:sp>
  </cdr:relSizeAnchor>
</c:userShapes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0.07614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E10EB370-88B3-4321-A0BC-C026C72A917F}"/>
            </a:ext>
          </a:extLst>
        </cdr:cNvPr>
        <cdr:cNvSpPr txBox="1"/>
      </cdr:nvSpPr>
      <cdr:spPr>
        <a:xfrm xmlns:a="http://schemas.openxmlformats.org/drawingml/2006/main">
          <a:off x="0" y="0"/>
          <a:ext cx="11182878" cy="252000"/>
        </a:xfrm>
        <a:prstGeom xmlns:a="http://schemas.openxmlformats.org/drawingml/2006/main" prst="rect">
          <a:avLst/>
        </a:prstGeom>
        <a:solidFill xmlns:a="http://schemas.openxmlformats.org/drawingml/2006/main">
          <a:srgbClr val="FFC000"/>
        </a:solidFill>
        <a:ln xmlns:a="http://schemas.openxmlformats.org/drawingml/2006/main" w="12700">
          <a:solidFill>
            <a:sysClr val="windowText" lastClr="000000"/>
          </a:solidFill>
        </a:ln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pt-BR" sz="1400" b="1">
              <a:solidFill>
                <a:srgbClr val="FF0000"/>
              </a:solidFill>
            </a:rPr>
            <a:t>8º PAVIMENTO </a:t>
          </a:r>
          <a:r>
            <a:rPr lang="pt-BR" sz="1400" b="1">
              <a:solidFill>
                <a:sysClr val="windowText" lastClr="000000"/>
              </a:solidFill>
            </a:rPr>
            <a:t>|</a:t>
          </a:r>
          <a:r>
            <a:rPr lang="pt-BR" sz="1400" b="1" baseline="0">
              <a:solidFill>
                <a:sysClr val="windowText" lastClr="000000"/>
              </a:solidFill>
            </a:rPr>
            <a:t> </a:t>
          </a:r>
          <a:r>
            <a:rPr lang="pt-BR" sz="1400" b="1">
              <a:solidFill>
                <a:sysClr val="windowText" lastClr="000000"/>
              </a:solidFill>
            </a:rPr>
            <a:t>AVANÇO</a:t>
          </a:r>
          <a:r>
            <a:rPr lang="pt-BR" sz="1400" b="1" baseline="0">
              <a:solidFill>
                <a:sysClr val="windowText" lastClr="000000"/>
              </a:solidFill>
            </a:rPr>
            <a:t> FÍSICO POR ETAPA - </a:t>
          </a:r>
          <a:r>
            <a:rPr lang="pt-BR" sz="1400" b="1">
              <a:solidFill>
                <a:sysClr val="windowText" lastClr="000000"/>
              </a:solidFill>
            </a:rPr>
            <a:t>PREVISTO</a:t>
          </a:r>
          <a:r>
            <a:rPr lang="pt-BR" sz="1400" b="1" baseline="0">
              <a:solidFill>
                <a:sysClr val="windowText" lastClr="000000"/>
              </a:solidFill>
            </a:rPr>
            <a:t> x REALIZADO</a:t>
          </a:r>
          <a:endParaRPr lang="pt-BR" sz="1400" b="1">
            <a:solidFill>
              <a:sysClr val="windowText" lastClr="000000"/>
            </a:solidFill>
          </a:endParaRPr>
        </a:p>
      </cdr:txBody>
    </cdr:sp>
  </cdr:relSizeAnchor>
</c:userShapes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0.07614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E10EB370-88B3-4321-A0BC-C026C72A917F}"/>
            </a:ext>
          </a:extLst>
        </cdr:cNvPr>
        <cdr:cNvSpPr txBox="1"/>
      </cdr:nvSpPr>
      <cdr:spPr>
        <a:xfrm xmlns:a="http://schemas.openxmlformats.org/drawingml/2006/main">
          <a:off x="0" y="0"/>
          <a:ext cx="11182878" cy="252000"/>
        </a:xfrm>
        <a:prstGeom xmlns:a="http://schemas.openxmlformats.org/drawingml/2006/main" prst="rect">
          <a:avLst/>
        </a:prstGeom>
        <a:solidFill xmlns:a="http://schemas.openxmlformats.org/drawingml/2006/main">
          <a:srgbClr val="FFC000"/>
        </a:solidFill>
        <a:ln xmlns:a="http://schemas.openxmlformats.org/drawingml/2006/main" w="12700">
          <a:solidFill>
            <a:sysClr val="windowText" lastClr="000000"/>
          </a:solidFill>
        </a:ln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pt-BR" sz="1400" b="1">
              <a:solidFill>
                <a:srgbClr val="FF0000"/>
              </a:solidFill>
            </a:rPr>
            <a:t>9º PAVIMENTO </a:t>
          </a:r>
          <a:r>
            <a:rPr lang="pt-BR" sz="1400" b="1">
              <a:solidFill>
                <a:sysClr val="windowText" lastClr="000000"/>
              </a:solidFill>
            </a:rPr>
            <a:t>|</a:t>
          </a:r>
          <a:r>
            <a:rPr lang="pt-BR" sz="1400" b="1" baseline="0">
              <a:solidFill>
                <a:sysClr val="windowText" lastClr="000000"/>
              </a:solidFill>
            </a:rPr>
            <a:t> </a:t>
          </a:r>
          <a:r>
            <a:rPr lang="pt-BR" sz="1400" b="1">
              <a:solidFill>
                <a:sysClr val="windowText" lastClr="000000"/>
              </a:solidFill>
            </a:rPr>
            <a:t>AVANÇO</a:t>
          </a:r>
          <a:r>
            <a:rPr lang="pt-BR" sz="1400" b="1" baseline="0">
              <a:solidFill>
                <a:sysClr val="windowText" lastClr="000000"/>
              </a:solidFill>
            </a:rPr>
            <a:t> FÍSICO POR ETAPA - </a:t>
          </a:r>
          <a:r>
            <a:rPr lang="pt-BR" sz="1400" b="1">
              <a:solidFill>
                <a:sysClr val="windowText" lastClr="000000"/>
              </a:solidFill>
            </a:rPr>
            <a:t>PREVISTO</a:t>
          </a:r>
          <a:r>
            <a:rPr lang="pt-BR" sz="1400" b="1" baseline="0">
              <a:solidFill>
                <a:sysClr val="windowText" lastClr="000000"/>
              </a:solidFill>
            </a:rPr>
            <a:t> x REALIZADO</a:t>
          </a:r>
          <a:endParaRPr lang="pt-BR" sz="1400" b="1">
            <a:solidFill>
              <a:sysClr val="windowText" lastClr="000000"/>
            </a:solidFill>
          </a:endParaRPr>
        </a:p>
      </cdr:txBody>
    </cdr:sp>
  </cdr:relSizeAnchor>
</c:userShapes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0.07614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E10EB370-88B3-4321-A0BC-C026C72A917F}"/>
            </a:ext>
          </a:extLst>
        </cdr:cNvPr>
        <cdr:cNvSpPr txBox="1"/>
      </cdr:nvSpPr>
      <cdr:spPr>
        <a:xfrm xmlns:a="http://schemas.openxmlformats.org/drawingml/2006/main">
          <a:off x="0" y="0"/>
          <a:ext cx="11182878" cy="252000"/>
        </a:xfrm>
        <a:prstGeom xmlns:a="http://schemas.openxmlformats.org/drawingml/2006/main" prst="rect">
          <a:avLst/>
        </a:prstGeom>
        <a:solidFill xmlns:a="http://schemas.openxmlformats.org/drawingml/2006/main">
          <a:srgbClr val="FFC000"/>
        </a:solidFill>
        <a:ln xmlns:a="http://schemas.openxmlformats.org/drawingml/2006/main" w="12700">
          <a:solidFill>
            <a:sysClr val="windowText" lastClr="000000"/>
          </a:solidFill>
        </a:ln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pt-BR" sz="1400" b="1">
              <a:solidFill>
                <a:srgbClr val="FF0000"/>
              </a:solidFill>
            </a:rPr>
            <a:t>10º PAVIMENTO </a:t>
          </a:r>
          <a:r>
            <a:rPr lang="pt-BR" sz="1400" b="1">
              <a:solidFill>
                <a:sysClr val="windowText" lastClr="000000"/>
              </a:solidFill>
            </a:rPr>
            <a:t>|</a:t>
          </a:r>
          <a:r>
            <a:rPr lang="pt-BR" sz="1400" b="1" baseline="0">
              <a:solidFill>
                <a:sysClr val="windowText" lastClr="000000"/>
              </a:solidFill>
            </a:rPr>
            <a:t> </a:t>
          </a:r>
          <a:r>
            <a:rPr lang="pt-BR" sz="1400" b="1">
              <a:solidFill>
                <a:sysClr val="windowText" lastClr="000000"/>
              </a:solidFill>
            </a:rPr>
            <a:t>AVANÇO</a:t>
          </a:r>
          <a:r>
            <a:rPr lang="pt-BR" sz="1400" b="1" baseline="0">
              <a:solidFill>
                <a:sysClr val="windowText" lastClr="000000"/>
              </a:solidFill>
            </a:rPr>
            <a:t> FÍSICO POR ETAPA - </a:t>
          </a:r>
          <a:r>
            <a:rPr lang="pt-BR" sz="1400" b="1">
              <a:solidFill>
                <a:sysClr val="windowText" lastClr="000000"/>
              </a:solidFill>
            </a:rPr>
            <a:t>PREVISTO</a:t>
          </a:r>
          <a:r>
            <a:rPr lang="pt-BR" sz="1400" b="1" baseline="0">
              <a:solidFill>
                <a:sysClr val="windowText" lastClr="000000"/>
              </a:solidFill>
            </a:rPr>
            <a:t> x REALIZADO</a:t>
          </a:r>
          <a:endParaRPr lang="pt-BR" sz="1400" b="1">
            <a:solidFill>
              <a:sysClr val="windowText" lastClr="000000"/>
            </a:solidFill>
          </a:endParaRPr>
        </a:p>
      </cdr:txBody>
    </cdr: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123265</xdr:colOff>
      <xdr:row>1</xdr:row>
      <xdr:rowOff>156882</xdr:rowOff>
    </xdr:from>
    <xdr:to>
      <xdr:col>3</xdr:col>
      <xdr:colOff>593595</xdr:colOff>
      <xdr:row>5</xdr:row>
      <xdr:rowOff>56030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638688C-57EF-4BAE-939D-27ECEE54C9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383" y="616323"/>
          <a:ext cx="3708830" cy="717177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67235</xdr:colOff>
      <xdr:row>12</xdr:row>
      <xdr:rowOff>134470</xdr:rowOff>
    </xdr:from>
    <xdr:to>
      <xdr:col>3</xdr:col>
      <xdr:colOff>768723</xdr:colOff>
      <xdr:row>13</xdr:row>
      <xdr:rowOff>560169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F5F47FB9-0D88-C3BF-A632-2CF6EA9F02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53" y="2454088"/>
          <a:ext cx="3939988" cy="761876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riana Castilho" id="{B938FA2A-8697-4C81-8159-65E664BEC1E9}" userId="S-1-5-21-3812943338-171860603-3978216477-1635" providerId="AD"/>
  <person displayName="Bruno Henrique Guimaraes Goncalves" id="{1B4ED4EC-5B84-4BE5-BE75-45646D99D142}" userId="S::ra00171246@pucsp.edu.br::08c80ede-fab2-4e09-8115-706548193119" providerId="AD"/>
</personList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B14" dT="2020-08-07T20:01:41.18" personId="{1B4ED4EC-5B84-4BE5-BE75-45646D99D142}" id="{C1AAC995-B054-4ED6-AE5A-0BA2B00A66CA}">
    <text>SEM RDO, problema celular Nycolas</text>
  </threadedComment>
  <threadedComment ref="AB21" dT="2023-03-31T15:00:05.55" personId="{B938FA2A-8697-4C81-8159-65E664BEC1E9}" id="{159F1893-FB7B-417F-9315-AF6E3EE2D7BE}">
    <text>Obra paralisada - falta de frente de serviço.</text>
  </threadedComment>
  <threadedComment ref="AC21" dT="2023-03-31T15:00:10.40" personId="{B938FA2A-8697-4C81-8159-65E664BEC1E9}" id="{00CD80B7-827D-4758-8AC8-0DEA08D16F9D}">
    <text xml:space="preserve">Obra paralisada - falta de frente de serviço.
</text>
  </threadedComment>
  <threadedComment ref="AD21" dT="2023-03-31T15:00:14.72" personId="{B938FA2A-8697-4C81-8159-65E664BEC1E9}" id="{A10E3694-B8A3-4C67-A416-FF7D2A70703D}">
    <text xml:space="preserve">Obra paralisada - falta de frente de serviço.
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4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FC05B-229C-4D4D-BA4A-84846488AE77}">
  <sheetPr>
    <pageSetUpPr fitToPage="1"/>
  </sheetPr>
  <dimension ref="A1:BG122"/>
  <sheetViews>
    <sheetView showGridLines="0" tabSelected="1" view="pageBreakPreview" zoomScale="70" zoomScaleNormal="91" zoomScaleSheetLayoutView="70" workbookViewId="0">
      <selection activeCell="X51" sqref="X51"/>
    </sheetView>
  </sheetViews>
  <sheetFormatPr defaultRowHeight="14.4" x14ac:dyDescent="0.3"/>
  <cols>
    <col min="1" max="1" width="3.6640625" customWidth="1"/>
    <col min="3" max="3" width="19.109375" customWidth="1"/>
    <col min="6" max="6" width="9.109375" customWidth="1"/>
    <col min="8" max="8" width="11" customWidth="1"/>
    <col min="9" max="9" width="12.109375" bestFit="1" customWidth="1"/>
    <col min="13" max="14" width="9.109375" customWidth="1"/>
    <col min="15" max="15" width="12" customWidth="1"/>
    <col min="17" max="17" width="14.6640625" customWidth="1"/>
    <col min="18" max="18" width="3.6640625" customWidth="1"/>
  </cols>
  <sheetData>
    <row r="1" spans="1:59" x14ac:dyDescent="0.3">
      <c r="A1" s="27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9"/>
    </row>
    <row r="2" spans="1:59" s="12" customFormat="1" ht="23.4" x14ac:dyDescent="0.45">
      <c r="A2" s="30"/>
      <c r="B2" s="48"/>
      <c r="C2" s="48"/>
      <c r="D2" s="48"/>
      <c r="E2" s="48"/>
      <c r="F2" s="49"/>
      <c r="G2" s="49"/>
      <c r="H2" s="49"/>
      <c r="I2" s="50" t="s">
        <v>165</v>
      </c>
      <c r="J2" s="48"/>
      <c r="K2" s="48"/>
      <c r="L2" s="49"/>
      <c r="M2" s="49"/>
      <c r="N2" s="48"/>
      <c r="O2" s="48"/>
      <c r="P2" s="48"/>
      <c r="Q2" s="48"/>
      <c r="R2" s="31"/>
      <c r="S2" s="11"/>
      <c r="T2" s="11"/>
      <c r="U2" s="11"/>
      <c r="V2" s="11"/>
      <c r="W2" s="11"/>
      <c r="X2" s="11"/>
      <c r="Y2" s="11"/>
      <c r="Z2" s="11"/>
      <c r="AA2" s="11"/>
      <c r="AB2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</row>
    <row r="3" spans="1:59" s="14" customFormat="1" ht="21" x14ac:dyDescent="0.3">
      <c r="A3" s="32"/>
      <c r="B3" s="52"/>
      <c r="C3" s="52"/>
      <c r="D3" s="54"/>
      <c r="E3" s="54"/>
      <c r="F3" s="55"/>
      <c r="G3" s="55"/>
      <c r="H3" s="55"/>
      <c r="I3" s="59" t="s">
        <v>139</v>
      </c>
      <c r="J3" s="54"/>
      <c r="K3" s="54"/>
      <c r="L3" s="55"/>
      <c r="M3" s="55"/>
      <c r="N3" s="56" t="s">
        <v>169</v>
      </c>
      <c r="O3" s="51" t="s">
        <v>233</v>
      </c>
      <c r="P3" s="58"/>
      <c r="Q3" s="54"/>
      <c r="R3" s="33"/>
      <c r="S3" s="13"/>
      <c r="T3" s="13"/>
      <c r="U3" s="13"/>
      <c r="V3" s="13"/>
      <c r="W3" s="13"/>
      <c r="X3" s="13"/>
      <c r="Y3" s="13"/>
      <c r="Z3" s="13"/>
      <c r="AA3" s="13"/>
      <c r="AB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</row>
    <row r="4" spans="1:59" s="14" customFormat="1" ht="15.75" customHeight="1" x14ac:dyDescent="0.3">
      <c r="A4" s="34"/>
      <c r="B4" s="52"/>
      <c r="C4" s="52"/>
      <c r="D4" s="58"/>
      <c r="E4" s="58"/>
      <c r="F4" s="55"/>
      <c r="G4" s="55"/>
      <c r="H4" s="55"/>
      <c r="I4" s="67" t="s">
        <v>234</v>
      </c>
      <c r="J4" s="58"/>
      <c r="K4" s="58"/>
      <c r="L4" s="55"/>
      <c r="M4" s="55"/>
      <c r="N4" s="61" t="s">
        <v>170</v>
      </c>
      <c r="O4" s="60" t="s">
        <v>212</v>
      </c>
      <c r="P4" s="55"/>
      <c r="Q4" s="58"/>
      <c r="R4" s="35"/>
      <c r="S4" s="15"/>
      <c r="T4" s="15"/>
      <c r="U4" s="15"/>
      <c r="V4" s="15"/>
      <c r="W4" s="15"/>
      <c r="X4" s="15"/>
      <c r="Y4" s="15"/>
      <c r="Z4" s="15"/>
      <c r="AA4" s="15"/>
      <c r="AB4"/>
      <c r="AC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</row>
    <row r="5" spans="1:59" s="17" customFormat="1" ht="15.75" customHeight="1" x14ac:dyDescent="0.35">
      <c r="A5" s="36"/>
      <c r="B5" s="53"/>
      <c r="C5" s="53"/>
      <c r="D5" s="55"/>
      <c r="E5" s="55"/>
      <c r="F5" s="55"/>
      <c r="G5" s="55"/>
      <c r="H5" s="55"/>
      <c r="I5" s="66" t="s">
        <v>164</v>
      </c>
      <c r="J5" s="55"/>
      <c r="K5" s="55"/>
      <c r="L5" s="55"/>
      <c r="M5" s="55"/>
      <c r="N5" s="56" t="s">
        <v>171</v>
      </c>
      <c r="O5" s="57" t="s">
        <v>213</v>
      </c>
      <c r="P5" s="64"/>
      <c r="Q5" s="55"/>
      <c r="R5" s="37"/>
      <c r="S5" s="14"/>
      <c r="T5" s="14"/>
      <c r="U5" s="14"/>
      <c r="V5" s="14"/>
      <c r="W5" s="14"/>
      <c r="X5" s="14"/>
      <c r="Y5" s="14"/>
      <c r="Z5" s="14"/>
      <c r="AG5" s="18"/>
      <c r="AH5" s="19"/>
      <c r="AJ5" s="18"/>
      <c r="AP5" s="18"/>
      <c r="AQ5" s="19"/>
      <c r="AS5" s="18"/>
      <c r="BC5" s="18"/>
    </row>
    <row r="6" spans="1:59" s="17" customFormat="1" ht="15.75" customHeight="1" x14ac:dyDescent="0.35">
      <c r="A6" s="36"/>
      <c r="B6" s="53"/>
      <c r="C6" s="53"/>
      <c r="D6" s="62"/>
      <c r="E6" s="63"/>
      <c r="F6" s="63"/>
      <c r="G6" s="63"/>
      <c r="H6" s="63"/>
      <c r="I6" s="53"/>
      <c r="J6" s="63"/>
      <c r="K6" s="63"/>
      <c r="L6" s="63"/>
      <c r="M6" s="63"/>
      <c r="N6" s="53"/>
      <c r="O6" s="53"/>
      <c r="P6" s="53"/>
      <c r="Q6" s="65"/>
      <c r="R6" s="39"/>
      <c r="S6" s="18"/>
      <c r="T6" s="18"/>
      <c r="U6" s="18"/>
      <c r="V6" s="18"/>
      <c r="W6" s="18"/>
      <c r="X6" s="18"/>
      <c r="Y6" s="18"/>
      <c r="AG6" s="18"/>
      <c r="AH6" s="18"/>
      <c r="AP6" s="18"/>
      <c r="AQ6" s="18"/>
      <c r="BC6" s="18"/>
    </row>
    <row r="7" spans="1:59" s="17" customFormat="1" ht="10.5" customHeight="1" x14ac:dyDescent="0.35">
      <c r="A7" s="36"/>
      <c r="B7" s="40"/>
      <c r="C7" s="38"/>
      <c r="D7" s="38"/>
      <c r="E7" s="38"/>
      <c r="F7" s="38"/>
      <c r="G7" s="38"/>
      <c r="H7" s="38"/>
      <c r="I7" s="283"/>
      <c r="J7" s="38"/>
      <c r="K7" s="38"/>
      <c r="L7" s="38"/>
      <c r="M7" s="38"/>
      <c r="N7" s="38"/>
      <c r="O7" s="38"/>
      <c r="P7" s="38"/>
      <c r="Q7" s="38"/>
      <c r="R7" s="4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G7" s="22"/>
    </row>
    <row r="8" spans="1:59" s="23" customFormat="1" ht="27" customHeight="1" x14ac:dyDescent="0.3">
      <c r="A8" s="42"/>
      <c r="B8" s="24"/>
      <c r="C8" s="25" t="s">
        <v>35</v>
      </c>
      <c r="D8" s="301">
        <v>46048</v>
      </c>
      <c r="E8" s="301"/>
      <c r="F8" s="26"/>
      <c r="G8" s="26"/>
      <c r="H8" s="25" t="s">
        <v>34</v>
      </c>
      <c r="I8" s="300">
        <v>46073</v>
      </c>
      <c r="J8" s="300"/>
      <c r="K8" s="26"/>
      <c r="L8" s="26"/>
      <c r="M8" s="26"/>
      <c r="N8" s="25" t="s">
        <v>36</v>
      </c>
      <c r="O8" s="302">
        <v>46366</v>
      </c>
      <c r="P8" s="302"/>
      <c r="Q8" s="286"/>
      <c r="R8" s="43"/>
      <c r="S8"/>
      <c r="T8"/>
      <c r="U8"/>
      <c r="V8"/>
      <c r="W8"/>
      <c r="X8"/>
      <c r="Y8"/>
      <c r="Z8"/>
      <c r="AA8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</row>
    <row r="9" spans="1:59" s="21" customFormat="1" ht="15" customHeight="1" x14ac:dyDescent="0.3">
      <c r="A9" s="44"/>
      <c r="B9" s="45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6"/>
    </row>
    <row r="10" spans="1:59" s="21" customFormat="1" ht="15" customHeight="1" x14ac:dyDescent="0.3">
      <c r="A10" s="44"/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6"/>
    </row>
    <row r="11" spans="1:59" s="21" customFormat="1" ht="15" customHeight="1" x14ac:dyDescent="0.3">
      <c r="A11" s="44"/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6"/>
    </row>
    <row r="12" spans="1:59" s="21" customFormat="1" ht="15" customHeight="1" x14ac:dyDescent="0.3">
      <c r="A12" s="44"/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6"/>
    </row>
    <row r="13" spans="1:59" s="21" customFormat="1" ht="15" customHeight="1" x14ac:dyDescent="0.3">
      <c r="A13" s="44"/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6"/>
    </row>
    <row r="14" spans="1:59" s="21" customFormat="1" ht="15" customHeight="1" x14ac:dyDescent="0.3">
      <c r="A14" s="44"/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6"/>
    </row>
    <row r="15" spans="1:59" s="21" customFormat="1" ht="15" customHeight="1" x14ac:dyDescent="0.3">
      <c r="A15" s="44"/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6"/>
    </row>
    <row r="16" spans="1:59" s="21" customFormat="1" ht="15" customHeight="1" x14ac:dyDescent="0.3">
      <c r="A16" s="44"/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6"/>
    </row>
    <row r="17" spans="1:18" s="21" customFormat="1" ht="15" customHeight="1" x14ac:dyDescent="0.3">
      <c r="A17" s="44"/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6"/>
    </row>
    <row r="18" spans="1:18" x14ac:dyDescent="0.3">
      <c r="A18" s="42"/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3"/>
    </row>
    <row r="19" spans="1:18" x14ac:dyDescent="0.3">
      <c r="A19" s="42"/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3"/>
    </row>
    <row r="20" spans="1:18" x14ac:dyDescent="0.3">
      <c r="A20" s="42"/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3"/>
    </row>
    <row r="21" spans="1:18" x14ac:dyDescent="0.3">
      <c r="A21" s="42"/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3"/>
    </row>
    <row r="22" spans="1:18" x14ac:dyDescent="0.3">
      <c r="A22" s="42"/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3"/>
    </row>
    <row r="23" spans="1:18" x14ac:dyDescent="0.3">
      <c r="A23" s="42"/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3"/>
    </row>
    <row r="24" spans="1:18" x14ac:dyDescent="0.3">
      <c r="A24" s="42"/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3"/>
    </row>
    <row r="25" spans="1:18" x14ac:dyDescent="0.3">
      <c r="A25" s="42"/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3"/>
    </row>
    <row r="26" spans="1:18" x14ac:dyDescent="0.3">
      <c r="A26" s="42"/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3"/>
    </row>
    <row r="27" spans="1:18" x14ac:dyDescent="0.3">
      <c r="A27" s="42"/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3"/>
    </row>
    <row r="28" spans="1:18" x14ac:dyDescent="0.3">
      <c r="A28" s="42"/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3"/>
    </row>
    <row r="29" spans="1:18" x14ac:dyDescent="0.3">
      <c r="A29" s="42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3"/>
    </row>
    <row r="30" spans="1:18" x14ac:dyDescent="0.3">
      <c r="A30" s="42"/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3"/>
    </row>
    <row r="31" spans="1:18" x14ac:dyDescent="0.3">
      <c r="A31" s="42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3"/>
    </row>
    <row r="32" spans="1:18" x14ac:dyDescent="0.3">
      <c r="A32" s="42"/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3"/>
    </row>
    <row r="33" spans="1:18" x14ac:dyDescent="0.3">
      <c r="A33" s="42"/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3"/>
    </row>
    <row r="34" spans="1:18" x14ac:dyDescent="0.3">
      <c r="A34" s="42"/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3"/>
    </row>
    <row r="35" spans="1:18" x14ac:dyDescent="0.3">
      <c r="A35" s="42"/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3"/>
    </row>
    <row r="36" spans="1:18" x14ac:dyDescent="0.3">
      <c r="A36" s="42"/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3"/>
    </row>
    <row r="37" spans="1:18" x14ac:dyDescent="0.3">
      <c r="A37" s="42"/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3"/>
    </row>
    <row r="38" spans="1:18" x14ac:dyDescent="0.3">
      <c r="A38" s="42"/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3"/>
    </row>
    <row r="39" spans="1:18" x14ac:dyDescent="0.3">
      <c r="A39" s="42"/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3"/>
    </row>
    <row r="40" spans="1:18" x14ac:dyDescent="0.3">
      <c r="A40" s="42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3"/>
    </row>
    <row r="41" spans="1:18" x14ac:dyDescent="0.3">
      <c r="A41" s="42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3"/>
    </row>
    <row r="42" spans="1:18" x14ac:dyDescent="0.3">
      <c r="A42" s="42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3"/>
    </row>
    <row r="43" spans="1:18" x14ac:dyDescent="0.3">
      <c r="A43" s="42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3"/>
    </row>
    <row r="44" spans="1:18" x14ac:dyDescent="0.3">
      <c r="A44" s="42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3"/>
    </row>
    <row r="45" spans="1:18" x14ac:dyDescent="0.3">
      <c r="A45" s="42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3"/>
    </row>
    <row r="46" spans="1:18" x14ac:dyDescent="0.3">
      <c r="A46" s="42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3"/>
    </row>
    <row r="47" spans="1:18" x14ac:dyDescent="0.3">
      <c r="A47" s="42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3"/>
    </row>
    <row r="48" spans="1:18" x14ac:dyDescent="0.3">
      <c r="A48" s="42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3"/>
    </row>
    <row r="49" spans="1:18" x14ac:dyDescent="0.3">
      <c r="A49" s="42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3"/>
    </row>
    <row r="50" spans="1:18" x14ac:dyDescent="0.3">
      <c r="A50" s="42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3"/>
    </row>
    <row r="51" spans="1:18" x14ac:dyDescent="0.3">
      <c r="A51" s="42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3"/>
    </row>
    <row r="52" spans="1:18" x14ac:dyDescent="0.3">
      <c r="A52" s="42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3"/>
    </row>
    <row r="53" spans="1:18" x14ac:dyDescent="0.3">
      <c r="A53" s="42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3"/>
    </row>
    <row r="54" spans="1:18" x14ac:dyDescent="0.3">
      <c r="A54" s="42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3"/>
    </row>
    <row r="55" spans="1:18" x14ac:dyDescent="0.3">
      <c r="A55" s="42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3"/>
    </row>
    <row r="56" spans="1:18" x14ac:dyDescent="0.3">
      <c r="A56" s="42"/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3"/>
    </row>
    <row r="57" spans="1:18" x14ac:dyDescent="0.3">
      <c r="A57" s="42"/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3"/>
    </row>
    <row r="58" spans="1:18" x14ac:dyDescent="0.3">
      <c r="A58" s="42"/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3"/>
    </row>
    <row r="59" spans="1:18" x14ac:dyDescent="0.3">
      <c r="A59" s="42"/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3"/>
    </row>
    <row r="60" spans="1:18" ht="15" customHeight="1" x14ac:dyDescent="0.3">
      <c r="A60" s="42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3"/>
    </row>
    <row r="61" spans="1:18" x14ac:dyDescent="0.3">
      <c r="A61" s="42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3"/>
    </row>
    <row r="62" spans="1:18" x14ac:dyDescent="0.3">
      <c r="A62" s="42"/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3"/>
    </row>
    <row r="63" spans="1:18" x14ac:dyDescent="0.3">
      <c r="A63" s="42"/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3"/>
    </row>
    <row r="64" spans="1:18" x14ac:dyDescent="0.3">
      <c r="A64" s="42"/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3"/>
    </row>
    <row r="65" spans="1:18" ht="15" customHeight="1" x14ac:dyDescent="0.3">
      <c r="A65" s="42"/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3"/>
    </row>
    <row r="66" spans="1:18" ht="15" customHeight="1" x14ac:dyDescent="0.3">
      <c r="A66" s="42"/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3"/>
    </row>
    <row r="67" spans="1:18" ht="15" customHeight="1" x14ac:dyDescent="0.3">
      <c r="A67" s="42"/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3"/>
    </row>
    <row r="68" spans="1:18" ht="15" customHeight="1" x14ac:dyDescent="0.3">
      <c r="A68" s="42"/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3"/>
    </row>
    <row r="69" spans="1:18" x14ac:dyDescent="0.3">
      <c r="A69" s="42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3"/>
    </row>
    <row r="70" spans="1:18" x14ac:dyDescent="0.3">
      <c r="A70" s="42"/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3"/>
    </row>
    <row r="71" spans="1:18" x14ac:dyDescent="0.3">
      <c r="A71" s="42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3"/>
    </row>
    <row r="72" spans="1:18" ht="15" customHeight="1" x14ac:dyDescent="0.3">
      <c r="A72" s="42"/>
      <c r="B72" s="292"/>
      <c r="C72" s="47"/>
      <c r="D72" s="47"/>
      <c r="E72" s="47"/>
      <c r="F72" s="47"/>
      <c r="G72" s="291"/>
      <c r="H72" s="291"/>
      <c r="I72" s="291"/>
      <c r="J72" s="291"/>
      <c r="K72" s="291"/>
      <c r="L72" s="47"/>
      <c r="M72" s="291"/>
      <c r="N72" s="291"/>
      <c r="O72" s="291"/>
      <c r="P72" s="291"/>
      <c r="Q72" s="291"/>
      <c r="R72" s="43"/>
    </row>
    <row r="73" spans="1:18" x14ac:dyDescent="0.3">
      <c r="A73" s="42"/>
      <c r="B73" s="47"/>
      <c r="C73" s="47"/>
      <c r="D73" s="47"/>
      <c r="E73" s="47"/>
      <c r="F73" s="47"/>
      <c r="G73" s="292"/>
      <c r="H73" s="47"/>
      <c r="I73" s="47"/>
      <c r="J73" s="47"/>
      <c r="K73" s="47"/>
      <c r="L73" s="47"/>
      <c r="M73" s="291"/>
      <c r="N73" s="291"/>
      <c r="O73" s="291"/>
      <c r="P73" s="291"/>
      <c r="Q73" s="291"/>
      <c r="R73" s="43"/>
    </row>
    <row r="74" spans="1:18" x14ac:dyDescent="0.3">
      <c r="A74" s="42"/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291"/>
      <c r="N74" s="291"/>
      <c r="O74" s="291"/>
      <c r="P74" s="291"/>
      <c r="Q74" s="291"/>
      <c r="R74" s="43"/>
    </row>
    <row r="75" spans="1:18" x14ac:dyDescent="0.3">
      <c r="A75" s="42"/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291"/>
      <c r="N75" s="291"/>
      <c r="O75" s="291"/>
      <c r="P75" s="291"/>
      <c r="Q75" s="291"/>
      <c r="R75" s="43"/>
    </row>
    <row r="76" spans="1:18" x14ac:dyDescent="0.3">
      <c r="A76" s="42"/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291"/>
      <c r="N76" s="291"/>
      <c r="O76" s="291"/>
      <c r="P76" s="291"/>
      <c r="Q76" s="291"/>
      <c r="R76" s="43"/>
    </row>
    <row r="77" spans="1:18" x14ac:dyDescent="0.3">
      <c r="A77" s="42"/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291"/>
      <c r="N77" s="291"/>
      <c r="O77" s="291"/>
      <c r="P77" s="291"/>
      <c r="Q77" s="291"/>
      <c r="R77" s="43"/>
    </row>
    <row r="78" spans="1:18" x14ac:dyDescent="0.3">
      <c r="A78" s="42"/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291"/>
      <c r="N78" s="291"/>
      <c r="O78" s="291"/>
      <c r="P78" s="291"/>
      <c r="Q78" s="291"/>
      <c r="R78" s="43"/>
    </row>
    <row r="79" spans="1:18" x14ac:dyDescent="0.3">
      <c r="A79" s="42"/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291"/>
      <c r="N79" s="291"/>
      <c r="O79" s="291"/>
      <c r="P79" s="291"/>
      <c r="Q79" s="291"/>
      <c r="R79" s="43"/>
    </row>
    <row r="80" spans="1:18" x14ac:dyDescent="0.3">
      <c r="A80" s="42"/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291"/>
      <c r="N80" s="291"/>
      <c r="O80" s="291"/>
      <c r="P80" s="291"/>
      <c r="Q80" s="291"/>
      <c r="R80" s="43"/>
    </row>
    <row r="81" spans="1:18" x14ac:dyDescent="0.3">
      <c r="A81" s="42"/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291"/>
      <c r="N81" s="291"/>
      <c r="O81" s="291"/>
      <c r="P81" s="291"/>
      <c r="Q81" s="291"/>
      <c r="R81" s="43"/>
    </row>
    <row r="82" spans="1:18" x14ac:dyDescent="0.3">
      <c r="A82" s="42"/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291"/>
      <c r="N82" s="291"/>
      <c r="O82" s="291"/>
      <c r="P82" s="291"/>
      <c r="Q82" s="291"/>
      <c r="R82" s="43"/>
    </row>
    <row r="83" spans="1:18" x14ac:dyDescent="0.3">
      <c r="A83" s="42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291"/>
      <c r="N83" s="291"/>
      <c r="O83" s="291"/>
      <c r="P83" s="291"/>
      <c r="Q83" s="291"/>
      <c r="R83" s="43"/>
    </row>
    <row r="84" spans="1:18" x14ac:dyDescent="0.3">
      <c r="A84" s="42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291"/>
      <c r="N84" s="291"/>
      <c r="O84" s="291"/>
      <c r="P84" s="291"/>
      <c r="Q84" s="291"/>
      <c r="R84" s="43"/>
    </row>
    <row r="85" spans="1:18" x14ac:dyDescent="0.3">
      <c r="A85" s="42"/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291"/>
      <c r="N85" s="291"/>
      <c r="O85" s="291"/>
      <c r="P85" s="291"/>
      <c r="Q85" s="291"/>
      <c r="R85" s="43"/>
    </row>
    <row r="86" spans="1:18" x14ac:dyDescent="0.3">
      <c r="A86" s="42"/>
      <c r="B86" s="47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291"/>
      <c r="N86" s="291"/>
      <c r="O86" s="291"/>
      <c r="P86" s="291"/>
      <c r="Q86" s="291"/>
      <c r="R86" s="43"/>
    </row>
    <row r="87" spans="1:18" x14ac:dyDescent="0.3">
      <c r="A87" s="42"/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291"/>
      <c r="N87" s="291"/>
      <c r="O87" s="291"/>
      <c r="P87" s="291"/>
      <c r="Q87" s="291"/>
      <c r="R87" s="43"/>
    </row>
    <row r="88" spans="1:18" x14ac:dyDescent="0.3">
      <c r="A88" s="42"/>
      <c r="B88" s="47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291"/>
      <c r="N88" s="291"/>
      <c r="O88" s="291"/>
      <c r="P88" s="291"/>
      <c r="Q88" s="291"/>
      <c r="R88" s="43"/>
    </row>
    <row r="89" spans="1:18" x14ac:dyDescent="0.3">
      <c r="A89" s="42"/>
      <c r="B89" s="47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3"/>
    </row>
    <row r="90" spans="1:18" ht="23.4" x14ac:dyDescent="0.45">
      <c r="A90" s="42"/>
      <c r="B90" s="48"/>
      <c r="C90" s="48"/>
      <c r="D90" s="48"/>
      <c r="E90" s="48"/>
      <c r="F90" s="49"/>
      <c r="G90" s="49"/>
      <c r="H90" s="49"/>
      <c r="I90" s="50" t="s">
        <v>165</v>
      </c>
      <c r="J90" s="48"/>
      <c r="K90" s="48"/>
      <c r="L90" s="49"/>
      <c r="M90" s="49"/>
      <c r="N90" s="48"/>
      <c r="O90" s="48"/>
      <c r="P90" s="48"/>
      <c r="Q90" s="48"/>
      <c r="R90" s="43"/>
    </row>
    <row r="91" spans="1:18" ht="21" x14ac:dyDescent="0.3">
      <c r="A91" s="42"/>
      <c r="B91" s="52"/>
      <c r="C91" s="52"/>
      <c r="D91" s="54"/>
      <c r="E91" s="54"/>
      <c r="F91" s="55"/>
      <c r="G91" s="55"/>
      <c r="H91" s="55"/>
      <c r="I91" s="59" t="s">
        <v>139</v>
      </c>
      <c r="J91" s="54"/>
      <c r="K91" s="54"/>
      <c r="L91" s="55"/>
      <c r="M91" s="55"/>
      <c r="N91" s="56" t="s">
        <v>169</v>
      </c>
      <c r="O91" s="51" t="s">
        <v>233</v>
      </c>
      <c r="P91" s="58"/>
      <c r="Q91" s="54"/>
      <c r="R91" s="43"/>
    </row>
    <row r="92" spans="1:18" ht="21" x14ac:dyDescent="0.3">
      <c r="A92" s="42"/>
      <c r="B92" s="52"/>
      <c r="C92" s="52"/>
      <c r="D92" s="58"/>
      <c r="E92" s="58"/>
      <c r="F92" s="55"/>
      <c r="G92" s="55"/>
      <c r="H92" s="55"/>
      <c r="I92" s="67" t="s">
        <v>234</v>
      </c>
      <c r="J92" s="58"/>
      <c r="K92" s="58"/>
      <c r="L92" s="55"/>
      <c r="M92" s="55"/>
      <c r="N92" s="61" t="s">
        <v>170</v>
      </c>
      <c r="O92" s="60" t="s">
        <v>212</v>
      </c>
      <c r="P92" s="55"/>
      <c r="Q92" s="58"/>
      <c r="R92" s="43"/>
    </row>
    <row r="93" spans="1:18" ht="18" x14ac:dyDescent="0.3">
      <c r="A93" s="42"/>
      <c r="B93" s="53"/>
      <c r="C93" s="53"/>
      <c r="D93" s="55"/>
      <c r="E93" s="55"/>
      <c r="F93" s="55"/>
      <c r="G93" s="55"/>
      <c r="H93" s="55"/>
      <c r="I93" s="66" t="s">
        <v>164</v>
      </c>
      <c r="J93" s="55"/>
      <c r="K93" s="55"/>
      <c r="L93" s="55"/>
      <c r="M93" s="55"/>
      <c r="N93" s="56" t="s">
        <v>171</v>
      </c>
      <c r="O93" s="57" t="s">
        <v>213</v>
      </c>
      <c r="P93" s="64"/>
      <c r="Q93" s="55"/>
      <c r="R93" s="43"/>
    </row>
    <row r="94" spans="1:18" ht="15.6" x14ac:dyDescent="0.3">
      <c r="A94" s="42"/>
      <c r="B94" s="53"/>
      <c r="C94" s="53"/>
      <c r="D94" s="62"/>
      <c r="E94" s="63"/>
      <c r="F94" s="63"/>
      <c r="G94" s="63"/>
      <c r="H94" s="63"/>
      <c r="I94" s="53"/>
      <c r="J94" s="63"/>
      <c r="K94" s="63"/>
      <c r="L94" s="63"/>
      <c r="M94" s="63"/>
      <c r="N94" s="53"/>
      <c r="O94" s="53"/>
      <c r="P94" s="53"/>
      <c r="Q94" s="65"/>
      <c r="R94" s="43"/>
    </row>
    <row r="95" spans="1:18" x14ac:dyDescent="0.3">
      <c r="A95" s="42"/>
      <c r="B95" s="40"/>
      <c r="C95" s="38"/>
      <c r="D95" s="38"/>
      <c r="E95" s="38"/>
      <c r="F95" s="38"/>
      <c r="G95" s="38"/>
      <c r="H95" s="38"/>
      <c r="I95" s="283"/>
      <c r="J95" s="38"/>
      <c r="K95" s="38"/>
      <c r="L95" s="38"/>
      <c r="M95" s="38"/>
      <c r="N95" s="38"/>
      <c r="O95" s="38"/>
      <c r="P95" s="38"/>
      <c r="Q95" s="38"/>
      <c r="R95" s="43"/>
    </row>
    <row r="96" spans="1:18" ht="18" x14ac:dyDescent="0.3">
      <c r="A96" s="42"/>
      <c r="B96" s="24"/>
      <c r="C96" s="25" t="s">
        <v>35</v>
      </c>
      <c r="D96" s="301">
        <v>46048</v>
      </c>
      <c r="E96" s="301"/>
      <c r="F96" s="26"/>
      <c r="G96" s="26"/>
      <c r="H96" s="25" t="s">
        <v>34</v>
      </c>
      <c r="I96" s="300">
        <v>46073</v>
      </c>
      <c r="J96" s="300"/>
      <c r="K96" s="26"/>
      <c r="L96" s="26"/>
      <c r="M96" s="26"/>
      <c r="N96" s="25" t="s">
        <v>36</v>
      </c>
      <c r="O96" s="302">
        <v>46366</v>
      </c>
      <c r="P96" s="302"/>
      <c r="Q96" s="286"/>
      <c r="R96" s="43"/>
    </row>
    <row r="97" spans="1:59" x14ac:dyDescent="0.3">
      <c r="A97" s="42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3"/>
    </row>
    <row r="98" spans="1:59" s="12" customFormat="1" ht="21" x14ac:dyDescent="0.4">
      <c r="A98" s="42"/>
      <c r="B98" s="303" t="s">
        <v>163</v>
      </c>
      <c r="C98" s="304"/>
      <c r="D98" s="304"/>
      <c r="E98" s="304"/>
      <c r="F98" s="304"/>
      <c r="G98" s="304"/>
      <c r="H98" s="304"/>
      <c r="I98" s="304"/>
      <c r="J98" s="304"/>
      <c r="K98" s="304"/>
      <c r="L98" s="304"/>
      <c r="M98" s="304"/>
      <c r="N98" s="304"/>
      <c r="O98" s="304"/>
      <c r="P98" s="304"/>
      <c r="Q98" s="305"/>
      <c r="R98" s="43"/>
      <c r="S98" s="11"/>
      <c r="T98" s="11"/>
      <c r="U98" s="11"/>
      <c r="V98" s="11"/>
      <c r="W98" s="11"/>
      <c r="X98" s="11"/>
      <c r="Y98" s="11"/>
      <c r="Z98" s="11"/>
      <c r="AA98" s="11"/>
      <c r="AB98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</row>
    <row r="99" spans="1:59" s="14" customFormat="1" ht="15.6" x14ac:dyDescent="0.3">
      <c r="A99" s="42"/>
      <c r="B99" s="306" t="s">
        <v>209</v>
      </c>
      <c r="C99" s="307"/>
      <c r="D99" s="307"/>
      <c r="E99" s="307"/>
      <c r="F99" s="308"/>
      <c r="G99" s="309" t="s">
        <v>210</v>
      </c>
      <c r="H99" s="310"/>
      <c r="I99" s="310"/>
      <c r="J99" s="310"/>
      <c r="K99" s="310"/>
      <c r="L99" s="311"/>
      <c r="M99" s="306" t="s">
        <v>211</v>
      </c>
      <c r="N99" s="307"/>
      <c r="O99" s="307"/>
      <c r="P99" s="307"/>
      <c r="Q99" s="308"/>
      <c r="R99" s="43"/>
      <c r="S99" s="13"/>
      <c r="T99" s="13"/>
      <c r="U99" s="13"/>
      <c r="V99" s="13"/>
      <c r="W99" s="13"/>
      <c r="X99" s="13"/>
      <c r="Y99" s="13"/>
      <c r="Z99" s="13"/>
      <c r="AA99" s="13"/>
      <c r="AB99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</row>
    <row r="100" spans="1:59" s="14" customFormat="1" ht="15.75" customHeight="1" x14ac:dyDescent="0.3">
      <c r="A100" s="42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3"/>
      <c r="S100" s="15"/>
      <c r="T100" s="15"/>
      <c r="U100" s="15"/>
      <c r="V100" s="15"/>
      <c r="W100" s="15"/>
      <c r="X100" s="15"/>
      <c r="Y100" s="15"/>
      <c r="Z100" s="15"/>
      <c r="AA100" s="15"/>
      <c r="AB100"/>
      <c r="AC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6"/>
      <c r="AX100" s="16"/>
      <c r="AY100" s="16"/>
      <c r="AZ100" s="16"/>
      <c r="BA100" s="16"/>
      <c r="BB100" s="16"/>
      <c r="BC100" s="16"/>
      <c r="BD100" s="16"/>
    </row>
    <row r="101" spans="1:59" s="17" customFormat="1" ht="15.75" customHeight="1" x14ac:dyDescent="0.3">
      <c r="A101" s="42"/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3"/>
      <c r="S101" s="14"/>
      <c r="T101" s="14"/>
      <c r="U101" s="14"/>
      <c r="V101" s="14"/>
      <c r="W101" s="14"/>
      <c r="X101" s="14"/>
      <c r="Y101" s="14"/>
      <c r="Z101" s="14"/>
      <c r="AG101" s="18"/>
      <c r="AH101" s="19"/>
      <c r="AJ101" s="18"/>
      <c r="AP101" s="18"/>
      <c r="AQ101" s="19"/>
      <c r="AS101" s="18"/>
      <c r="BC101" s="18"/>
    </row>
    <row r="102" spans="1:59" s="17" customFormat="1" ht="15.75" customHeight="1" x14ac:dyDescent="0.3">
      <c r="A102" s="42"/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3"/>
      <c r="S102" s="18"/>
      <c r="T102" s="18"/>
      <c r="U102" s="18"/>
      <c r="V102" s="18"/>
      <c r="W102" s="18"/>
      <c r="X102" s="18"/>
      <c r="Y102" s="18"/>
      <c r="AG102" s="18"/>
      <c r="AH102" s="18"/>
      <c r="AP102" s="18"/>
      <c r="AQ102" s="18"/>
      <c r="BC102" s="18"/>
    </row>
    <row r="103" spans="1:59" s="17" customFormat="1" ht="10.5" customHeight="1" x14ac:dyDescent="0.3">
      <c r="A103" s="42"/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3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G103" s="22"/>
    </row>
    <row r="104" spans="1:59" s="23" customFormat="1" ht="27" customHeight="1" x14ac:dyDescent="0.3">
      <c r="A104" s="42"/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3"/>
      <c r="S104"/>
      <c r="T104"/>
      <c r="U104"/>
      <c r="V104"/>
      <c r="W104"/>
      <c r="X104"/>
      <c r="Y104"/>
      <c r="Z104"/>
      <c r="AA104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</row>
    <row r="105" spans="1:59" s="21" customFormat="1" ht="7.5" customHeight="1" x14ac:dyDescent="0.3">
      <c r="A105" s="42"/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3"/>
    </row>
    <row r="106" spans="1:59" ht="16.5" customHeight="1" x14ac:dyDescent="0.3">
      <c r="A106" s="42"/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3"/>
    </row>
    <row r="107" spans="1:59" s="10" customFormat="1" ht="16.5" customHeight="1" x14ac:dyDescent="0.3">
      <c r="A107" s="42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3"/>
    </row>
    <row r="108" spans="1:59" ht="12" customHeight="1" x14ac:dyDescent="0.3">
      <c r="A108" s="42"/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3"/>
    </row>
    <row r="109" spans="1:59" x14ac:dyDescent="0.3">
      <c r="A109" s="42"/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3"/>
    </row>
    <row r="110" spans="1:59" x14ac:dyDescent="0.3">
      <c r="A110" s="42"/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3"/>
    </row>
    <row r="111" spans="1:59" x14ac:dyDescent="0.3">
      <c r="A111" s="42"/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3"/>
    </row>
    <row r="112" spans="1:59" x14ac:dyDescent="0.3">
      <c r="A112" s="42"/>
      <c r="B112" s="47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3"/>
    </row>
    <row r="113" spans="1:18" x14ac:dyDescent="0.3">
      <c r="A113" s="42"/>
      <c r="B113" s="47"/>
      <c r="C113" s="47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3"/>
    </row>
    <row r="114" spans="1:18" x14ac:dyDescent="0.3">
      <c r="A114" s="42"/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3"/>
    </row>
    <row r="115" spans="1:18" x14ac:dyDescent="0.3">
      <c r="A115" s="42"/>
      <c r="B115" s="47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3"/>
    </row>
    <row r="116" spans="1:18" x14ac:dyDescent="0.3">
      <c r="A116" s="42"/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3"/>
    </row>
    <row r="117" spans="1:18" x14ac:dyDescent="0.3">
      <c r="A117" s="42"/>
      <c r="B117" s="47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3"/>
    </row>
    <row r="118" spans="1:18" x14ac:dyDescent="0.3">
      <c r="A118" s="42"/>
      <c r="B118" s="47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3"/>
    </row>
    <row r="119" spans="1:18" x14ac:dyDescent="0.3">
      <c r="A119" s="42"/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3"/>
    </row>
    <row r="120" spans="1:18" x14ac:dyDescent="0.3">
      <c r="A120" s="42"/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3"/>
    </row>
    <row r="121" spans="1:18" x14ac:dyDescent="0.3">
      <c r="B121" s="47"/>
      <c r="C121" s="291"/>
      <c r="D121" s="291"/>
      <c r="E121" s="291"/>
      <c r="F121" s="291"/>
      <c r="G121" s="47"/>
      <c r="H121" s="291"/>
      <c r="I121" s="291"/>
      <c r="J121" s="291"/>
      <c r="K121" s="291"/>
      <c r="L121" s="47"/>
      <c r="M121" s="291"/>
      <c r="N121" s="291"/>
      <c r="O121" s="291"/>
      <c r="P121" s="291"/>
      <c r="Q121" s="291"/>
    </row>
    <row r="122" spans="1:18" x14ac:dyDescent="0.3">
      <c r="B122" s="292"/>
      <c r="C122" s="47"/>
      <c r="D122" s="47"/>
      <c r="E122" s="47"/>
      <c r="F122" s="47"/>
      <c r="G122" s="291"/>
      <c r="H122" s="291"/>
      <c r="I122" s="291"/>
      <c r="J122" s="291"/>
      <c r="K122" s="291"/>
      <c r="L122" s="47"/>
      <c r="M122" s="291"/>
      <c r="N122" s="291"/>
      <c r="O122" s="291"/>
      <c r="P122" s="291"/>
      <c r="Q122" s="291"/>
    </row>
  </sheetData>
  <mergeCells count="10">
    <mergeCell ref="B98:Q98"/>
    <mergeCell ref="B99:F99"/>
    <mergeCell ref="G99:L99"/>
    <mergeCell ref="M99:Q99"/>
    <mergeCell ref="I8:J8"/>
    <mergeCell ref="D8:E8"/>
    <mergeCell ref="O8:P8"/>
    <mergeCell ref="D96:E96"/>
    <mergeCell ref="I96:J96"/>
    <mergeCell ref="O96:P96"/>
  </mergeCells>
  <conditionalFormatting sqref="C95:Q95">
    <cfRule type="cellIs" dxfId="181" priority="1" operator="equal">
      <formula>"d"</formula>
    </cfRule>
  </conditionalFormatting>
  <conditionalFormatting sqref="C7:Z7">
    <cfRule type="cellIs" dxfId="180" priority="29" operator="equal">
      <formula>"d"</formula>
    </cfRule>
  </conditionalFormatting>
  <conditionalFormatting sqref="S103:Z103">
    <cfRule type="cellIs" dxfId="179" priority="2" operator="equal">
      <formula>"d"</formula>
    </cfRule>
  </conditionalFormatting>
  <printOptions horizontalCentered="1"/>
  <pageMargins left="0.23622047244094491" right="0.23622047244094491" top="0.35433070866141736" bottom="0.35433070866141736" header="0.31496062992125984" footer="0.31496062992125984"/>
  <pageSetup paperSize="8" scale="81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7CAE5-C209-418E-B11F-7594322769DA}">
  <dimension ref="A2:ML216"/>
  <sheetViews>
    <sheetView showGridLines="0" topLeftCell="A61" zoomScale="85" zoomScaleNormal="85" workbookViewId="0">
      <selection activeCell="J123" sqref="J123"/>
    </sheetView>
  </sheetViews>
  <sheetFormatPr defaultRowHeight="14.4" x14ac:dyDescent="0.3"/>
  <cols>
    <col min="1" max="2" width="10" customWidth="1"/>
    <col min="3" max="3" width="42.109375" bestFit="1" customWidth="1"/>
    <col min="4" max="4" width="10.44140625" customWidth="1"/>
    <col min="5" max="6" width="9.109375" customWidth="1"/>
    <col min="7" max="7" width="10.44140625" customWidth="1"/>
    <col min="8" max="113" width="10.33203125" customWidth="1"/>
    <col min="114" max="117" width="10.33203125" hidden="1" customWidth="1"/>
    <col min="118" max="118" width="0" hidden="1" customWidth="1"/>
    <col min="119" max="119" width="13.5546875" hidden="1" customWidth="1"/>
    <col min="120" max="153" width="0" hidden="1" customWidth="1"/>
  </cols>
  <sheetData>
    <row r="2" spans="1:350" x14ac:dyDescent="0.3">
      <c r="D2" s="319" t="s">
        <v>5</v>
      </c>
      <c r="E2" s="319"/>
      <c r="F2" s="319" t="s">
        <v>6</v>
      </c>
      <c r="G2" s="319"/>
      <c r="H2" s="319" t="s">
        <v>7</v>
      </c>
      <c r="I2" s="319"/>
      <c r="J2" s="319" t="s">
        <v>8</v>
      </c>
      <c r="K2" s="319"/>
      <c r="L2" s="319" t="s">
        <v>9</v>
      </c>
      <c r="M2" s="319"/>
      <c r="N2" s="319" t="s">
        <v>10</v>
      </c>
      <c r="O2" s="319"/>
      <c r="P2" s="319" t="s">
        <v>11</v>
      </c>
      <c r="Q2" s="319"/>
      <c r="R2" s="319" t="s">
        <v>12</v>
      </c>
      <c r="S2" s="319"/>
      <c r="T2" s="319" t="s">
        <v>13</v>
      </c>
      <c r="U2" s="319"/>
      <c r="V2" s="319" t="s">
        <v>14</v>
      </c>
      <c r="W2" s="319"/>
      <c r="X2" s="319" t="s">
        <v>15</v>
      </c>
      <c r="Y2" s="319"/>
      <c r="Z2" s="319" t="s">
        <v>16</v>
      </c>
      <c r="AA2" s="319"/>
      <c r="AB2" s="319" t="s">
        <v>17</v>
      </c>
      <c r="AC2" s="319"/>
      <c r="AD2" s="319" t="s">
        <v>18</v>
      </c>
      <c r="AE2" s="319"/>
      <c r="AF2" s="319" t="s">
        <v>19</v>
      </c>
      <c r="AG2" s="319"/>
      <c r="AH2" s="319" t="s">
        <v>20</v>
      </c>
      <c r="AI2" s="319"/>
      <c r="AJ2" s="319" t="s">
        <v>21</v>
      </c>
      <c r="AK2" s="319"/>
      <c r="AL2" s="319" t="s">
        <v>22</v>
      </c>
      <c r="AM2" s="319"/>
      <c r="AN2" s="319" t="s">
        <v>23</v>
      </c>
      <c r="AO2" s="319"/>
      <c r="AP2" s="319" t="s">
        <v>24</v>
      </c>
      <c r="AQ2" s="319"/>
      <c r="AR2" s="319" t="s">
        <v>25</v>
      </c>
      <c r="AS2" s="319"/>
      <c r="AT2" s="319" t="s">
        <v>26</v>
      </c>
      <c r="AU2" s="319"/>
      <c r="AV2" s="319" t="s">
        <v>27</v>
      </c>
      <c r="AW2" s="319"/>
      <c r="AX2" s="319" t="s">
        <v>28</v>
      </c>
      <c r="AY2" s="319"/>
      <c r="AZ2" s="319" t="s">
        <v>29</v>
      </c>
      <c r="BA2" s="319"/>
      <c r="BB2" s="319" t="s">
        <v>121</v>
      </c>
      <c r="BC2" s="319"/>
      <c r="BD2" s="319" t="s">
        <v>122</v>
      </c>
      <c r="BE2" s="319"/>
      <c r="BF2" s="319" t="s">
        <v>123</v>
      </c>
      <c r="BG2" s="319"/>
      <c r="BH2" s="319" t="s">
        <v>124</v>
      </c>
      <c r="BI2" s="319"/>
      <c r="BJ2" s="319" t="s">
        <v>125</v>
      </c>
      <c r="BK2" s="319"/>
      <c r="BL2" s="319" t="s">
        <v>126</v>
      </c>
      <c r="BM2" s="319"/>
      <c r="BN2" s="319" t="s">
        <v>127</v>
      </c>
      <c r="BO2" s="319"/>
      <c r="BP2" s="319" t="s">
        <v>128</v>
      </c>
      <c r="BQ2" s="319"/>
      <c r="BR2" s="319" t="s">
        <v>129</v>
      </c>
      <c r="BS2" s="319"/>
      <c r="BT2" s="319" t="s">
        <v>130</v>
      </c>
      <c r="BU2" s="319"/>
      <c r="BV2" s="319" t="s">
        <v>131</v>
      </c>
      <c r="BW2" s="319"/>
      <c r="BX2" s="319" t="s">
        <v>132</v>
      </c>
      <c r="BY2" s="319"/>
      <c r="BZ2" s="319" t="s">
        <v>133</v>
      </c>
      <c r="CA2" s="319"/>
      <c r="CB2" s="319" t="s">
        <v>134</v>
      </c>
      <c r="CC2" s="319"/>
      <c r="CD2" s="319" t="s">
        <v>135</v>
      </c>
      <c r="CE2" s="319"/>
      <c r="CF2" s="319" t="s">
        <v>136</v>
      </c>
      <c r="CG2" s="319"/>
      <c r="CH2" s="319" t="s">
        <v>137</v>
      </c>
      <c r="CI2" s="319"/>
      <c r="CJ2" s="319" t="s">
        <v>138</v>
      </c>
      <c r="CK2" s="319"/>
      <c r="CL2" s="319" t="s">
        <v>215</v>
      </c>
      <c r="CM2" s="319"/>
      <c r="CN2" s="319" t="s">
        <v>216</v>
      </c>
      <c r="CO2" s="319"/>
      <c r="CP2" s="319" t="s">
        <v>217</v>
      </c>
      <c r="CQ2" s="319"/>
      <c r="CR2" s="319" t="s">
        <v>218</v>
      </c>
      <c r="CS2" s="319"/>
      <c r="CT2" s="319" t="s">
        <v>219</v>
      </c>
      <c r="CU2" s="319"/>
      <c r="CV2" s="319" t="s">
        <v>220</v>
      </c>
      <c r="CW2" s="319"/>
      <c r="CX2" s="319" t="s">
        <v>221</v>
      </c>
      <c r="CY2" s="319"/>
      <c r="CZ2" s="319" t="s">
        <v>222</v>
      </c>
      <c r="DA2" s="319"/>
      <c r="DB2" s="319" t="s">
        <v>223</v>
      </c>
      <c r="DC2" s="319"/>
      <c r="DD2" s="319" t="s">
        <v>224</v>
      </c>
      <c r="DE2" s="319"/>
      <c r="DF2" s="319" t="s">
        <v>225</v>
      </c>
      <c r="DG2" s="319"/>
      <c r="DH2" s="319" t="s">
        <v>226</v>
      </c>
      <c r="DI2" s="319"/>
      <c r="DJ2" s="319" t="s">
        <v>227</v>
      </c>
      <c r="DK2" s="319"/>
      <c r="DL2" s="319" t="s">
        <v>228</v>
      </c>
      <c r="DM2" s="319"/>
      <c r="DN2" s="319" t="s">
        <v>229</v>
      </c>
      <c r="DO2" s="319"/>
      <c r="DP2" s="319" t="s">
        <v>230</v>
      </c>
      <c r="DQ2" s="319"/>
      <c r="DR2" s="319" t="s">
        <v>231</v>
      </c>
      <c r="DS2" s="319"/>
      <c r="DT2" s="319" t="s">
        <v>232</v>
      </c>
      <c r="DU2" s="319"/>
      <c r="DV2" s="319" t="s">
        <v>187</v>
      </c>
      <c r="DW2" s="319"/>
      <c r="DX2" s="319" t="s">
        <v>188</v>
      </c>
      <c r="DY2" s="319"/>
      <c r="DZ2" s="319" t="s">
        <v>189</v>
      </c>
      <c r="EA2" s="319"/>
      <c r="EB2" s="319" t="s">
        <v>190</v>
      </c>
      <c r="EC2" s="319"/>
      <c r="ED2" s="319" t="s">
        <v>191</v>
      </c>
      <c r="EE2" s="319"/>
      <c r="EF2" s="319" t="s">
        <v>192</v>
      </c>
      <c r="EG2" s="319"/>
      <c r="EH2" s="319" t="s">
        <v>193</v>
      </c>
      <c r="EI2" s="319"/>
      <c r="EJ2" s="319" t="s">
        <v>194</v>
      </c>
      <c r="EK2" s="319"/>
      <c r="EL2" s="319" t="s">
        <v>195</v>
      </c>
      <c r="EM2" s="319"/>
      <c r="EN2" s="319" t="s">
        <v>196</v>
      </c>
      <c r="EO2" s="319"/>
      <c r="EP2" s="319" t="s">
        <v>197</v>
      </c>
      <c r="EQ2" s="319"/>
      <c r="ER2" s="319" t="s">
        <v>198</v>
      </c>
      <c r="ES2" s="319"/>
      <c r="ET2" s="319" t="s">
        <v>199</v>
      </c>
      <c r="EU2" s="319"/>
      <c r="EV2" s="319" t="s">
        <v>200</v>
      </c>
      <c r="EW2" s="319"/>
    </row>
    <row r="3" spans="1:350" x14ac:dyDescent="0.3">
      <c r="A3" t="s">
        <v>145</v>
      </c>
      <c r="B3" s="5" t="s">
        <v>8</v>
      </c>
      <c r="C3" s="230" t="s">
        <v>33</v>
      </c>
      <c r="D3" s="318">
        <v>46051</v>
      </c>
      <c r="E3" s="319"/>
      <c r="F3" s="320">
        <f>D3+7</f>
        <v>46058</v>
      </c>
      <c r="G3" s="321"/>
      <c r="H3" s="320">
        <f>F3+7</f>
        <v>46065</v>
      </c>
      <c r="I3" s="321"/>
      <c r="J3" s="320">
        <f>H3+7</f>
        <v>46072</v>
      </c>
      <c r="K3" s="321"/>
      <c r="L3" s="320">
        <f>J3+7</f>
        <v>46079</v>
      </c>
      <c r="M3" s="321"/>
      <c r="N3" s="320">
        <f>L3+7</f>
        <v>46086</v>
      </c>
      <c r="O3" s="321"/>
      <c r="P3" s="318">
        <f>N3+7</f>
        <v>46093</v>
      </c>
      <c r="Q3" s="319"/>
      <c r="R3" s="318">
        <f>P3+7</f>
        <v>46100</v>
      </c>
      <c r="S3" s="319"/>
      <c r="T3" s="318">
        <f>R3+7</f>
        <v>46107</v>
      </c>
      <c r="U3" s="319"/>
      <c r="V3" s="318">
        <f>T3+7</f>
        <v>46114</v>
      </c>
      <c r="W3" s="319"/>
      <c r="X3" s="318">
        <f>V3+7</f>
        <v>46121</v>
      </c>
      <c r="Y3" s="319"/>
      <c r="Z3" s="318">
        <f>X3+7</f>
        <v>46128</v>
      </c>
      <c r="AA3" s="319"/>
      <c r="AB3" s="318">
        <f>Z3+7</f>
        <v>46135</v>
      </c>
      <c r="AC3" s="319"/>
      <c r="AD3" s="318">
        <f>AB3+7</f>
        <v>46142</v>
      </c>
      <c r="AE3" s="319"/>
      <c r="AF3" s="318">
        <f>AD3+7</f>
        <v>46149</v>
      </c>
      <c r="AG3" s="319"/>
      <c r="AH3" s="318">
        <f>AF3+7</f>
        <v>46156</v>
      </c>
      <c r="AI3" s="319"/>
      <c r="AJ3" s="318">
        <f>AH3+7</f>
        <v>46163</v>
      </c>
      <c r="AK3" s="319"/>
      <c r="AL3" s="318">
        <f>AJ3+7</f>
        <v>46170</v>
      </c>
      <c r="AM3" s="319"/>
      <c r="AN3" s="318">
        <f>AL3+7</f>
        <v>46177</v>
      </c>
      <c r="AO3" s="319"/>
      <c r="AP3" s="318">
        <f>AN3+7</f>
        <v>46184</v>
      </c>
      <c r="AQ3" s="319"/>
      <c r="AR3" s="318">
        <f>AP3+7</f>
        <v>46191</v>
      </c>
      <c r="AS3" s="319"/>
      <c r="AT3" s="318">
        <f>AR3+7</f>
        <v>46198</v>
      </c>
      <c r="AU3" s="319"/>
      <c r="AV3" s="318">
        <f>AT3+7</f>
        <v>46205</v>
      </c>
      <c r="AW3" s="319"/>
      <c r="AX3" s="318">
        <f>AV3+7</f>
        <v>46212</v>
      </c>
      <c r="AY3" s="319"/>
      <c r="AZ3" s="318">
        <f>AX3+7</f>
        <v>46219</v>
      </c>
      <c r="BA3" s="319"/>
      <c r="BB3" s="318">
        <f>AZ3+7</f>
        <v>46226</v>
      </c>
      <c r="BC3" s="319"/>
      <c r="BD3" s="318">
        <f>BB3+7</f>
        <v>46233</v>
      </c>
      <c r="BE3" s="319"/>
      <c r="BF3" s="318">
        <f>BD3+7</f>
        <v>46240</v>
      </c>
      <c r="BG3" s="319"/>
      <c r="BH3" s="318">
        <f t="shared" ref="BH3" si="0">BF3+7</f>
        <v>46247</v>
      </c>
      <c r="BI3" s="319"/>
      <c r="BJ3" s="318">
        <f t="shared" ref="BJ3" si="1">BH3+7</f>
        <v>46254</v>
      </c>
      <c r="BK3" s="319"/>
      <c r="BL3" s="318">
        <f t="shared" ref="BL3" si="2">BJ3+7</f>
        <v>46261</v>
      </c>
      <c r="BM3" s="319"/>
      <c r="BN3" s="318">
        <f t="shared" ref="BN3" si="3">BL3+7</f>
        <v>46268</v>
      </c>
      <c r="BO3" s="319"/>
      <c r="BP3" s="318">
        <f t="shared" ref="BP3" si="4">BN3+7</f>
        <v>46275</v>
      </c>
      <c r="BQ3" s="319"/>
      <c r="BR3" s="318">
        <f t="shared" ref="BR3" si="5">BP3+7</f>
        <v>46282</v>
      </c>
      <c r="BS3" s="319"/>
      <c r="BT3" s="318">
        <f t="shared" ref="BT3" si="6">BR3+7</f>
        <v>46289</v>
      </c>
      <c r="BU3" s="319"/>
      <c r="BV3" s="318">
        <f t="shared" ref="BV3" si="7">BT3+7</f>
        <v>46296</v>
      </c>
      <c r="BW3" s="319"/>
      <c r="BX3" s="318">
        <f t="shared" ref="BX3" si="8">BV3+7</f>
        <v>46303</v>
      </c>
      <c r="BY3" s="319"/>
      <c r="BZ3" s="318">
        <f t="shared" ref="BZ3" si="9">BX3+7</f>
        <v>46310</v>
      </c>
      <c r="CA3" s="319"/>
      <c r="CB3" s="318">
        <f t="shared" ref="CB3" si="10">BZ3+7</f>
        <v>46317</v>
      </c>
      <c r="CC3" s="319"/>
      <c r="CD3" s="318">
        <f t="shared" ref="CD3" si="11">CB3+7</f>
        <v>46324</v>
      </c>
      <c r="CE3" s="319"/>
      <c r="CF3" s="318">
        <f t="shared" ref="CF3" si="12">CD3+7</f>
        <v>46331</v>
      </c>
      <c r="CG3" s="319"/>
      <c r="CH3" s="318">
        <f t="shared" ref="CH3" si="13">CF3+7</f>
        <v>46338</v>
      </c>
      <c r="CI3" s="319"/>
      <c r="CJ3" s="318">
        <f t="shared" ref="CJ3" si="14">CH3+7</f>
        <v>46345</v>
      </c>
      <c r="CK3" s="319"/>
      <c r="CL3" s="318">
        <f t="shared" ref="CL3" si="15">CJ3+7</f>
        <v>46352</v>
      </c>
      <c r="CM3" s="319"/>
      <c r="CN3" s="318">
        <f t="shared" ref="CN3" si="16">CL3+7</f>
        <v>46359</v>
      </c>
      <c r="CO3" s="319"/>
      <c r="CP3" s="318">
        <f t="shared" ref="CP3" si="17">CN3+7</f>
        <v>46366</v>
      </c>
      <c r="CQ3" s="319"/>
      <c r="CR3" s="318">
        <f t="shared" ref="CR3" si="18">CP3+7</f>
        <v>46373</v>
      </c>
      <c r="CS3" s="319"/>
      <c r="CT3" s="318">
        <f t="shared" ref="CT3" si="19">CR3+7</f>
        <v>46380</v>
      </c>
      <c r="CU3" s="319"/>
      <c r="CV3" s="318">
        <f t="shared" ref="CV3" si="20">CT3+7</f>
        <v>46387</v>
      </c>
      <c r="CW3" s="319"/>
      <c r="CX3" s="318">
        <f t="shared" ref="CX3" si="21">CV3+7</f>
        <v>46394</v>
      </c>
      <c r="CY3" s="319"/>
      <c r="CZ3" s="318">
        <f t="shared" ref="CZ3" si="22">CX3+7</f>
        <v>46401</v>
      </c>
      <c r="DA3" s="319"/>
      <c r="DB3" s="318">
        <f t="shared" ref="DB3" si="23">CZ3+7</f>
        <v>46408</v>
      </c>
      <c r="DC3" s="319"/>
      <c r="DD3" s="318">
        <f t="shared" ref="DD3" si="24">DB3+7</f>
        <v>46415</v>
      </c>
      <c r="DE3" s="319"/>
      <c r="DF3" s="318">
        <f t="shared" ref="DF3" si="25">DD3+7</f>
        <v>46422</v>
      </c>
      <c r="DG3" s="319"/>
      <c r="DH3" s="318">
        <f t="shared" ref="DH3" si="26">DF3+7</f>
        <v>46429</v>
      </c>
      <c r="DI3" s="319"/>
      <c r="DJ3" s="318">
        <f t="shared" ref="DJ3" si="27">DH3+7</f>
        <v>46436</v>
      </c>
      <c r="DK3" s="319"/>
      <c r="DL3" s="318">
        <f t="shared" ref="DL3" si="28">DJ3+7</f>
        <v>46443</v>
      </c>
      <c r="DM3" s="319"/>
      <c r="DN3" s="318">
        <f t="shared" ref="DN3" si="29">DL3+7</f>
        <v>46450</v>
      </c>
      <c r="DO3" s="319"/>
      <c r="DP3" s="318">
        <f t="shared" ref="DP3" si="30">DN3+7</f>
        <v>46457</v>
      </c>
      <c r="DQ3" s="319"/>
      <c r="DR3" s="318">
        <f t="shared" ref="DR3" si="31">DP3+7</f>
        <v>46464</v>
      </c>
      <c r="DS3" s="319"/>
      <c r="DT3" s="318">
        <f t="shared" ref="DT3" si="32">DR3+7</f>
        <v>46471</v>
      </c>
      <c r="DU3" s="319"/>
      <c r="DV3" s="318">
        <f t="shared" ref="DV3" si="33">DT3+7</f>
        <v>46478</v>
      </c>
      <c r="DW3" s="319"/>
      <c r="DX3" s="318">
        <f t="shared" ref="DX3" si="34">DV3+7</f>
        <v>46485</v>
      </c>
      <c r="DY3" s="319"/>
      <c r="DZ3" s="318">
        <f t="shared" ref="DZ3" si="35">DX3+7</f>
        <v>46492</v>
      </c>
      <c r="EA3" s="319"/>
      <c r="EB3" s="318">
        <f t="shared" ref="EB3" si="36">DZ3+7</f>
        <v>46499</v>
      </c>
      <c r="EC3" s="319"/>
      <c r="ED3" s="318">
        <f t="shared" ref="ED3" si="37">EB3+7</f>
        <v>46506</v>
      </c>
      <c r="EE3" s="319"/>
      <c r="EF3" s="318">
        <f t="shared" ref="EF3" si="38">ED3+7</f>
        <v>46513</v>
      </c>
      <c r="EG3" s="319"/>
      <c r="EH3" s="318">
        <f t="shared" ref="EH3" si="39">EF3+7</f>
        <v>46520</v>
      </c>
      <c r="EI3" s="319"/>
      <c r="EJ3" s="318">
        <f t="shared" ref="EJ3" si="40">EH3+7</f>
        <v>46527</v>
      </c>
      <c r="EK3" s="319"/>
      <c r="EL3" s="318">
        <f t="shared" ref="EL3" si="41">EJ3+7</f>
        <v>46534</v>
      </c>
      <c r="EM3" s="319"/>
      <c r="EN3" s="318">
        <f t="shared" ref="EN3" si="42">EL3+7</f>
        <v>46541</v>
      </c>
      <c r="EO3" s="319"/>
      <c r="EP3" s="318">
        <f t="shared" ref="EP3" si="43">EN3+7</f>
        <v>46548</v>
      </c>
      <c r="EQ3" s="319"/>
      <c r="ER3" s="318">
        <f t="shared" ref="ER3" si="44">EP3+7</f>
        <v>46555</v>
      </c>
      <c r="ES3" s="319"/>
      <c r="ET3" s="318">
        <f t="shared" ref="ET3" si="45">ER3+7</f>
        <v>46562</v>
      </c>
      <c r="EU3" s="319"/>
      <c r="EV3" s="318">
        <f t="shared" ref="EV3" si="46">ET3+7</f>
        <v>46569</v>
      </c>
      <c r="EW3" s="319"/>
    </row>
    <row r="4" spans="1:350" s="231" customFormat="1" ht="36" customHeight="1" x14ac:dyDescent="0.3">
      <c r="A4" s="6" t="s">
        <v>4</v>
      </c>
      <c r="B4" s="6" t="s">
        <v>0</v>
      </c>
      <c r="C4" s="266" t="s">
        <v>235</v>
      </c>
      <c r="D4" s="266" t="s">
        <v>172</v>
      </c>
      <c r="E4" s="6" t="s">
        <v>0</v>
      </c>
      <c r="F4" s="266" t="s">
        <v>172</v>
      </c>
      <c r="G4" s="6" t="s">
        <v>0</v>
      </c>
      <c r="H4" s="266" t="s">
        <v>172</v>
      </c>
      <c r="I4" s="6" t="s">
        <v>0</v>
      </c>
      <c r="J4" s="266" t="s">
        <v>172</v>
      </c>
      <c r="K4" s="6" t="s">
        <v>0</v>
      </c>
      <c r="L4" s="266" t="s">
        <v>172</v>
      </c>
      <c r="M4" s="6" t="s">
        <v>0</v>
      </c>
      <c r="N4" s="266" t="s">
        <v>172</v>
      </c>
      <c r="O4" s="6" t="s">
        <v>0</v>
      </c>
      <c r="P4" s="266" t="s">
        <v>172</v>
      </c>
      <c r="Q4" s="6" t="s">
        <v>0</v>
      </c>
      <c r="R4" s="266" t="s">
        <v>172</v>
      </c>
      <c r="S4" s="6" t="s">
        <v>0</v>
      </c>
      <c r="T4" s="266" t="s">
        <v>172</v>
      </c>
      <c r="U4" s="6" t="s">
        <v>0</v>
      </c>
      <c r="V4" s="266" t="s">
        <v>172</v>
      </c>
      <c r="W4" s="6" t="s">
        <v>0</v>
      </c>
      <c r="X4" s="266" t="s">
        <v>172</v>
      </c>
      <c r="Y4" s="6" t="s">
        <v>0</v>
      </c>
      <c r="Z4" s="266" t="s">
        <v>172</v>
      </c>
      <c r="AA4" s="6" t="s">
        <v>0</v>
      </c>
      <c r="AB4" s="266" t="s">
        <v>172</v>
      </c>
      <c r="AC4" s="6" t="s">
        <v>0</v>
      </c>
      <c r="AD4" s="266" t="s">
        <v>172</v>
      </c>
      <c r="AE4" s="6" t="s">
        <v>0</v>
      </c>
      <c r="AF4" s="266" t="s">
        <v>172</v>
      </c>
      <c r="AG4" s="6" t="s">
        <v>0</v>
      </c>
      <c r="AH4" s="266" t="s">
        <v>172</v>
      </c>
      <c r="AI4" s="6" t="s">
        <v>0</v>
      </c>
      <c r="AJ4" s="266" t="s">
        <v>172</v>
      </c>
      <c r="AK4" s="6" t="s">
        <v>0</v>
      </c>
      <c r="AL4" s="266" t="s">
        <v>172</v>
      </c>
      <c r="AM4" s="6" t="s">
        <v>0</v>
      </c>
      <c r="AN4" s="266" t="s">
        <v>172</v>
      </c>
      <c r="AO4" s="6" t="s">
        <v>0</v>
      </c>
      <c r="AP4" s="266" t="s">
        <v>172</v>
      </c>
      <c r="AQ4" s="6" t="s">
        <v>0</v>
      </c>
      <c r="AR4" s="266" t="s">
        <v>172</v>
      </c>
      <c r="AS4" s="6" t="s">
        <v>0</v>
      </c>
      <c r="AT4" s="266" t="s">
        <v>172</v>
      </c>
      <c r="AU4" s="6" t="s">
        <v>0</v>
      </c>
      <c r="AV4" s="266" t="s">
        <v>172</v>
      </c>
      <c r="AW4" s="6" t="s">
        <v>0</v>
      </c>
      <c r="AX4" s="266" t="s">
        <v>172</v>
      </c>
      <c r="AY4" s="6" t="s">
        <v>0</v>
      </c>
      <c r="AZ4" s="266" t="s">
        <v>172</v>
      </c>
      <c r="BA4" s="6" t="s">
        <v>0</v>
      </c>
      <c r="BB4" s="266" t="s">
        <v>172</v>
      </c>
      <c r="BC4" s="6" t="s">
        <v>0</v>
      </c>
      <c r="BD4" s="266" t="s">
        <v>172</v>
      </c>
      <c r="BE4" s="6" t="s">
        <v>0</v>
      </c>
      <c r="BF4" s="266" t="s">
        <v>172</v>
      </c>
      <c r="BG4" s="6" t="s">
        <v>0</v>
      </c>
      <c r="BH4" s="266" t="s">
        <v>172</v>
      </c>
      <c r="BI4" s="6" t="s">
        <v>0</v>
      </c>
      <c r="BJ4" s="266" t="s">
        <v>172</v>
      </c>
      <c r="BK4" s="6" t="s">
        <v>0</v>
      </c>
      <c r="BL4" s="266" t="s">
        <v>172</v>
      </c>
      <c r="BM4" s="6" t="s">
        <v>0</v>
      </c>
      <c r="BN4" s="266" t="s">
        <v>172</v>
      </c>
      <c r="BO4" s="6" t="s">
        <v>0</v>
      </c>
      <c r="BP4" s="266" t="s">
        <v>172</v>
      </c>
      <c r="BQ4" s="6" t="s">
        <v>0</v>
      </c>
      <c r="BR4" s="266" t="s">
        <v>172</v>
      </c>
      <c r="BS4" s="6" t="s">
        <v>0</v>
      </c>
      <c r="BT4" s="266" t="s">
        <v>172</v>
      </c>
      <c r="BU4" s="6" t="s">
        <v>0</v>
      </c>
      <c r="BV4" s="266" t="s">
        <v>172</v>
      </c>
      <c r="BW4" s="6" t="s">
        <v>0</v>
      </c>
      <c r="BX4" s="266" t="s">
        <v>172</v>
      </c>
      <c r="BY4" s="6" t="s">
        <v>0</v>
      </c>
      <c r="BZ4" s="266" t="s">
        <v>172</v>
      </c>
      <c r="CA4" s="6" t="s">
        <v>0</v>
      </c>
      <c r="CB4" s="266" t="s">
        <v>172</v>
      </c>
      <c r="CC4" s="6" t="s">
        <v>0</v>
      </c>
      <c r="CD4" s="266" t="s">
        <v>172</v>
      </c>
      <c r="CE4" s="6" t="s">
        <v>0</v>
      </c>
      <c r="CF4" s="266" t="s">
        <v>172</v>
      </c>
      <c r="CG4" s="6" t="s">
        <v>0</v>
      </c>
      <c r="CH4" s="266" t="s">
        <v>172</v>
      </c>
      <c r="CI4" s="6" t="s">
        <v>0</v>
      </c>
      <c r="CJ4" s="266" t="s">
        <v>172</v>
      </c>
      <c r="CK4" s="6" t="s">
        <v>0</v>
      </c>
      <c r="CL4" s="266" t="s">
        <v>172</v>
      </c>
      <c r="CM4" s="6" t="s">
        <v>0</v>
      </c>
      <c r="CN4" s="266" t="s">
        <v>172</v>
      </c>
      <c r="CO4" s="6" t="s">
        <v>0</v>
      </c>
      <c r="CP4" s="6" t="s">
        <v>172</v>
      </c>
      <c r="CQ4" s="6" t="s">
        <v>0</v>
      </c>
      <c r="CR4" s="6" t="s">
        <v>172</v>
      </c>
      <c r="CS4" s="6" t="s">
        <v>0</v>
      </c>
      <c r="CT4" s="6" t="s">
        <v>172</v>
      </c>
      <c r="CU4" s="6" t="s">
        <v>0</v>
      </c>
      <c r="CV4" s="6" t="s">
        <v>172</v>
      </c>
      <c r="CW4" s="6" t="s">
        <v>0</v>
      </c>
      <c r="CX4" s="6" t="s">
        <v>172</v>
      </c>
      <c r="CY4" s="6" t="s">
        <v>0</v>
      </c>
      <c r="CZ4" s="6" t="s">
        <v>172</v>
      </c>
      <c r="DA4" s="6" t="s">
        <v>0</v>
      </c>
      <c r="DB4" s="6" t="s">
        <v>172</v>
      </c>
      <c r="DC4" s="6" t="s">
        <v>0</v>
      </c>
      <c r="DD4" s="6" t="s">
        <v>172</v>
      </c>
      <c r="DE4" s="6" t="s">
        <v>0</v>
      </c>
      <c r="DF4" s="6" t="s">
        <v>172</v>
      </c>
      <c r="DG4" s="6" t="s">
        <v>0</v>
      </c>
      <c r="DH4" s="6" t="s">
        <v>172</v>
      </c>
      <c r="DI4" s="6" t="s">
        <v>0</v>
      </c>
      <c r="DJ4" s="6" t="s">
        <v>172</v>
      </c>
      <c r="DK4" s="6" t="s">
        <v>0</v>
      </c>
      <c r="DL4" s="6" t="s">
        <v>172</v>
      </c>
      <c r="DM4" s="6" t="s">
        <v>0</v>
      </c>
      <c r="DN4" s="6" t="s">
        <v>172</v>
      </c>
      <c r="DO4" s="6" t="s">
        <v>0</v>
      </c>
      <c r="DP4" s="6" t="s">
        <v>172</v>
      </c>
      <c r="DQ4" s="6" t="s">
        <v>0</v>
      </c>
      <c r="DR4" s="6" t="s">
        <v>172</v>
      </c>
      <c r="DS4" s="6" t="s">
        <v>0</v>
      </c>
      <c r="DT4" s="6" t="s">
        <v>172</v>
      </c>
      <c r="DU4" s="6" t="s">
        <v>0</v>
      </c>
      <c r="DV4" s="6" t="s">
        <v>172</v>
      </c>
      <c r="DW4" s="6" t="s">
        <v>0</v>
      </c>
      <c r="DX4" s="6" t="s">
        <v>172</v>
      </c>
      <c r="DY4" s="6" t="s">
        <v>0</v>
      </c>
      <c r="DZ4" s="6" t="s">
        <v>172</v>
      </c>
      <c r="EA4" s="6" t="s">
        <v>0</v>
      </c>
      <c r="EB4" s="6" t="s">
        <v>172</v>
      </c>
      <c r="EC4" s="6" t="s">
        <v>0</v>
      </c>
      <c r="ED4" s="6" t="s">
        <v>172</v>
      </c>
      <c r="EE4" s="6" t="s">
        <v>0</v>
      </c>
      <c r="EF4" s="6" t="s">
        <v>172</v>
      </c>
      <c r="EG4" s="6" t="s">
        <v>0</v>
      </c>
      <c r="EH4" s="6" t="s">
        <v>172</v>
      </c>
      <c r="EI4" s="6" t="s">
        <v>0</v>
      </c>
      <c r="EJ4" s="6" t="s">
        <v>172</v>
      </c>
      <c r="EK4" s="6" t="s">
        <v>0</v>
      </c>
      <c r="EL4" s="6" t="s">
        <v>172</v>
      </c>
      <c r="EM4" s="6" t="s">
        <v>0</v>
      </c>
      <c r="EN4" s="6" t="s">
        <v>172</v>
      </c>
      <c r="EO4" s="6" t="s">
        <v>0</v>
      </c>
      <c r="EP4" s="6" t="s">
        <v>172</v>
      </c>
      <c r="EQ4" s="6" t="s">
        <v>0</v>
      </c>
      <c r="ER4" s="6" t="s">
        <v>172</v>
      </c>
      <c r="ES4" s="6" t="s">
        <v>0</v>
      </c>
      <c r="ET4" s="6" t="s">
        <v>172</v>
      </c>
      <c r="EU4" s="6" t="s">
        <v>0</v>
      </c>
      <c r="EV4" s="6" t="s">
        <v>172</v>
      </c>
      <c r="EW4" s="6" t="s">
        <v>0</v>
      </c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</row>
    <row r="5" spans="1:350" s="232" customFormat="1" ht="15" customHeight="1" x14ac:dyDescent="0.3">
      <c r="A5" s="7">
        <f>_xlfn.XLOOKUP(DADOS!$B$3,DADOS!$D$2:$DI$2,DADOS!$D5:$DI5,"",0)</f>
        <v>0.03</v>
      </c>
      <c r="B5" s="8">
        <f>_xlfn.XLOOKUP(DADOS!$B$3,DADOS!$E$112:$AS$112,DADOS!$E113:$AS113,"",0)</f>
        <v>0.03</v>
      </c>
      <c r="C5" s="281" t="s">
        <v>269</v>
      </c>
      <c r="D5" s="279">
        <v>0.01</v>
      </c>
      <c r="E5" s="8" cm="1">
        <f t="array" ref="E5">_xlfn.XLOOKUP(D$2,$D$112:$BF$112,$D113:BF113,0,0)</f>
        <v>0.01</v>
      </c>
      <c r="F5" s="279">
        <v>0.01</v>
      </c>
      <c r="G5" s="8">
        <f>_xlfn.XLOOKUP(F$2,$D$112:$AS$112,D113:AS113,0,0)</f>
        <v>0.01</v>
      </c>
      <c r="H5" s="279">
        <v>0.02</v>
      </c>
      <c r="I5" s="8">
        <f>_xlfn.XLOOKUP(H$2,$D$112:$AS$112,D113:AS113,0,0)</f>
        <v>0.02</v>
      </c>
      <c r="J5" s="279">
        <v>0.03</v>
      </c>
      <c r="K5" s="8">
        <f>_xlfn.XLOOKUP(J$2,$D$112:$AS$112,D113:AS113,0,0)</f>
        <v>0.03</v>
      </c>
      <c r="L5" s="279"/>
      <c r="M5" s="8">
        <f>_xlfn.XLOOKUP(L$2,$D$112:$AS$112,F113:AU113,0,0)</f>
        <v>0.12</v>
      </c>
      <c r="N5" s="279"/>
      <c r="O5" s="8">
        <f>_xlfn.XLOOKUP(N$2,$D$112:$AS$112,H113:AW113,0,0)</f>
        <v>0.2</v>
      </c>
      <c r="P5" s="279"/>
      <c r="Q5" s="8">
        <f>_xlfn.XLOOKUP(P$2,$D$112:$AS$112,J113:AY113,0,0)</f>
        <v>0.26</v>
      </c>
      <c r="R5" s="279"/>
      <c r="S5" s="8">
        <f>_xlfn.XLOOKUP(R$2,$D$112:$AS$112,L113:BA113,0,0)</f>
        <v>0.34</v>
      </c>
      <c r="T5" s="279"/>
      <c r="U5" s="8">
        <f>_xlfn.XLOOKUP(T$2,$D$112:$AS$112,N113:BC113,0,0)</f>
        <v>0.44</v>
      </c>
      <c r="V5" s="279"/>
      <c r="W5" s="8">
        <f>_xlfn.XLOOKUP(V$2,$D$112:$AS$112,P113:BE113,0,0)</f>
        <v>0.52</v>
      </c>
      <c r="X5" s="279"/>
      <c r="Y5" s="8"/>
      <c r="Z5" s="279"/>
      <c r="AA5" s="8"/>
      <c r="AB5" s="279"/>
      <c r="AC5" s="8"/>
      <c r="AD5" s="279"/>
      <c r="AE5" s="8"/>
      <c r="AF5" s="279"/>
      <c r="AG5" s="8"/>
      <c r="AH5" s="279"/>
      <c r="AI5" s="8"/>
      <c r="AJ5" s="279"/>
      <c r="AK5" s="8"/>
      <c r="AL5" s="279"/>
      <c r="AM5" s="8"/>
      <c r="AN5" s="279"/>
      <c r="AO5" s="8"/>
      <c r="AP5" s="279"/>
      <c r="AQ5" s="8"/>
      <c r="AR5" s="279"/>
      <c r="AS5" s="8"/>
      <c r="AT5" s="279"/>
      <c r="AU5" s="8"/>
      <c r="AV5" s="279"/>
      <c r="AW5" s="8"/>
      <c r="AX5" s="279"/>
      <c r="AY5" s="8"/>
      <c r="AZ5" s="279"/>
      <c r="BA5" s="8"/>
      <c r="BB5" s="279"/>
      <c r="BC5" s="8"/>
      <c r="BD5" s="279"/>
      <c r="BE5" s="8"/>
      <c r="BF5" s="279"/>
      <c r="BG5" s="8"/>
      <c r="BH5" s="279"/>
      <c r="BI5" s="8"/>
      <c r="BJ5" s="279"/>
      <c r="BK5" s="8"/>
      <c r="BL5" s="279"/>
      <c r="BM5" s="8"/>
      <c r="BN5" s="279"/>
      <c r="BO5" s="8"/>
      <c r="BP5" s="279"/>
      <c r="BQ5" s="8"/>
      <c r="BR5" s="279"/>
      <c r="BS5" s="8"/>
      <c r="BT5" s="279"/>
      <c r="BU5" s="8"/>
      <c r="BV5" s="279"/>
      <c r="BW5" s="8"/>
      <c r="BX5" s="279"/>
      <c r="BY5" s="8"/>
      <c r="BZ5" s="279"/>
      <c r="CA5" s="8"/>
      <c r="CB5" s="279"/>
      <c r="CC5" s="8"/>
      <c r="CD5" s="279"/>
      <c r="CE5" s="8"/>
      <c r="CF5" s="279"/>
      <c r="CG5" s="8"/>
      <c r="CH5" s="279"/>
      <c r="CI5" s="8"/>
      <c r="CJ5" s="279"/>
      <c r="CK5" s="8"/>
      <c r="CL5" s="279"/>
      <c r="CM5" s="8"/>
      <c r="CN5" s="279"/>
      <c r="CO5" s="8"/>
      <c r="CP5" s="7"/>
      <c r="CQ5" s="8"/>
      <c r="CR5" s="7"/>
      <c r="CS5" s="8"/>
      <c r="CT5" s="7"/>
      <c r="CU5" s="8"/>
      <c r="CV5" s="7"/>
      <c r="CW5" s="8"/>
      <c r="CX5" s="7"/>
      <c r="CY5" s="8"/>
      <c r="CZ5" s="7"/>
      <c r="DA5" s="8"/>
      <c r="DB5" s="7"/>
      <c r="DC5" s="8"/>
      <c r="DD5" s="7"/>
      <c r="DE5" s="8"/>
      <c r="DF5" s="7"/>
      <c r="DG5" s="8"/>
      <c r="DH5" s="7"/>
      <c r="DI5" s="8"/>
      <c r="DJ5" s="7"/>
      <c r="DK5" s="8"/>
      <c r="DL5" s="7"/>
      <c r="DM5" s="8"/>
      <c r="DN5" s="7"/>
      <c r="DO5" s="8"/>
      <c r="DP5" s="7"/>
      <c r="DQ5" s="8"/>
      <c r="DR5" s="7"/>
      <c r="DS5" s="8"/>
      <c r="DT5" s="7"/>
      <c r="DU5" s="8"/>
      <c r="DV5" s="7"/>
      <c r="DW5" s="8"/>
      <c r="DX5" s="7"/>
      <c r="DY5" s="8"/>
      <c r="DZ5" s="7"/>
      <c r="EA5" s="8"/>
      <c r="EB5" s="7"/>
      <c r="EC5" s="8"/>
      <c r="ED5" s="7"/>
      <c r="EE5" s="8"/>
      <c r="EF5" s="7"/>
      <c r="EG5" s="8"/>
      <c r="EH5" s="7"/>
      <c r="EI5" s="8"/>
      <c r="EJ5" s="7"/>
      <c r="EK5" s="8"/>
      <c r="EL5" s="7"/>
      <c r="EM5" s="8"/>
      <c r="EN5" s="7"/>
      <c r="EO5" s="8"/>
      <c r="EP5" s="7"/>
      <c r="EQ5" s="8"/>
      <c r="ER5" s="7"/>
      <c r="ES5" s="8"/>
      <c r="ET5" s="7"/>
      <c r="EU5" s="8"/>
      <c r="EV5" s="7"/>
      <c r="EW5" s="8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</row>
    <row r="6" spans="1:350" s="233" customFormat="1" ht="15" customHeight="1" x14ac:dyDescent="0.3">
      <c r="A6" s="77">
        <f>_xlfn.XLOOKUP(DADOS!$B$3,DADOS!$D$2:$DI$2,DADOS!$D6:$DI6,"",0)</f>
        <v>1</v>
      </c>
      <c r="B6" s="78">
        <f>_xlfn.XLOOKUP(DADOS!$B$3,DADOS!$E$112:$AS$112,DADOS!$E114:$AS114,"",0)</f>
        <v>1</v>
      </c>
      <c r="C6" s="294" t="s">
        <v>214</v>
      </c>
      <c r="D6" s="280"/>
      <c r="E6" s="78" cm="1">
        <f t="array" ref="E6">_xlfn.XLOOKUP(D$2,$D$112:$BF$112,$D114:BF114,0,0)</f>
        <v>1</v>
      </c>
      <c r="F6" s="280"/>
      <c r="G6" s="78">
        <f>_xlfn.XLOOKUP(F$2,$D$112:$AS$112,D114:AS114,0,0)</f>
        <v>1</v>
      </c>
      <c r="H6" s="280"/>
      <c r="I6" s="78">
        <f>_xlfn.XLOOKUP(H$2,$D$112:$AS$112,D114:AS114,0,0)</f>
        <v>1</v>
      </c>
      <c r="J6" s="280">
        <v>1</v>
      </c>
      <c r="K6" s="78">
        <f>_xlfn.XLOOKUP(J$2,$D$112:$AS$112,D114:AS114,0,0)</f>
        <v>1</v>
      </c>
      <c r="L6" s="280"/>
      <c r="M6" s="78" cm="1">
        <f t="array" ref="M6">_xlfn.XLOOKUP(L$2,$D$112:$AS$112,$D$114:AS114,0,0)</f>
        <v>1</v>
      </c>
      <c r="N6" s="280"/>
      <c r="O6" s="78">
        <f>_xlfn.XLOOKUP(N$2,$D$112:$AS$112,D114:AS114,0,0)</f>
        <v>1</v>
      </c>
      <c r="P6" s="280"/>
      <c r="Q6" s="78">
        <f>_xlfn.XLOOKUP(P$2,$D$112:$AS$112,D114:AS114,0,0)</f>
        <v>1</v>
      </c>
      <c r="R6" s="280"/>
      <c r="S6" s="78">
        <f>_xlfn.XLOOKUP(R$2,$D$112:$AS$112,D114:AS114,0,0)</f>
        <v>1</v>
      </c>
      <c r="T6" s="280"/>
      <c r="U6" s="78">
        <f>_xlfn.XLOOKUP(T$2,$D$112:$AS$112,D114:AS114,0,0)</f>
        <v>1</v>
      </c>
      <c r="V6" s="280"/>
      <c r="W6" s="78">
        <f>_xlfn.XLOOKUP(V$2,$D$112:$AS$112,D114:AS114,0,0)</f>
        <v>1</v>
      </c>
      <c r="X6" s="280"/>
      <c r="Y6" s="78"/>
      <c r="Z6" s="280"/>
      <c r="AA6" s="78"/>
      <c r="AB6" s="280"/>
      <c r="AC6" s="78"/>
      <c r="AD6" s="280"/>
      <c r="AE6" s="78"/>
      <c r="AF6" s="280"/>
      <c r="AG6" s="78"/>
      <c r="AH6" s="280"/>
      <c r="AI6" s="78"/>
      <c r="AJ6" s="280"/>
      <c r="AK6" s="78"/>
      <c r="AL6" s="280"/>
      <c r="AM6" s="78"/>
      <c r="AN6" s="280"/>
      <c r="AO6" s="78"/>
      <c r="AP6" s="280"/>
      <c r="AQ6" s="78"/>
      <c r="AR6" s="280"/>
      <c r="AS6" s="78"/>
      <c r="AT6" s="280"/>
      <c r="AU6" s="78"/>
      <c r="AV6" s="280"/>
      <c r="AW6" s="78"/>
      <c r="AX6" s="280"/>
      <c r="AY6" s="78"/>
      <c r="AZ6" s="280"/>
      <c r="BA6" s="78"/>
      <c r="BB6" s="280"/>
      <c r="BC6" s="78"/>
      <c r="BD6" s="280"/>
      <c r="BE6" s="78"/>
      <c r="BF6" s="280"/>
      <c r="BG6" s="78"/>
      <c r="BH6" s="280"/>
      <c r="BI6" s="78"/>
      <c r="BJ6" s="280"/>
      <c r="BK6" s="78"/>
      <c r="BL6" s="280"/>
      <c r="BM6" s="78"/>
      <c r="BN6" s="280"/>
      <c r="BO6" s="78"/>
      <c r="BP6" s="280"/>
      <c r="BQ6" s="78"/>
      <c r="BR6" s="280"/>
      <c r="BS6" s="78"/>
      <c r="BT6" s="280"/>
      <c r="BU6" s="78"/>
      <c r="BV6" s="280"/>
      <c r="BW6" s="78"/>
      <c r="BX6" s="280"/>
      <c r="BY6" s="78"/>
      <c r="BZ6" s="280"/>
      <c r="CA6" s="78"/>
      <c r="CB6" s="280"/>
      <c r="CC6" s="78"/>
      <c r="CD6" s="280"/>
      <c r="CE6" s="78"/>
      <c r="CF6" s="280"/>
      <c r="CG6" s="78"/>
      <c r="CH6" s="280"/>
      <c r="CI6" s="78"/>
      <c r="CJ6" s="280"/>
      <c r="CK6" s="78"/>
      <c r="CL6" s="280"/>
      <c r="CM6" s="78"/>
      <c r="CN6" s="280"/>
      <c r="CO6" s="78"/>
      <c r="CP6" s="77"/>
      <c r="CQ6" s="78"/>
      <c r="CR6" s="77"/>
      <c r="CS6" s="78"/>
      <c r="CT6" s="77"/>
      <c r="CU6" s="78"/>
      <c r="CV6" s="77"/>
      <c r="CW6" s="78"/>
      <c r="CX6" s="77"/>
      <c r="CY6" s="78"/>
      <c r="CZ6" s="77"/>
      <c r="DA6" s="78"/>
      <c r="DB6" s="77"/>
      <c r="DC6" s="78"/>
      <c r="DD6" s="77"/>
      <c r="DE6" s="78"/>
      <c r="DF6" s="77"/>
      <c r="DG6" s="78"/>
      <c r="DH6" s="77"/>
      <c r="DI6" s="78"/>
      <c r="DJ6" s="77"/>
      <c r="DK6" s="78"/>
      <c r="DL6" s="77"/>
      <c r="DM6" s="78"/>
      <c r="DN6" s="77"/>
      <c r="DO6" s="78"/>
      <c r="DP6" s="77"/>
      <c r="DQ6" s="78"/>
      <c r="DR6" s="77"/>
      <c r="DS6" s="78"/>
      <c r="DT6" s="77"/>
      <c r="DU6" s="78"/>
      <c r="DV6" s="77"/>
      <c r="DW6" s="78"/>
      <c r="DX6" s="77"/>
      <c r="DY6" s="78"/>
      <c r="DZ6" s="77"/>
      <c r="EA6" s="78"/>
      <c r="EB6" s="77"/>
      <c r="EC6" s="78"/>
      <c r="ED6" s="77"/>
      <c r="EE6" s="78"/>
      <c r="EF6" s="77"/>
      <c r="EG6" s="78"/>
      <c r="EH6" s="77"/>
      <c r="EI6" s="78"/>
      <c r="EJ6" s="77"/>
      <c r="EK6" s="78"/>
      <c r="EL6" s="77"/>
      <c r="EM6" s="78"/>
      <c r="EN6" s="77"/>
      <c r="EO6" s="78"/>
      <c r="EP6" s="77"/>
      <c r="EQ6" s="78"/>
      <c r="ER6" s="77"/>
      <c r="ES6" s="78"/>
      <c r="ET6" s="77"/>
      <c r="EU6" s="78"/>
      <c r="EV6" s="77"/>
      <c r="EW6" s="78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</row>
    <row r="7" spans="1:350" s="233" customFormat="1" ht="15" customHeight="1" x14ac:dyDescent="0.3">
      <c r="A7" s="77">
        <f>_xlfn.XLOOKUP(DADOS!$B$3,DADOS!$D$2:$DI$2,DADOS!$D7:$DI7,"",0)</f>
        <v>0.08</v>
      </c>
      <c r="B7" s="78">
        <f>_xlfn.XLOOKUP(DADOS!$B$3,DADOS!$E$112:$AS$112,DADOS!$E115:$AS115,"",0)</f>
        <v>0.06</v>
      </c>
      <c r="C7" s="287" t="s">
        <v>201</v>
      </c>
      <c r="D7" s="280"/>
      <c r="E7" s="78" cm="1">
        <f t="array" ref="E7">_xlfn.XLOOKUP(D$2,$D$112:$BF$112,$D115:BF115,0,0)</f>
        <v>0.02</v>
      </c>
      <c r="F7" s="280"/>
      <c r="G7" s="78">
        <f t="shared" ref="G7:G70" si="47">_xlfn.XLOOKUP(F$2,$D$112:$AS$112,D115:AS115,0,0)</f>
        <v>0.02</v>
      </c>
      <c r="H7" s="280"/>
      <c r="I7" s="78">
        <f t="shared" ref="I7:I70" si="48">_xlfn.XLOOKUP(H$2,$D$112:$AS$112,D115:AS115,0,0)</f>
        <v>0.04</v>
      </c>
      <c r="J7" s="280">
        <v>0.08</v>
      </c>
      <c r="K7" s="78">
        <f t="shared" ref="K7:M70" si="49">_xlfn.XLOOKUP(J$2,$D$112:$AS$112,D115:AS115,0,0)</f>
        <v>0.06</v>
      </c>
      <c r="L7" s="280"/>
      <c r="M7" s="78">
        <f t="shared" si="49"/>
        <v>0.15</v>
      </c>
      <c r="N7" s="280"/>
      <c r="O7" s="78">
        <f t="shared" ref="O7:O70" si="50">_xlfn.XLOOKUP(N$2,$D$112:$AS$112,D115:AS115,0,0)</f>
        <v>0.13</v>
      </c>
      <c r="P7" s="280"/>
      <c r="Q7" s="78">
        <f t="shared" ref="Q7:Q70" si="51">_xlfn.XLOOKUP(P$2,$D$112:$AS$112,D115:AS115,0,0)</f>
        <v>0.15</v>
      </c>
      <c r="R7" s="280"/>
      <c r="S7" s="78">
        <f t="shared" ref="S7:S70" si="52">_xlfn.XLOOKUP(R$2,$D$112:$AS$112,D115:AS115,0,0)</f>
        <v>0.17</v>
      </c>
      <c r="T7" s="280"/>
      <c r="U7" s="78">
        <f t="shared" ref="U7:U70" si="53">_xlfn.XLOOKUP(T$2,$D$112:$AS$112,D115:AS115,0,0)</f>
        <v>0.2</v>
      </c>
      <c r="V7" s="280"/>
      <c r="W7" s="78">
        <f t="shared" ref="W7:W70" si="54">_xlfn.XLOOKUP(V$2,$D$112:$AS$112,D115:AS115,0,0)</f>
        <v>0.22</v>
      </c>
      <c r="X7" s="280"/>
      <c r="Y7" s="78"/>
      <c r="Z7" s="280"/>
      <c r="AA7" s="78"/>
      <c r="AB7" s="280"/>
      <c r="AC7" s="78"/>
      <c r="AD7" s="280"/>
      <c r="AE7" s="78"/>
      <c r="AF7" s="280"/>
      <c r="AG7" s="78"/>
      <c r="AH7" s="280"/>
      <c r="AI7" s="78"/>
      <c r="AJ7" s="280"/>
      <c r="AK7" s="78"/>
      <c r="AL7" s="280"/>
      <c r="AM7" s="78"/>
      <c r="AN7" s="280"/>
      <c r="AO7" s="78"/>
      <c r="AP7" s="280"/>
      <c r="AQ7" s="78"/>
      <c r="AR7" s="280"/>
      <c r="AS7" s="78"/>
      <c r="AT7" s="280"/>
      <c r="AU7" s="78"/>
      <c r="AV7" s="280"/>
      <c r="AW7" s="78"/>
      <c r="AX7" s="280"/>
      <c r="AY7" s="78"/>
      <c r="AZ7" s="280"/>
      <c r="BA7" s="78"/>
      <c r="BB7" s="280"/>
      <c r="BC7" s="78"/>
      <c r="BD7" s="280"/>
      <c r="BE7" s="78"/>
      <c r="BF7" s="280"/>
      <c r="BG7" s="78"/>
      <c r="BH7" s="280"/>
      <c r="BI7" s="78"/>
      <c r="BJ7" s="280"/>
      <c r="BK7" s="78"/>
      <c r="BL7" s="280"/>
      <c r="BM7" s="78"/>
      <c r="BN7" s="280"/>
      <c r="BO7" s="78"/>
      <c r="BP7" s="280"/>
      <c r="BQ7" s="78"/>
      <c r="BR7" s="280"/>
      <c r="BS7" s="78"/>
      <c r="BT7" s="280"/>
      <c r="BU7" s="78"/>
      <c r="BV7" s="280"/>
      <c r="BW7" s="78"/>
      <c r="BX7" s="280"/>
      <c r="BY7" s="78"/>
      <c r="BZ7" s="280"/>
      <c r="CA7" s="78"/>
      <c r="CB7" s="280"/>
      <c r="CC7" s="78"/>
      <c r="CD7" s="280"/>
      <c r="CE7" s="78"/>
      <c r="CF7" s="280"/>
      <c r="CG7" s="78"/>
      <c r="CH7" s="280"/>
      <c r="CI7" s="78"/>
      <c r="CJ7" s="280"/>
      <c r="CK7" s="78"/>
      <c r="CL7" s="280"/>
      <c r="CM7" s="78"/>
      <c r="CN7" s="280"/>
      <c r="CO7" s="78"/>
      <c r="CP7" s="77"/>
      <c r="CQ7" s="78"/>
      <c r="CR7" s="77"/>
      <c r="CS7" s="78"/>
      <c r="CT7" s="77"/>
      <c r="CU7" s="78"/>
      <c r="CV7" s="77"/>
      <c r="CW7" s="78"/>
      <c r="CX7" s="77"/>
      <c r="CY7" s="78"/>
      <c r="CZ7" s="77"/>
      <c r="DA7" s="78"/>
      <c r="DB7" s="77"/>
      <c r="DC7" s="78"/>
      <c r="DD7" s="77"/>
      <c r="DE7" s="78"/>
      <c r="DF7" s="77"/>
      <c r="DG7" s="78"/>
      <c r="DH7" s="77"/>
      <c r="DI7" s="78"/>
      <c r="DJ7" s="77"/>
      <c r="DK7" s="78"/>
      <c r="DL7" s="77"/>
      <c r="DM7" s="78"/>
      <c r="DN7" s="77"/>
      <c r="DO7" s="78"/>
      <c r="DP7" s="77"/>
      <c r="DQ7" s="78"/>
      <c r="DR7" s="77"/>
      <c r="DS7" s="78"/>
      <c r="DT7" s="77"/>
      <c r="DU7" s="78"/>
      <c r="DV7" s="77"/>
      <c r="DW7" s="78"/>
      <c r="DX7" s="77"/>
      <c r="DY7" s="78"/>
      <c r="DZ7" s="77"/>
      <c r="EA7" s="78"/>
      <c r="EB7" s="77"/>
      <c r="EC7" s="78"/>
      <c r="ED7" s="77"/>
      <c r="EE7" s="78"/>
      <c r="EF7" s="77"/>
      <c r="EG7" s="78"/>
      <c r="EH7" s="77"/>
      <c r="EI7" s="78"/>
      <c r="EJ7" s="77"/>
      <c r="EK7" s="78"/>
      <c r="EL7" s="77"/>
      <c r="EM7" s="78"/>
      <c r="EN7" s="77"/>
      <c r="EO7" s="78"/>
      <c r="EP7" s="77"/>
      <c r="EQ7" s="78"/>
      <c r="ER7" s="77"/>
      <c r="ES7" s="78"/>
      <c r="ET7" s="77"/>
      <c r="EU7" s="78"/>
      <c r="EV7" s="77"/>
      <c r="EW7" s="78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  <c r="LK7"/>
      <c r="LL7"/>
      <c r="LM7"/>
      <c r="LN7"/>
      <c r="LO7"/>
      <c r="LP7"/>
      <c r="LQ7"/>
      <c r="LR7"/>
      <c r="LS7"/>
      <c r="LT7"/>
      <c r="LU7"/>
      <c r="LV7"/>
      <c r="LW7"/>
      <c r="LX7"/>
      <c r="LY7"/>
      <c r="LZ7"/>
      <c r="MA7"/>
      <c r="MB7"/>
      <c r="MC7"/>
      <c r="MD7"/>
      <c r="ME7"/>
      <c r="MF7"/>
      <c r="MG7"/>
      <c r="MH7"/>
      <c r="MI7"/>
      <c r="MJ7"/>
      <c r="MK7"/>
      <c r="ML7"/>
    </row>
    <row r="8" spans="1:350" s="233" customFormat="1" ht="15" customHeight="1" x14ac:dyDescent="0.3">
      <c r="A8" s="77">
        <f>_xlfn.XLOOKUP(DADOS!$B$3,DADOS!$D$2:$DI$2,DADOS!$D8:$DI8,"",0)</f>
        <v>0.02</v>
      </c>
      <c r="B8" s="78">
        <f>_xlfn.XLOOKUP(DADOS!$B$3,DADOS!$E$112:$AS$112,DADOS!$E116:$AS116,"",0)</f>
        <v>0.05</v>
      </c>
      <c r="C8" s="287" t="s">
        <v>236</v>
      </c>
      <c r="D8" s="280"/>
      <c r="E8" s="78" cm="1">
        <f t="array" ref="E8">_xlfn.XLOOKUP(D$2,$D$112:$BF$112,$D116:BF116,0,0)</f>
        <v>0.02</v>
      </c>
      <c r="F8" s="280"/>
      <c r="G8" s="78">
        <f t="shared" si="47"/>
        <v>0.02</v>
      </c>
      <c r="H8" s="280"/>
      <c r="I8" s="78">
        <f t="shared" si="48"/>
        <v>0.04</v>
      </c>
      <c r="J8" s="280">
        <v>0.02</v>
      </c>
      <c r="K8" s="78">
        <f t="shared" si="49"/>
        <v>0.05</v>
      </c>
      <c r="L8" s="280"/>
      <c r="M8" s="78">
        <f t="shared" si="49"/>
        <v>0.46</v>
      </c>
      <c r="N8" s="280"/>
      <c r="O8" s="78">
        <f t="shared" si="50"/>
        <v>0.36</v>
      </c>
      <c r="P8" s="280"/>
      <c r="Q8" s="78">
        <f t="shared" si="51"/>
        <v>0.46</v>
      </c>
      <c r="R8" s="280"/>
      <c r="S8" s="78">
        <f t="shared" si="52"/>
        <v>0.57999999999999996</v>
      </c>
      <c r="T8" s="280"/>
      <c r="U8" s="78">
        <f t="shared" si="53"/>
        <v>0.6</v>
      </c>
      <c r="V8" s="280"/>
      <c r="W8" s="78">
        <f t="shared" si="54"/>
        <v>0.62</v>
      </c>
      <c r="X8" s="280"/>
      <c r="Y8" s="78"/>
      <c r="Z8" s="280"/>
      <c r="AA8" s="78"/>
      <c r="AB8" s="280"/>
      <c r="AC8" s="78"/>
      <c r="AD8" s="280"/>
      <c r="AE8" s="78"/>
      <c r="AF8" s="280"/>
      <c r="AG8" s="78"/>
      <c r="AH8" s="280"/>
      <c r="AI8" s="78"/>
      <c r="AJ8" s="280"/>
      <c r="AK8" s="78"/>
      <c r="AL8" s="280"/>
      <c r="AM8" s="78"/>
      <c r="AN8" s="280"/>
      <c r="AO8" s="78"/>
      <c r="AP8" s="280"/>
      <c r="AQ8" s="78"/>
      <c r="AR8" s="280"/>
      <c r="AS8" s="78"/>
      <c r="AT8" s="280"/>
      <c r="AU8" s="78"/>
      <c r="AV8" s="280"/>
      <c r="AW8" s="78"/>
      <c r="AX8" s="280"/>
      <c r="AY8" s="78"/>
      <c r="AZ8" s="280"/>
      <c r="BA8" s="78"/>
      <c r="BB8" s="280"/>
      <c r="BC8" s="78"/>
      <c r="BD8" s="280"/>
      <c r="BE8" s="78"/>
      <c r="BF8" s="280"/>
      <c r="BG8" s="78"/>
      <c r="BH8" s="280"/>
      <c r="BI8" s="78"/>
      <c r="BJ8" s="280"/>
      <c r="BK8" s="78"/>
      <c r="BL8" s="280"/>
      <c r="BM8" s="78"/>
      <c r="BN8" s="280"/>
      <c r="BO8" s="78"/>
      <c r="BP8" s="280"/>
      <c r="BQ8" s="78"/>
      <c r="BR8" s="280"/>
      <c r="BS8" s="78"/>
      <c r="BT8" s="280"/>
      <c r="BU8" s="78"/>
      <c r="BV8" s="280"/>
      <c r="BW8" s="78"/>
      <c r="BX8" s="280"/>
      <c r="BY8" s="78"/>
      <c r="BZ8" s="280"/>
      <c r="CA8" s="78"/>
      <c r="CB8" s="280"/>
      <c r="CC8" s="78"/>
      <c r="CD8" s="280"/>
      <c r="CE8" s="78"/>
      <c r="CF8" s="280"/>
      <c r="CG8" s="78"/>
      <c r="CH8" s="280"/>
      <c r="CI8" s="78"/>
      <c r="CJ8" s="280"/>
      <c r="CK8" s="78"/>
      <c r="CL8" s="280"/>
      <c r="CM8" s="78"/>
      <c r="CN8" s="280"/>
      <c r="CO8" s="78"/>
      <c r="CP8" s="77"/>
      <c r="CQ8" s="78"/>
      <c r="CR8" s="77"/>
      <c r="CS8" s="78"/>
      <c r="CT8" s="77"/>
      <c r="CU8" s="78"/>
      <c r="CV8" s="77"/>
      <c r="CW8" s="78"/>
      <c r="CX8" s="77"/>
      <c r="CY8" s="78"/>
      <c r="CZ8" s="77"/>
      <c r="DA8" s="78"/>
      <c r="DB8" s="77"/>
      <c r="DC8" s="78"/>
      <c r="DD8" s="77"/>
      <c r="DE8" s="78"/>
      <c r="DF8" s="77"/>
      <c r="DG8" s="78"/>
      <c r="DH8" s="77"/>
      <c r="DI8" s="78"/>
      <c r="DJ8" s="77"/>
      <c r="DK8" s="78"/>
      <c r="DL8" s="77"/>
      <c r="DM8" s="78"/>
      <c r="DN8" s="77"/>
      <c r="DO8" s="78"/>
      <c r="DP8" s="77"/>
      <c r="DQ8" s="78"/>
      <c r="DR8" s="77"/>
      <c r="DS8" s="78"/>
      <c r="DT8" s="77"/>
      <c r="DU8" s="78"/>
      <c r="DV8" s="77"/>
      <c r="DW8" s="78"/>
      <c r="DX8" s="77"/>
      <c r="DY8" s="78"/>
      <c r="DZ8" s="77"/>
      <c r="EA8" s="78"/>
      <c r="EB8" s="77"/>
      <c r="EC8" s="78"/>
      <c r="ED8" s="77"/>
      <c r="EE8" s="78"/>
      <c r="EF8" s="77"/>
      <c r="EG8" s="78"/>
      <c r="EH8" s="77"/>
      <c r="EI8" s="78"/>
      <c r="EJ8" s="77"/>
      <c r="EK8" s="78"/>
      <c r="EL8" s="77"/>
      <c r="EM8" s="78"/>
      <c r="EN8" s="77"/>
      <c r="EO8" s="78"/>
      <c r="EP8" s="77"/>
      <c r="EQ8" s="78"/>
      <c r="ER8" s="77"/>
      <c r="ES8" s="78"/>
      <c r="ET8" s="77"/>
      <c r="EU8" s="78"/>
      <c r="EV8" s="77"/>
      <c r="EW8" s="7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</row>
    <row r="9" spans="1:350" s="233" customFormat="1" ht="15" customHeight="1" x14ac:dyDescent="0.3">
      <c r="A9" s="77">
        <f>_xlfn.XLOOKUP(DADOS!$B$3,DADOS!$D$2:$DI$2,DADOS!$D9:$DI9,"",0)</f>
        <v>0</v>
      </c>
      <c r="B9" s="78">
        <f>_xlfn.XLOOKUP(DADOS!$B$3,DADOS!$E$112:$AS$112,DADOS!$E117:$AS117,"",0)</f>
        <v>0.81</v>
      </c>
      <c r="C9" s="295" t="s">
        <v>237</v>
      </c>
      <c r="D9" s="280"/>
      <c r="E9" s="78" cm="1">
        <f t="array" ref="E9">_xlfn.XLOOKUP(D$2,$D$112:$BF$112,$D117:BF117,0,0)</f>
        <v>0</v>
      </c>
      <c r="F9" s="280"/>
      <c r="G9" s="78">
        <f t="shared" si="47"/>
        <v>0</v>
      </c>
      <c r="H9" s="280"/>
      <c r="I9" s="78">
        <f t="shared" si="48"/>
        <v>0.65</v>
      </c>
      <c r="J9" s="280">
        <v>0</v>
      </c>
      <c r="K9" s="78">
        <f t="shared" si="49"/>
        <v>0.81</v>
      </c>
      <c r="L9" s="280"/>
      <c r="M9" s="78">
        <f t="shared" si="49"/>
        <v>1</v>
      </c>
      <c r="N9" s="280"/>
      <c r="O9" s="78">
        <f t="shared" si="50"/>
        <v>1</v>
      </c>
      <c r="P9" s="280"/>
      <c r="Q9" s="78">
        <f t="shared" si="51"/>
        <v>1</v>
      </c>
      <c r="R9" s="280"/>
      <c r="S9" s="78">
        <f t="shared" si="52"/>
        <v>1</v>
      </c>
      <c r="T9" s="280"/>
      <c r="U9" s="78">
        <f t="shared" si="53"/>
        <v>1</v>
      </c>
      <c r="V9" s="280"/>
      <c r="W9" s="78">
        <f t="shared" si="54"/>
        <v>1</v>
      </c>
      <c r="X9" s="280"/>
      <c r="Y9" s="78"/>
      <c r="Z9" s="280"/>
      <c r="AA9" s="78"/>
      <c r="AB9" s="280"/>
      <c r="AC9" s="78"/>
      <c r="AD9" s="280"/>
      <c r="AE9" s="78"/>
      <c r="AF9" s="280"/>
      <c r="AG9" s="78"/>
      <c r="AH9" s="280"/>
      <c r="AI9" s="78"/>
      <c r="AJ9" s="280"/>
      <c r="AK9" s="78"/>
      <c r="AL9" s="280"/>
      <c r="AM9" s="78"/>
      <c r="AN9" s="280"/>
      <c r="AO9" s="78"/>
      <c r="AP9" s="280"/>
      <c r="AQ9" s="78"/>
      <c r="AR9" s="280"/>
      <c r="AS9" s="78"/>
      <c r="AT9" s="280"/>
      <c r="AU9" s="78"/>
      <c r="AV9" s="280"/>
      <c r="AW9" s="78"/>
      <c r="AX9" s="280"/>
      <c r="AY9" s="78"/>
      <c r="AZ9" s="280"/>
      <c r="BA9" s="78"/>
      <c r="BB9" s="280"/>
      <c r="BC9" s="78"/>
      <c r="BD9" s="280"/>
      <c r="BE9" s="78"/>
      <c r="BF9" s="280"/>
      <c r="BG9" s="78"/>
      <c r="BH9" s="280"/>
      <c r="BI9" s="78"/>
      <c r="BJ9" s="280"/>
      <c r="BK9" s="78"/>
      <c r="BL9" s="280"/>
      <c r="BM9" s="78"/>
      <c r="BN9" s="280"/>
      <c r="BO9" s="78"/>
      <c r="BP9" s="280"/>
      <c r="BQ9" s="78"/>
      <c r="BR9" s="280"/>
      <c r="BS9" s="78"/>
      <c r="BT9" s="280"/>
      <c r="BU9" s="78"/>
      <c r="BV9" s="280"/>
      <c r="BW9" s="78"/>
      <c r="BX9" s="280"/>
      <c r="BY9" s="78"/>
      <c r="BZ9" s="280"/>
      <c r="CA9" s="78"/>
      <c r="CB9" s="280"/>
      <c r="CC9" s="78"/>
      <c r="CD9" s="280"/>
      <c r="CE9" s="78"/>
      <c r="CF9" s="280"/>
      <c r="CG9" s="78"/>
      <c r="CH9" s="280"/>
      <c r="CI9" s="78"/>
      <c r="CJ9" s="280"/>
      <c r="CK9" s="78"/>
      <c r="CL9" s="280"/>
      <c r="CM9" s="78"/>
      <c r="CN9" s="280"/>
      <c r="CO9" s="78"/>
      <c r="CP9" s="77"/>
      <c r="CQ9" s="78"/>
      <c r="CR9" s="77"/>
      <c r="CS9" s="78"/>
      <c r="CT9" s="77"/>
      <c r="CU9" s="78"/>
      <c r="CV9" s="77"/>
      <c r="CW9" s="78"/>
      <c r="CX9" s="77"/>
      <c r="CY9" s="78"/>
      <c r="CZ9" s="77"/>
      <c r="DA9" s="78"/>
      <c r="DB9" s="77"/>
      <c r="DC9" s="78"/>
      <c r="DD9" s="77"/>
      <c r="DE9" s="78"/>
      <c r="DF9" s="77"/>
      <c r="DG9" s="78"/>
      <c r="DH9" s="77"/>
      <c r="DI9" s="78"/>
      <c r="DJ9" s="77"/>
      <c r="DK9" s="78"/>
      <c r="DL9" s="77"/>
      <c r="DM9" s="78"/>
      <c r="DN9" s="77"/>
      <c r="DO9" s="78"/>
      <c r="DP9" s="77"/>
      <c r="DQ9" s="78"/>
      <c r="DR9" s="77"/>
      <c r="DS9" s="78"/>
      <c r="DT9" s="77"/>
      <c r="DU9" s="78"/>
      <c r="DV9" s="77"/>
      <c r="DW9" s="78"/>
      <c r="DX9" s="77"/>
      <c r="DY9" s="78"/>
      <c r="DZ9" s="77"/>
      <c r="EA9" s="78"/>
      <c r="EB9" s="77"/>
      <c r="EC9" s="78"/>
      <c r="ED9" s="77"/>
      <c r="EE9" s="78"/>
      <c r="EF9" s="77"/>
      <c r="EG9" s="78"/>
      <c r="EH9" s="77"/>
      <c r="EI9" s="78"/>
      <c r="EJ9" s="77"/>
      <c r="EK9" s="78"/>
      <c r="EL9" s="77"/>
      <c r="EM9" s="78"/>
      <c r="EN9" s="77"/>
      <c r="EO9" s="78"/>
      <c r="EP9" s="77"/>
      <c r="EQ9" s="78"/>
      <c r="ER9" s="77"/>
      <c r="ES9" s="78"/>
      <c r="ET9" s="77"/>
      <c r="EU9" s="78"/>
      <c r="EV9" s="77"/>
      <c r="EW9" s="78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/>
      <c r="LM9"/>
      <c r="LN9"/>
      <c r="LO9"/>
      <c r="LP9"/>
      <c r="LQ9"/>
      <c r="LR9"/>
      <c r="LS9"/>
      <c r="LT9"/>
      <c r="LU9"/>
      <c r="LV9"/>
      <c r="LW9"/>
      <c r="LX9"/>
      <c r="LY9"/>
      <c r="LZ9"/>
      <c r="MA9"/>
      <c r="MB9"/>
      <c r="MC9"/>
      <c r="MD9"/>
      <c r="ME9"/>
      <c r="MF9"/>
      <c r="MG9"/>
      <c r="MH9"/>
      <c r="MI9"/>
      <c r="MJ9"/>
      <c r="MK9"/>
      <c r="ML9"/>
    </row>
    <row r="10" spans="1:350" s="233" customFormat="1" ht="15" customHeight="1" x14ac:dyDescent="0.3">
      <c r="A10" s="77">
        <f>_xlfn.XLOOKUP(DADOS!$B$3,DADOS!$D$2:$DI$2,DADOS!$D10:$DI10,"",0)</f>
        <v>0.02</v>
      </c>
      <c r="B10" s="78">
        <f>_xlfn.XLOOKUP(DADOS!$B$3,DADOS!$E$112:$AS$112,DADOS!$E118:$AS118,"",0)</f>
        <v>0.65</v>
      </c>
      <c r="C10" s="295" t="s">
        <v>238</v>
      </c>
      <c r="D10" s="280"/>
      <c r="E10" s="78" cm="1">
        <f t="array" ref="E10">_xlfn.XLOOKUP(D$2,$D$112:$BF$112,$D118:BF118,0,0)</f>
        <v>0.31</v>
      </c>
      <c r="F10" s="280"/>
      <c r="G10" s="78">
        <f t="shared" si="47"/>
        <v>0.31</v>
      </c>
      <c r="H10" s="280"/>
      <c r="I10" s="78">
        <f t="shared" si="48"/>
        <v>0.5</v>
      </c>
      <c r="J10" s="280">
        <v>0.02</v>
      </c>
      <c r="K10" s="78">
        <f t="shared" si="49"/>
        <v>0.65</v>
      </c>
      <c r="L10" s="280"/>
      <c r="M10" s="78">
        <f t="shared" si="49"/>
        <v>1</v>
      </c>
      <c r="N10" s="280"/>
      <c r="O10" s="78">
        <f t="shared" si="50"/>
        <v>1</v>
      </c>
      <c r="P10" s="280"/>
      <c r="Q10" s="78">
        <f t="shared" si="51"/>
        <v>1</v>
      </c>
      <c r="R10" s="280"/>
      <c r="S10" s="78">
        <f t="shared" si="52"/>
        <v>1</v>
      </c>
      <c r="T10" s="280"/>
      <c r="U10" s="78">
        <f t="shared" si="53"/>
        <v>1</v>
      </c>
      <c r="V10" s="280"/>
      <c r="W10" s="78">
        <f t="shared" si="54"/>
        <v>1</v>
      </c>
      <c r="X10" s="280"/>
      <c r="Y10" s="78"/>
      <c r="Z10" s="280"/>
      <c r="AA10" s="78"/>
      <c r="AB10" s="280"/>
      <c r="AC10" s="78"/>
      <c r="AD10" s="280"/>
      <c r="AE10" s="78"/>
      <c r="AF10" s="280"/>
      <c r="AG10" s="78"/>
      <c r="AH10" s="280"/>
      <c r="AI10" s="78"/>
      <c r="AJ10" s="280"/>
      <c r="AK10" s="78"/>
      <c r="AL10" s="280"/>
      <c r="AM10" s="78"/>
      <c r="AN10" s="280"/>
      <c r="AO10" s="78"/>
      <c r="AP10" s="280"/>
      <c r="AQ10" s="78"/>
      <c r="AR10" s="280"/>
      <c r="AS10" s="78"/>
      <c r="AT10" s="280"/>
      <c r="AU10" s="78"/>
      <c r="AV10" s="280"/>
      <c r="AW10" s="78"/>
      <c r="AX10" s="280"/>
      <c r="AY10" s="78"/>
      <c r="AZ10" s="280"/>
      <c r="BA10" s="78"/>
      <c r="BB10" s="280"/>
      <c r="BC10" s="78"/>
      <c r="BD10" s="280"/>
      <c r="BE10" s="78"/>
      <c r="BF10" s="280"/>
      <c r="BG10" s="78"/>
      <c r="BH10" s="280"/>
      <c r="BI10" s="78"/>
      <c r="BJ10" s="280"/>
      <c r="BK10" s="78"/>
      <c r="BL10" s="280"/>
      <c r="BM10" s="78"/>
      <c r="BN10" s="280"/>
      <c r="BO10" s="78"/>
      <c r="BP10" s="280"/>
      <c r="BQ10" s="78"/>
      <c r="BR10" s="280"/>
      <c r="BS10" s="78"/>
      <c r="BT10" s="280"/>
      <c r="BU10" s="78"/>
      <c r="BV10" s="280"/>
      <c r="BW10" s="78"/>
      <c r="BX10" s="280"/>
      <c r="BY10" s="78"/>
      <c r="BZ10" s="280"/>
      <c r="CA10" s="78"/>
      <c r="CB10" s="280"/>
      <c r="CC10" s="78"/>
      <c r="CD10" s="280"/>
      <c r="CE10" s="78"/>
      <c r="CF10" s="280"/>
      <c r="CG10" s="78"/>
      <c r="CH10" s="280"/>
      <c r="CI10" s="78"/>
      <c r="CJ10" s="280"/>
      <c r="CK10" s="78"/>
      <c r="CL10" s="280"/>
      <c r="CM10" s="78"/>
      <c r="CN10" s="280"/>
      <c r="CO10" s="78"/>
      <c r="CP10" s="77"/>
      <c r="CQ10" s="78"/>
      <c r="CR10" s="77"/>
      <c r="CS10" s="78"/>
      <c r="CT10" s="77"/>
      <c r="CU10" s="78"/>
      <c r="CV10" s="77"/>
      <c r="CW10" s="78"/>
      <c r="CX10" s="77"/>
      <c r="CY10" s="78"/>
      <c r="CZ10" s="77"/>
      <c r="DA10" s="78"/>
      <c r="DB10" s="77"/>
      <c r="DC10" s="78"/>
      <c r="DD10" s="77"/>
      <c r="DE10" s="78"/>
      <c r="DF10" s="77"/>
      <c r="DG10" s="78"/>
      <c r="DH10" s="77"/>
      <c r="DI10" s="78"/>
      <c r="DJ10" s="77"/>
      <c r="DK10" s="78"/>
      <c r="DL10" s="77"/>
      <c r="DM10" s="78"/>
      <c r="DN10" s="77"/>
      <c r="DO10" s="78"/>
      <c r="DP10" s="77"/>
      <c r="DQ10" s="78"/>
      <c r="DR10" s="77"/>
      <c r="DS10" s="78"/>
      <c r="DT10" s="77"/>
      <c r="DU10" s="78"/>
      <c r="DV10" s="77"/>
      <c r="DW10" s="78"/>
      <c r="DX10" s="77"/>
      <c r="DY10" s="78"/>
      <c r="DZ10" s="77"/>
      <c r="EA10" s="78"/>
      <c r="EB10" s="77"/>
      <c r="EC10" s="78"/>
      <c r="ED10" s="77"/>
      <c r="EE10" s="78"/>
      <c r="EF10" s="77"/>
      <c r="EG10" s="78"/>
      <c r="EH10" s="77"/>
      <c r="EI10" s="78"/>
      <c r="EJ10" s="77"/>
      <c r="EK10" s="78"/>
      <c r="EL10" s="77"/>
      <c r="EM10" s="78"/>
      <c r="EN10" s="77"/>
      <c r="EO10" s="78"/>
      <c r="EP10" s="77"/>
      <c r="EQ10" s="78"/>
      <c r="ER10" s="77"/>
      <c r="ES10" s="78"/>
      <c r="ET10" s="77"/>
      <c r="EU10" s="78"/>
      <c r="EV10" s="77"/>
      <c r="EW10" s="78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  <c r="KN10"/>
      <c r="KO10"/>
      <c r="KP10"/>
      <c r="KQ10"/>
      <c r="KR10"/>
      <c r="KS10"/>
      <c r="KT10"/>
      <c r="KU10"/>
      <c r="KV10"/>
      <c r="KW10"/>
      <c r="KX10"/>
      <c r="KY10"/>
      <c r="KZ10"/>
      <c r="LA10"/>
      <c r="LB10"/>
      <c r="LC10"/>
      <c r="LD10"/>
      <c r="LE10"/>
      <c r="LF10"/>
      <c r="LG10"/>
      <c r="LH10"/>
      <c r="LI10"/>
      <c r="LJ10"/>
      <c r="LK10"/>
      <c r="LL10"/>
      <c r="LM10"/>
      <c r="LN10"/>
      <c r="LO10"/>
      <c r="LP10"/>
      <c r="LQ10"/>
      <c r="LR10"/>
      <c r="LS10"/>
      <c r="LT10"/>
      <c r="LU10"/>
      <c r="LV10"/>
      <c r="LW10"/>
      <c r="LX10"/>
      <c r="LY10"/>
      <c r="LZ10"/>
      <c r="MA10"/>
      <c r="MB10"/>
      <c r="MC10"/>
      <c r="MD10"/>
      <c r="ME10"/>
      <c r="MF10"/>
      <c r="MG10"/>
      <c r="MH10"/>
      <c r="MI10"/>
      <c r="MJ10"/>
      <c r="MK10"/>
      <c r="ML10"/>
    </row>
    <row r="11" spans="1:350" s="233" customFormat="1" ht="15" customHeight="1" x14ac:dyDescent="0.3">
      <c r="A11" s="77">
        <f>_xlfn.XLOOKUP(DADOS!$B$3,DADOS!$D$2:$DI$2,DADOS!$D11:$DI11,"",0)</f>
        <v>0</v>
      </c>
      <c r="B11" s="78">
        <f>_xlfn.XLOOKUP(DADOS!$B$3,DADOS!$E$112:$AS$112,DADOS!$E119:$AS119,"",0)</f>
        <v>0.3</v>
      </c>
      <c r="C11" s="295" t="s">
        <v>239</v>
      </c>
      <c r="D11" s="280"/>
      <c r="E11" s="78" cm="1">
        <f t="array" ref="E11">_xlfn.XLOOKUP(D$2,$D$112:$BF$112,$D119:BF119,0,0)</f>
        <v>0</v>
      </c>
      <c r="F11" s="280"/>
      <c r="G11" s="78">
        <f t="shared" si="47"/>
        <v>0</v>
      </c>
      <c r="H11" s="280"/>
      <c r="I11" s="78">
        <f t="shared" si="48"/>
        <v>0.04</v>
      </c>
      <c r="J11" s="280">
        <v>0</v>
      </c>
      <c r="K11" s="78">
        <f t="shared" si="49"/>
        <v>0.3</v>
      </c>
      <c r="L11" s="280"/>
      <c r="M11" s="78">
        <f t="shared" si="49"/>
        <v>0.91</v>
      </c>
      <c r="N11" s="280"/>
      <c r="O11" s="78">
        <f t="shared" si="50"/>
        <v>0.8</v>
      </c>
      <c r="P11" s="280"/>
      <c r="Q11" s="78">
        <f t="shared" si="51"/>
        <v>0.91</v>
      </c>
      <c r="R11" s="280"/>
      <c r="S11" s="78">
        <f t="shared" si="52"/>
        <v>1</v>
      </c>
      <c r="T11" s="280"/>
      <c r="U11" s="78">
        <f t="shared" si="53"/>
        <v>1</v>
      </c>
      <c r="V11" s="280"/>
      <c r="W11" s="78">
        <f t="shared" si="54"/>
        <v>1</v>
      </c>
      <c r="X11" s="280"/>
      <c r="Y11" s="78"/>
      <c r="Z11" s="280"/>
      <c r="AA11" s="78"/>
      <c r="AB11" s="280"/>
      <c r="AC11" s="78"/>
      <c r="AD11" s="280"/>
      <c r="AE11" s="78"/>
      <c r="AF11" s="280"/>
      <c r="AG11" s="78"/>
      <c r="AH11" s="280"/>
      <c r="AI11" s="78"/>
      <c r="AJ11" s="280"/>
      <c r="AK11" s="78"/>
      <c r="AL11" s="280"/>
      <c r="AM11" s="78"/>
      <c r="AN11" s="280"/>
      <c r="AO11" s="78"/>
      <c r="AP11" s="280"/>
      <c r="AQ11" s="78"/>
      <c r="AR11" s="280"/>
      <c r="AS11" s="78"/>
      <c r="AT11" s="280"/>
      <c r="AU11" s="78"/>
      <c r="AV11" s="280"/>
      <c r="AW11" s="78"/>
      <c r="AX11" s="280"/>
      <c r="AY11" s="78"/>
      <c r="AZ11" s="280"/>
      <c r="BA11" s="78"/>
      <c r="BB11" s="280"/>
      <c r="BC11" s="78"/>
      <c r="BD11" s="280"/>
      <c r="BE11" s="78"/>
      <c r="BF11" s="280"/>
      <c r="BG11" s="78"/>
      <c r="BH11" s="280"/>
      <c r="BI11" s="78"/>
      <c r="BJ11" s="280"/>
      <c r="BK11" s="78"/>
      <c r="BL11" s="280"/>
      <c r="BM11" s="78"/>
      <c r="BN11" s="280"/>
      <c r="BO11" s="78"/>
      <c r="BP11" s="280"/>
      <c r="BQ11" s="78"/>
      <c r="BR11" s="280"/>
      <c r="BS11" s="78"/>
      <c r="BT11" s="280"/>
      <c r="BU11" s="78"/>
      <c r="BV11" s="280"/>
      <c r="BW11" s="78"/>
      <c r="BX11" s="280"/>
      <c r="BY11" s="78"/>
      <c r="BZ11" s="280"/>
      <c r="CA11" s="78"/>
      <c r="CB11" s="280"/>
      <c r="CC11" s="78"/>
      <c r="CD11" s="280"/>
      <c r="CE11" s="78"/>
      <c r="CF11" s="280"/>
      <c r="CG11" s="78"/>
      <c r="CH11" s="280"/>
      <c r="CI11" s="78"/>
      <c r="CJ11" s="280"/>
      <c r="CK11" s="78"/>
      <c r="CL11" s="280"/>
      <c r="CM11" s="78"/>
      <c r="CN11" s="280"/>
      <c r="CO11" s="78"/>
      <c r="CP11" s="77"/>
      <c r="CQ11" s="78"/>
      <c r="CR11" s="77"/>
      <c r="CS11" s="78"/>
      <c r="CT11" s="77"/>
      <c r="CU11" s="78"/>
      <c r="CV11" s="77"/>
      <c r="CW11" s="78"/>
      <c r="CX11" s="77"/>
      <c r="CY11" s="78"/>
      <c r="CZ11" s="77"/>
      <c r="DA11" s="78"/>
      <c r="DB11" s="77"/>
      <c r="DC11" s="78"/>
      <c r="DD11" s="77"/>
      <c r="DE11" s="78"/>
      <c r="DF11" s="77"/>
      <c r="DG11" s="78"/>
      <c r="DH11" s="77"/>
      <c r="DI11" s="78"/>
      <c r="DJ11" s="77"/>
      <c r="DK11" s="78"/>
      <c r="DL11" s="77"/>
      <c r="DM11" s="78"/>
      <c r="DN11" s="77"/>
      <c r="DO11" s="78"/>
      <c r="DP11" s="77"/>
      <c r="DQ11" s="78"/>
      <c r="DR11" s="77"/>
      <c r="DS11" s="78"/>
      <c r="DT11" s="77"/>
      <c r="DU11" s="78"/>
      <c r="DV11" s="77"/>
      <c r="DW11" s="78"/>
      <c r="DX11" s="77"/>
      <c r="DY11" s="78"/>
      <c r="DZ11" s="77"/>
      <c r="EA11" s="78"/>
      <c r="EB11" s="77"/>
      <c r="EC11" s="78"/>
      <c r="ED11" s="77"/>
      <c r="EE11" s="78"/>
      <c r="EF11" s="77"/>
      <c r="EG11" s="78"/>
      <c r="EH11" s="77"/>
      <c r="EI11" s="78"/>
      <c r="EJ11" s="77"/>
      <c r="EK11" s="78"/>
      <c r="EL11" s="77"/>
      <c r="EM11" s="78"/>
      <c r="EN11" s="77"/>
      <c r="EO11" s="78"/>
      <c r="EP11" s="77"/>
      <c r="EQ11" s="78"/>
      <c r="ER11" s="77"/>
      <c r="ES11" s="78"/>
      <c r="ET11" s="77"/>
      <c r="EU11" s="78"/>
      <c r="EV11" s="77"/>
      <c r="EW11" s="78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  <c r="KI11"/>
      <c r="KJ11"/>
      <c r="KK11"/>
      <c r="KL11"/>
      <c r="KM11"/>
      <c r="KN11"/>
      <c r="KO11"/>
      <c r="KP11"/>
      <c r="KQ11"/>
      <c r="KR11"/>
      <c r="KS11"/>
      <c r="KT11"/>
      <c r="KU11"/>
      <c r="KV11"/>
      <c r="KW11"/>
      <c r="KX11"/>
      <c r="KY11"/>
      <c r="KZ11"/>
      <c r="LA11"/>
      <c r="LB11"/>
      <c r="LC11"/>
      <c r="LD11"/>
      <c r="LE11"/>
      <c r="LF11"/>
      <c r="LG11"/>
      <c r="LH11"/>
      <c r="LI11"/>
      <c r="LJ11"/>
      <c r="LK11"/>
      <c r="LL11"/>
      <c r="LM11"/>
      <c r="LN11"/>
      <c r="LO11"/>
      <c r="LP11"/>
      <c r="LQ11"/>
      <c r="LR11"/>
      <c r="LS11"/>
      <c r="LT11"/>
      <c r="LU11"/>
      <c r="LV11"/>
      <c r="LW11"/>
      <c r="LX11"/>
      <c r="LY11"/>
      <c r="LZ11"/>
      <c r="MA11"/>
      <c r="MB11"/>
      <c r="MC11"/>
      <c r="MD11"/>
      <c r="ME11"/>
      <c r="MF11"/>
      <c r="MG11"/>
      <c r="MH11"/>
      <c r="MI11"/>
      <c r="MJ11"/>
      <c r="MK11"/>
      <c r="ML11"/>
    </row>
    <row r="12" spans="1:350" s="233" customFormat="1" ht="15" customHeight="1" x14ac:dyDescent="0.3">
      <c r="A12" s="77">
        <f>_xlfn.XLOOKUP(DADOS!$B$3,DADOS!$D$2:$DI$2,DADOS!$D12:$DI12,"",0)</f>
        <v>0.01</v>
      </c>
      <c r="B12" s="78">
        <f>_xlfn.XLOOKUP(DADOS!$B$3,DADOS!$E$112:$AS$112,DADOS!$E120:$AS120,"",0)</f>
        <v>0</v>
      </c>
      <c r="C12" s="295" t="s">
        <v>240</v>
      </c>
      <c r="D12" s="280"/>
      <c r="E12" s="78" cm="1">
        <f t="array" ref="E12">_xlfn.XLOOKUP(D$2,$D$112:$BF$112,$D120:BF120,0,0)</f>
        <v>0</v>
      </c>
      <c r="F12" s="280"/>
      <c r="G12" s="78">
        <f t="shared" si="47"/>
        <v>0</v>
      </c>
      <c r="H12" s="280"/>
      <c r="I12" s="78">
        <f t="shared" si="48"/>
        <v>0</v>
      </c>
      <c r="J12" s="280">
        <v>0.01</v>
      </c>
      <c r="K12" s="78">
        <f t="shared" si="49"/>
        <v>0</v>
      </c>
      <c r="L12" s="280"/>
      <c r="M12" s="78">
        <f t="shared" si="49"/>
        <v>1</v>
      </c>
      <c r="N12" s="280"/>
      <c r="O12" s="78">
        <f t="shared" si="50"/>
        <v>1</v>
      </c>
      <c r="P12" s="280"/>
      <c r="Q12" s="78">
        <f t="shared" si="51"/>
        <v>1</v>
      </c>
      <c r="R12" s="280"/>
      <c r="S12" s="78">
        <f t="shared" si="52"/>
        <v>1</v>
      </c>
      <c r="T12" s="280"/>
      <c r="U12" s="78">
        <f t="shared" si="53"/>
        <v>1</v>
      </c>
      <c r="V12" s="280"/>
      <c r="W12" s="78">
        <f t="shared" si="54"/>
        <v>1</v>
      </c>
      <c r="X12" s="280"/>
      <c r="Y12" s="78"/>
      <c r="Z12" s="280"/>
      <c r="AA12" s="78"/>
      <c r="AB12" s="280"/>
      <c r="AC12" s="78"/>
      <c r="AD12" s="280"/>
      <c r="AE12" s="78"/>
      <c r="AF12" s="280"/>
      <c r="AG12" s="78"/>
      <c r="AH12" s="280"/>
      <c r="AI12" s="78"/>
      <c r="AJ12" s="280"/>
      <c r="AK12" s="78"/>
      <c r="AL12" s="280"/>
      <c r="AM12" s="78"/>
      <c r="AN12" s="280"/>
      <c r="AO12" s="78"/>
      <c r="AP12" s="280"/>
      <c r="AQ12" s="78"/>
      <c r="AR12" s="280"/>
      <c r="AS12" s="78"/>
      <c r="AT12" s="280"/>
      <c r="AU12" s="78"/>
      <c r="AV12" s="280"/>
      <c r="AW12" s="78"/>
      <c r="AX12" s="280"/>
      <c r="AY12" s="78"/>
      <c r="AZ12" s="280"/>
      <c r="BA12" s="78"/>
      <c r="BB12" s="280"/>
      <c r="BC12" s="78"/>
      <c r="BD12" s="280"/>
      <c r="BE12" s="78"/>
      <c r="BF12" s="280"/>
      <c r="BG12" s="78"/>
      <c r="BH12" s="280"/>
      <c r="BI12" s="78"/>
      <c r="BJ12" s="280"/>
      <c r="BK12" s="78"/>
      <c r="BL12" s="280"/>
      <c r="BM12" s="78"/>
      <c r="BN12" s="280"/>
      <c r="BO12" s="78"/>
      <c r="BP12" s="280"/>
      <c r="BQ12" s="78"/>
      <c r="BR12" s="280"/>
      <c r="BS12" s="78"/>
      <c r="BT12" s="280"/>
      <c r="BU12" s="78"/>
      <c r="BV12" s="280"/>
      <c r="BW12" s="78"/>
      <c r="BX12" s="280"/>
      <c r="BY12" s="78"/>
      <c r="BZ12" s="280"/>
      <c r="CA12" s="78"/>
      <c r="CB12" s="280"/>
      <c r="CC12" s="78"/>
      <c r="CD12" s="280"/>
      <c r="CE12" s="78"/>
      <c r="CF12" s="280"/>
      <c r="CG12" s="78"/>
      <c r="CH12" s="280"/>
      <c r="CI12" s="78"/>
      <c r="CJ12" s="280"/>
      <c r="CK12" s="78"/>
      <c r="CL12" s="280"/>
      <c r="CM12" s="78"/>
      <c r="CN12" s="280"/>
      <c r="CO12" s="78"/>
      <c r="CP12" s="77"/>
      <c r="CQ12" s="78"/>
      <c r="CR12" s="77"/>
      <c r="CS12" s="78"/>
      <c r="CT12" s="77"/>
      <c r="CU12" s="78"/>
      <c r="CV12" s="77"/>
      <c r="CW12" s="78"/>
      <c r="CX12" s="77"/>
      <c r="CY12" s="78"/>
      <c r="CZ12" s="77"/>
      <c r="DA12" s="78"/>
      <c r="DB12" s="77"/>
      <c r="DC12" s="78"/>
      <c r="DD12" s="77"/>
      <c r="DE12" s="78"/>
      <c r="DF12" s="77"/>
      <c r="DG12" s="78"/>
      <c r="DH12" s="77"/>
      <c r="DI12" s="78"/>
      <c r="DJ12" s="77"/>
      <c r="DK12" s="78"/>
      <c r="DL12" s="77"/>
      <c r="DM12" s="78"/>
      <c r="DN12" s="77"/>
      <c r="DO12" s="78"/>
      <c r="DP12" s="77"/>
      <c r="DQ12" s="78"/>
      <c r="DR12" s="77"/>
      <c r="DS12" s="78"/>
      <c r="DT12" s="77"/>
      <c r="DU12" s="78"/>
      <c r="DV12" s="77"/>
      <c r="DW12" s="78"/>
      <c r="DX12" s="77"/>
      <c r="DY12" s="78"/>
      <c r="DZ12" s="77"/>
      <c r="EA12" s="78"/>
      <c r="EB12" s="77"/>
      <c r="EC12" s="78"/>
      <c r="ED12" s="77"/>
      <c r="EE12" s="78"/>
      <c r="EF12" s="77"/>
      <c r="EG12" s="78"/>
      <c r="EH12" s="77"/>
      <c r="EI12" s="78"/>
      <c r="EJ12" s="77"/>
      <c r="EK12" s="78"/>
      <c r="EL12" s="77"/>
      <c r="EM12" s="78"/>
      <c r="EN12" s="77"/>
      <c r="EO12" s="78"/>
      <c r="EP12" s="77"/>
      <c r="EQ12" s="78"/>
      <c r="ER12" s="77"/>
      <c r="ES12" s="78"/>
      <c r="ET12" s="77"/>
      <c r="EU12" s="78"/>
      <c r="EV12" s="77"/>
      <c r="EW12" s="78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  <c r="LK12"/>
      <c r="LL12"/>
      <c r="LM12"/>
      <c r="LN12"/>
      <c r="LO12"/>
      <c r="LP12"/>
      <c r="LQ12"/>
      <c r="LR12"/>
      <c r="LS12"/>
      <c r="LT12"/>
      <c r="LU12"/>
      <c r="LV12"/>
      <c r="LW12"/>
      <c r="LX12"/>
      <c r="LY12"/>
      <c r="LZ12"/>
      <c r="MA12"/>
      <c r="MB12"/>
      <c r="MC12"/>
      <c r="MD12"/>
      <c r="ME12"/>
      <c r="MF12"/>
      <c r="MG12"/>
      <c r="MH12"/>
      <c r="MI12"/>
      <c r="MJ12"/>
      <c r="MK12"/>
      <c r="ML12"/>
    </row>
    <row r="13" spans="1:350" s="233" customFormat="1" ht="15" customHeight="1" x14ac:dyDescent="0.3">
      <c r="A13" s="77">
        <f>_xlfn.XLOOKUP(DADOS!$B$3,DADOS!$D$2:$DI$2,DADOS!$D13:$DI13,"",0)</f>
        <v>0.06</v>
      </c>
      <c r="B13" s="78">
        <f>_xlfn.XLOOKUP(DADOS!$B$3,DADOS!$E$112:$AS$112,DADOS!$E121:$AS121,"",0)</f>
        <v>0</v>
      </c>
      <c r="C13" s="295" t="s">
        <v>241</v>
      </c>
      <c r="D13" s="280"/>
      <c r="E13" s="78" cm="1">
        <f t="array" ref="E13">_xlfn.XLOOKUP(D$2,$D$112:$BF$112,$D121:BF121,0,0)</f>
        <v>0</v>
      </c>
      <c r="F13" s="280"/>
      <c r="G13" s="78">
        <f t="shared" si="47"/>
        <v>0</v>
      </c>
      <c r="H13" s="280"/>
      <c r="I13" s="78">
        <f t="shared" si="48"/>
        <v>0</v>
      </c>
      <c r="J13" s="280">
        <v>0.06</v>
      </c>
      <c r="K13" s="78">
        <f t="shared" si="49"/>
        <v>0</v>
      </c>
      <c r="L13" s="280"/>
      <c r="M13" s="78">
        <f t="shared" si="49"/>
        <v>0.46</v>
      </c>
      <c r="N13" s="280"/>
      <c r="O13" s="78">
        <f t="shared" si="50"/>
        <v>0.37</v>
      </c>
      <c r="P13" s="280"/>
      <c r="Q13" s="78">
        <f t="shared" si="51"/>
        <v>0.46</v>
      </c>
      <c r="R13" s="280"/>
      <c r="S13" s="78">
        <f t="shared" si="52"/>
        <v>0.75</v>
      </c>
      <c r="T13" s="280"/>
      <c r="U13" s="78">
        <f t="shared" si="53"/>
        <v>0.75</v>
      </c>
      <c r="V13" s="280"/>
      <c r="W13" s="78">
        <f t="shared" si="54"/>
        <v>0.75</v>
      </c>
      <c r="X13" s="280"/>
      <c r="Y13" s="78"/>
      <c r="Z13" s="280"/>
      <c r="AA13" s="78"/>
      <c r="AB13" s="280"/>
      <c r="AC13" s="78"/>
      <c r="AD13" s="280"/>
      <c r="AE13" s="78"/>
      <c r="AF13" s="280"/>
      <c r="AG13" s="78"/>
      <c r="AH13" s="280"/>
      <c r="AI13" s="78"/>
      <c r="AJ13" s="280"/>
      <c r="AK13" s="78"/>
      <c r="AL13" s="280"/>
      <c r="AM13" s="78"/>
      <c r="AN13" s="280"/>
      <c r="AO13" s="78"/>
      <c r="AP13" s="280"/>
      <c r="AQ13" s="78"/>
      <c r="AR13" s="280"/>
      <c r="AS13" s="78"/>
      <c r="AT13" s="280"/>
      <c r="AU13" s="78"/>
      <c r="AV13" s="280"/>
      <c r="AW13" s="78"/>
      <c r="AX13" s="280"/>
      <c r="AY13" s="78"/>
      <c r="AZ13" s="280"/>
      <c r="BA13" s="78"/>
      <c r="BB13" s="280"/>
      <c r="BC13" s="78"/>
      <c r="BD13" s="280"/>
      <c r="BE13" s="78"/>
      <c r="BF13" s="280"/>
      <c r="BG13" s="78"/>
      <c r="BH13" s="280"/>
      <c r="BI13" s="78"/>
      <c r="BJ13" s="280"/>
      <c r="BK13" s="78"/>
      <c r="BL13" s="280"/>
      <c r="BM13" s="78"/>
      <c r="BN13" s="280"/>
      <c r="BO13" s="78"/>
      <c r="BP13" s="280"/>
      <c r="BQ13" s="78"/>
      <c r="BR13" s="280"/>
      <c r="BS13" s="78"/>
      <c r="BT13" s="280"/>
      <c r="BU13" s="78"/>
      <c r="BV13" s="280"/>
      <c r="BW13" s="78"/>
      <c r="BX13" s="280"/>
      <c r="BY13" s="78"/>
      <c r="BZ13" s="280"/>
      <c r="CA13" s="78"/>
      <c r="CB13" s="280"/>
      <c r="CC13" s="78"/>
      <c r="CD13" s="280"/>
      <c r="CE13" s="78"/>
      <c r="CF13" s="280"/>
      <c r="CG13" s="78"/>
      <c r="CH13" s="280"/>
      <c r="CI13" s="78"/>
      <c r="CJ13" s="280"/>
      <c r="CK13" s="78"/>
      <c r="CL13" s="280"/>
      <c r="CM13" s="78"/>
      <c r="CN13" s="280"/>
      <c r="CO13" s="78"/>
      <c r="CP13" s="77"/>
      <c r="CQ13" s="78"/>
      <c r="CR13" s="77"/>
      <c r="CS13" s="78"/>
      <c r="CT13" s="77"/>
      <c r="CU13" s="78"/>
      <c r="CV13" s="77"/>
      <c r="CW13" s="78"/>
      <c r="CX13" s="77"/>
      <c r="CY13" s="78"/>
      <c r="CZ13" s="77"/>
      <c r="DA13" s="78"/>
      <c r="DB13" s="77"/>
      <c r="DC13" s="78"/>
      <c r="DD13" s="77"/>
      <c r="DE13" s="78"/>
      <c r="DF13" s="77"/>
      <c r="DG13" s="78"/>
      <c r="DH13" s="77"/>
      <c r="DI13" s="78"/>
      <c r="DJ13" s="77"/>
      <c r="DK13" s="78"/>
      <c r="DL13" s="77"/>
      <c r="DM13" s="78"/>
      <c r="DN13" s="77"/>
      <c r="DO13" s="78"/>
      <c r="DP13" s="77"/>
      <c r="DQ13" s="78"/>
      <c r="DR13" s="77"/>
      <c r="DS13" s="78"/>
      <c r="DT13" s="77"/>
      <c r="DU13" s="78"/>
      <c r="DV13" s="77"/>
      <c r="DW13" s="78"/>
      <c r="DX13" s="77"/>
      <c r="DY13" s="78"/>
      <c r="DZ13" s="77"/>
      <c r="EA13" s="78"/>
      <c r="EB13" s="77"/>
      <c r="EC13" s="78"/>
      <c r="ED13" s="77"/>
      <c r="EE13" s="78"/>
      <c r="EF13" s="77"/>
      <c r="EG13" s="78"/>
      <c r="EH13" s="77"/>
      <c r="EI13" s="78"/>
      <c r="EJ13" s="77"/>
      <c r="EK13" s="78"/>
      <c r="EL13" s="77"/>
      <c r="EM13" s="78"/>
      <c r="EN13" s="77"/>
      <c r="EO13" s="78"/>
      <c r="EP13" s="77"/>
      <c r="EQ13" s="78"/>
      <c r="ER13" s="77"/>
      <c r="ES13" s="78"/>
      <c r="ET13" s="77"/>
      <c r="EU13" s="78"/>
      <c r="EV13" s="77"/>
      <c r="EW13" s="78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</row>
    <row r="14" spans="1:350" s="233" customFormat="1" ht="15" customHeight="1" x14ac:dyDescent="0.3">
      <c r="A14" s="77">
        <f>_xlfn.XLOOKUP(DADOS!$B$3,DADOS!$D$2:$DI$2,DADOS!$D14:$DI14,"",0)</f>
        <v>0.02</v>
      </c>
      <c r="B14" s="78">
        <f>_xlfn.XLOOKUP(DADOS!$B$3,DADOS!$E$112:$AS$112,DADOS!$E122:$AS122,"",0)</f>
        <v>0</v>
      </c>
      <c r="C14" s="295" t="s">
        <v>242</v>
      </c>
      <c r="D14" s="280"/>
      <c r="E14" s="78" cm="1">
        <f t="array" ref="E14">_xlfn.XLOOKUP(D$2,$D$112:$BF$112,$D122:BF122,0,0)</f>
        <v>0</v>
      </c>
      <c r="F14" s="280"/>
      <c r="G14" s="78">
        <f t="shared" si="47"/>
        <v>0</v>
      </c>
      <c r="H14" s="280"/>
      <c r="I14" s="78">
        <f t="shared" si="48"/>
        <v>0</v>
      </c>
      <c r="J14" s="280">
        <v>0.02</v>
      </c>
      <c r="K14" s="78">
        <f t="shared" si="49"/>
        <v>0</v>
      </c>
      <c r="L14" s="280"/>
      <c r="M14" s="78">
        <f t="shared" si="49"/>
        <v>0.72</v>
      </c>
      <c r="N14" s="280"/>
      <c r="O14" s="78">
        <f t="shared" si="50"/>
        <v>0.39</v>
      </c>
      <c r="P14" s="280"/>
      <c r="Q14" s="78">
        <f t="shared" si="51"/>
        <v>0.72</v>
      </c>
      <c r="R14" s="280"/>
      <c r="S14" s="78">
        <f t="shared" si="52"/>
        <v>0.91</v>
      </c>
      <c r="T14" s="280"/>
      <c r="U14" s="78">
        <f t="shared" si="53"/>
        <v>0.91</v>
      </c>
      <c r="V14" s="280"/>
      <c r="W14" s="78">
        <f t="shared" si="54"/>
        <v>0.91</v>
      </c>
      <c r="X14" s="280"/>
      <c r="Y14" s="78"/>
      <c r="Z14" s="280"/>
      <c r="AA14" s="78"/>
      <c r="AB14" s="280"/>
      <c r="AC14" s="78"/>
      <c r="AD14" s="280"/>
      <c r="AE14" s="78"/>
      <c r="AF14" s="280"/>
      <c r="AG14" s="78"/>
      <c r="AH14" s="280"/>
      <c r="AI14" s="78"/>
      <c r="AJ14" s="280"/>
      <c r="AK14" s="78"/>
      <c r="AL14" s="280"/>
      <c r="AM14" s="78"/>
      <c r="AN14" s="280"/>
      <c r="AO14" s="78"/>
      <c r="AP14" s="280"/>
      <c r="AQ14" s="78"/>
      <c r="AR14" s="280"/>
      <c r="AS14" s="78"/>
      <c r="AT14" s="280"/>
      <c r="AU14" s="78"/>
      <c r="AV14" s="280"/>
      <c r="AW14" s="78"/>
      <c r="AX14" s="280"/>
      <c r="AY14" s="78"/>
      <c r="AZ14" s="280"/>
      <c r="BA14" s="78"/>
      <c r="BB14" s="280"/>
      <c r="BC14" s="78"/>
      <c r="BD14" s="280"/>
      <c r="BE14" s="78"/>
      <c r="BF14" s="280"/>
      <c r="BG14" s="78"/>
      <c r="BH14" s="280"/>
      <c r="BI14" s="78"/>
      <c r="BJ14" s="280"/>
      <c r="BK14" s="78"/>
      <c r="BL14" s="280"/>
      <c r="BM14" s="78"/>
      <c r="BN14" s="280"/>
      <c r="BO14" s="78"/>
      <c r="BP14" s="280"/>
      <c r="BQ14" s="78"/>
      <c r="BR14" s="280"/>
      <c r="BS14" s="78"/>
      <c r="BT14" s="280"/>
      <c r="BU14" s="78"/>
      <c r="BV14" s="280"/>
      <c r="BW14" s="78"/>
      <c r="BX14" s="280"/>
      <c r="BY14" s="78"/>
      <c r="BZ14" s="280"/>
      <c r="CA14" s="78"/>
      <c r="CB14" s="280"/>
      <c r="CC14" s="78"/>
      <c r="CD14" s="280"/>
      <c r="CE14" s="78"/>
      <c r="CF14" s="280"/>
      <c r="CG14" s="78"/>
      <c r="CH14" s="280"/>
      <c r="CI14" s="78"/>
      <c r="CJ14" s="280"/>
      <c r="CK14" s="78"/>
      <c r="CL14" s="280"/>
      <c r="CM14" s="78"/>
      <c r="CN14" s="280"/>
      <c r="CO14" s="78"/>
      <c r="CP14" s="77"/>
      <c r="CQ14" s="78"/>
      <c r="CR14" s="77"/>
      <c r="CS14" s="78"/>
      <c r="CT14" s="77"/>
      <c r="CU14" s="78"/>
      <c r="CV14" s="77"/>
      <c r="CW14" s="78"/>
      <c r="CX14" s="77"/>
      <c r="CY14" s="78"/>
      <c r="CZ14" s="77"/>
      <c r="DA14" s="78"/>
      <c r="DB14" s="77"/>
      <c r="DC14" s="78"/>
      <c r="DD14" s="77"/>
      <c r="DE14" s="78"/>
      <c r="DF14" s="77"/>
      <c r="DG14" s="78"/>
      <c r="DH14" s="77"/>
      <c r="DI14" s="78"/>
      <c r="DJ14" s="77"/>
      <c r="DK14" s="78"/>
      <c r="DL14" s="77"/>
      <c r="DM14" s="78"/>
      <c r="DN14" s="77"/>
      <c r="DO14" s="78"/>
      <c r="DP14" s="77"/>
      <c r="DQ14" s="78"/>
      <c r="DR14" s="77"/>
      <c r="DS14" s="78"/>
      <c r="DT14" s="77"/>
      <c r="DU14" s="78"/>
      <c r="DV14" s="77"/>
      <c r="DW14" s="78"/>
      <c r="DX14" s="77"/>
      <c r="DY14" s="78"/>
      <c r="DZ14" s="77"/>
      <c r="EA14" s="78"/>
      <c r="EB14" s="77"/>
      <c r="EC14" s="78"/>
      <c r="ED14" s="77"/>
      <c r="EE14" s="78"/>
      <c r="EF14" s="77"/>
      <c r="EG14" s="78"/>
      <c r="EH14" s="77"/>
      <c r="EI14" s="78"/>
      <c r="EJ14" s="77"/>
      <c r="EK14" s="78"/>
      <c r="EL14" s="77"/>
      <c r="EM14" s="78"/>
      <c r="EN14" s="77"/>
      <c r="EO14" s="78"/>
      <c r="EP14" s="77"/>
      <c r="EQ14" s="78"/>
      <c r="ER14" s="77"/>
      <c r="ES14" s="78"/>
      <c r="ET14" s="77"/>
      <c r="EU14" s="78"/>
      <c r="EV14" s="77"/>
      <c r="EW14" s="78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  <c r="MF14"/>
      <c r="MG14"/>
      <c r="MH14"/>
      <c r="MI14"/>
      <c r="MJ14"/>
      <c r="MK14"/>
      <c r="ML14"/>
    </row>
    <row r="15" spans="1:350" s="233" customFormat="1" ht="15" customHeight="1" x14ac:dyDescent="0.3">
      <c r="A15" s="77">
        <f>_xlfn.XLOOKUP(DADOS!$B$3,DADOS!$D$2:$DI$2,DADOS!$D15:$DI15,"",0)</f>
        <v>0</v>
      </c>
      <c r="B15" s="78">
        <f>_xlfn.XLOOKUP(DADOS!$B$3,DADOS!$E$112:$AS$112,DADOS!$E123:$AS123,"",0)</f>
        <v>0</v>
      </c>
      <c r="C15" s="295" t="s">
        <v>243</v>
      </c>
      <c r="D15" s="280"/>
      <c r="E15" s="78" cm="1">
        <f t="array" ref="E15">_xlfn.XLOOKUP(D$2,$D$112:$BF$112,$D123:BF123,0,0)</f>
        <v>0</v>
      </c>
      <c r="F15" s="280"/>
      <c r="G15" s="78">
        <f t="shared" si="47"/>
        <v>0</v>
      </c>
      <c r="H15" s="280"/>
      <c r="I15" s="78">
        <f t="shared" si="48"/>
        <v>0</v>
      </c>
      <c r="J15" s="280">
        <v>0</v>
      </c>
      <c r="K15" s="78">
        <f t="shared" si="49"/>
        <v>0</v>
      </c>
      <c r="L15" s="280"/>
      <c r="M15" s="78">
        <f t="shared" si="49"/>
        <v>0.55000000000000004</v>
      </c>
      <c r="N15" s="280"/>
      <c r="O15" s="78">
        <f t="shared" si="50"/>
        <v>0.12</v>
      </c>
      <c r="P15" s="280"/>
      <c r="Q15" s="78">
        <f t="shared" si="51"/>
        <v>0.55000000000000004</v>
      </c>
      <c r="R15" s="280"/>
      <c r="S15" s="78">
        <f t="shared" si="52"/>
        <v>0.74</v>
      </c>
      <c r="T15" s="280"/>
      <c r="U15" s="78">
        <f t="shared" si="53"/>
        <v>0.76</v>
      </c>
      <c r="V15" s="280"/>
      <c r="W15" s="78">
        <f t="shared" si="54"/>
        <v>0.76</v>
      </c>
      <c r="X15" s="280"/>
      <c r="Y15" s="78"/>
      <c r="Z15" s="280"/>
      <c r="AA15" s="78"/>
      <c r="AB15" s="280"/>
      <c r="AC15" s="78"/>
      <c r="AD15" s="280"/>
      <c r="AE15" s="78"/>
      <c r="AF15" s="280"/>
      <c r="AG15" s="78"/>
      <c r="AH15" s="280"/>
      <c r="AI15" s="78"/>
      <c r="AJ15" s="280"/>
      <c r="AK15" s="78"/>
      <c r="AL15" s="280"/>
      <c r="AM15" s="78"/>
      <c r="AN15" s="280"/>
      <c r="AO15" s="78"/>
      <c r="AP15" s="280"/>
      <c r="AQ15" s="78"/>
      <c r="AR15" s="280"/>
      <c r="AS15" s="78"/>
      <c r="AT15" s="280"/>
      <c r="AU15" s="78"/>
      <c r="AV15" s="280"/>
      <c r="AW15" s="78"/>
      <c r="AX15" s="280"/>
      <c r="AY15" s="78"/>
      <c r="AZ15" s="280"/>
      <c r="BA15" s="78"/>
      <c r="BB15" s="280"/>
      <c r="BC15" s="78"/>
      <c r="BD15" s="280"/>
      <c r="BE15" s="78"/>
      <c r="BF15" s="280"/>
      <c r="BG15" s="78"/>
      <c r="BH15" s="280"/>
      <c r="BI15" s="78"/>
      <c r="BJ15" s="280"/>
      <c r="BK15" s="78"/>
      <c r="BL15" s="280"/>
      <c r="BM15" s="78"/>
      <c r="BN15" s="280"/>
      <c r="BO15" s="78"/>
      <c r="BP15" s="280"/>
      <c r="BQ15" s="78"/>
      <c r="BR15" s="280"/>
      <c r="BS15" s="78"/>
      <c r="BT15" s="280"/>
      <c r="BU15" s="78"/>
      <c r="BV15" s="280"/>
      <c r="BW15" s="78"/>
      <c r="BX15" s="280"/>
      <c r="BY15" s="78"/>
      <c r="BZ15" s="280"/>
      <c r="CA15" s="78"/>
      <c r="CB15" s="280"/>
      <c r="CC15" s="78"/>
      <c r="CD15" s="280"/>
      <c r="CE15" s="78"/>
      <c r="CF15" s="280"/>
      <c r="CG15" s="78"/>
      <c r="CH15" s="280"/>
      <c r="CI15" s="78"/>
      <c r="CJ15" s="280"/>
      <c r="CK15" s="78"/>
      <c r="CL15" s="280"/>
      <c r="CM15" s="78"/>
      <c r="CN15" s="280"/>
      <c r="CO15" s="78"/>
      <c r="CP15" s="77"/>
      <c r="CQ15" s="78"/>
      <c r="CR15" s="77"/>
      <c r="CS15" s="78"/>
      <c r="CT15" s="77"/>
      <c r="CU15" s="78"/>
      <c r="CV15" s="77"/>
      <c r="CW15" s="78"/>
      <c r="CX15" s="77"/>
      <c r="CY15" s="78"/>
      <c r="CZ15" s="77"/>
      <c r="DA15" s="78"/>
      <c r="DB15" s="77"/>
      <c r="DC15" s="78"/>
      <c r="DD15" s="77"/>
      <c r="DE15" s="78"/>
      <c r="DF15" s="77"/>
      <c r="DG15" s="78"/>
      <c r="DH15" s="77"/>
      <c r="DI15" s="78"/>
      <c r="DJ15" s="77"/>
      <c r="DK15" s="78"/>
      <c r="DL15" s="77"/>
      <c r="DM15" s="78"/>
      <c r="DN15" s="77"/>
      <c r="DO15" s="78"/>
      <c r="DP15" s="77"/>
      <c r="DQ15" s="78"/>
      <c r="DR15" s="77"/>
      <c r="DS15" s="78"/>
      <c r="DT15" s="77"/>
      <c r="DU15" s="78"/>
      <c r="DV15" s="77"/>
      <c r="DW15" s="78"/>
      <c r="DX15" s="77"/>
      <c r="DY15" s="78"/>
      <c r="DZ15" s="77"/>
      <c r="EA15" s="78"/>
      <c r="EB15" s="77"/>
      <c r="EC15" s="78"/>
      <c r="ED15" s="77"/>
      <c r="EE15" s="78"/>
      <c r="EF15" s="77"/>
      <c r="EG15" s="78"/>
      <c r="EH15" s="77"/>
      <c r="EI15" s="78"/>
      <c r="EJ15" s="77"/>
      <c r="EK15" s="78"/>
      <c r="EL15" s="77"/>
      <c r="EM15" s="78"/>
      <c r="EN15" s="77"/>
      <c r="EO15" s="78"/>
      <c r="EP15" s="77"/>
      <c r="EQ15" s="78"/>
      <c r="ER15" s="77"/>
      <c r="ES15" s="78"/>
      <c r="ET15" s="77"/>
      <c r="EU15" s="78"/>
      <c r="EV15" s="77"/>
      <c r="EW15" s="78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  <c r="LQ15"/>
      <c r="LR15"/>
      <c r="LS15"/>
      <c r="LT15"/>
      <c r="LU15"/>
      <c r="LV15"/>
      <c r="LW15"/>
      <c r="LX15"/>
      <c r="LY15"/>
      <c r="LZ15"/>
      <c r="MA15"/>
      <c r="MB15"/>
      <c r="MC15"/>
      <c r="MD15"/>
      <c r="ME15"/>
      <c r="MF15"/>
      <c r="MG15"/>
      <c r="MH15"/>
      <c r="MI15"/>
      <c r="MJ15"/>
      <c r="MK15"/>
      <c r="ML15"/>
    </row>
    <row r="16" spans="1:350" s="233" customFormat="1" ht="15" customHeight="1" x14ac:dyDescent="0.3">
      <c r="A16" s="77">
        <f>_xlfn.XLOOKUP(DADOS!$B$3,DADOS!$D$2:$DI$2,DADOS!$D16:$DI16,"",0)</f>
        <v>0</v>
      </c>
      <c r="B16" s="78">
        <f>_xlfn.XLOOKUP(DADOS!$B$3,DADOS!$E$112:$AS$112,DADOS!$E124:$AS124,"",0)</f>
        <v>0</v>
      </c>
      <c r="C16" s="295" t="s">
        <v>272</v>
      </c>
      <c r="D16" s="280"/>
      <c r="E16" s="78" cm="1">
        <f t="array" ref="E16">_xlfn.XLOOKUP(D$2,$D$112:$BF$112,$D124:BF124,0,0)</f>
        <v>0</v>
      </c>
      <c r="F16" s="280"/>
      <c r="G16" s="78">
        <f t="shared" si="47"/>
        <v>0</v>
      </c>
      <c r="H16" s="280"/>
      <c r="I16" s="78">
        <f t="shared" si="48"/>
        <v>0</v>
      </c>
      <c r="J16" s="280">
        <v>0</v>
      </c>
      <c r="K16" s="78">
        <f t="shared" si="49"/>
        <v>0</v>
      </c>
      <c r="L16" s="280"/>
      <c r="M16" s="78">
        <f t="shared" si="49"/>
        <v>0</v>
      </c>
      <c r="N16" s="280"/>
      <c r="O16" s="78">
        <f t="shared" si="50"/>
        <v>0</v>
      </c>
      <c r="P16" s="280"/>
      <c r="Q16" s="78">
        <f t="shared" si="51"/>
        <v>0</v>
      </c>
      <c r="R16" s="280"/>
      <c r="S16" s="78">
        <f t="shared" si="52"/>
        <v>0.28999999999999998</v>
      </c>
      <c r="T16" s="280"/>
      <c r="U16" s="78">
        <f t="shared" si="53"/>
        <v>0.74</v>
      </c>
      <c r="V16" s="280"/>
      <c r="W16" s="78">
        <f t="shared" si="54"/>
        <v>1</v>
      </c>
      <c r="X16" s="280"/>
      <c r="Y16" s="78"/>
      <c r="Z16" s="280"/>
      <c r="AA16" s="78"/>
      <c r="AB16" s="280"/>
      <c r="AC16" s="78"/>
      <c r="AD16" s="280"/>
      <c r="AE16" s="78"/>
      <c r="AF16" s="280"/>
      <c r="AG16" s="78"/>
      <c r="AH16" s="280"/>
      <c r="AI16" s="78"/>
      <c r="AJ16" s="280"/>
      <c r="AK16" s="78"/>
      <c r="AL16" s="280"/>
      <c r="AM16" s="78"/>
      <c r="AN16" s="280"/>
      <c r="AO16" s="78"/>
      <c r="AP16" s="280"/>
      <c r="AQ16" s="78"/>
      <c r="AR16" s="280"/>
      <c r="AS16" s="78"/>
      <c r="AT16" s="280"/>
      <c r="AU16" s="78"/>
      <c r="AV16" s="280"/>
      <c r="AW16" s="78"/>
      <c r="AX16" s="280"/>
      <c r="AY16" s="78"/>
      <c r="AZ16" s="280"/>
      <c r="BA16" s="78"/>
      <c r="BB16" s="280"/>
      <c r="BC16" s="78"/>
      <c r="BD16" s="280"/>
      <c r="BE16" s="78"/>
      <c r="BF16" s="280"/>
      <c r="BG16" s="78"/>
      <c r="BH16" s="280"/>
      <c r="BI16" s="78"/>
      <c r="BJ16" s="280"/>
      <c r="BK16" s="78"/>
      <c r="BL16" s="280"/>
      <c r="BM16" s="78"/>
      <c r="BN16" s="280"/>
      <c r="BO16" s="78"/>
      <c r="BP16" s="280"/>
      <c r="BQ16" s="78"/>
      <c r="BR16" s="280"/>
      <c r="BS16" s="78"/>
      <c r="BT16" s="280"/>
      <c r="BU16" s="78"/>
      <c r="BV16" s="280"/>
      <c r="BW16" s="78"/>
      <c r="BX16" s="280"/>
      <c r="BY16" s="78"/>
      <c r="BZ16" s="280"/>
      <c r="CA16" s="78"/>
      <c r="CB16" s="280"/>
      <c r="CC16" s="78"/>
      <c r="CD16" s="280"/>
      <c r="CE16" s="78"/>
      <c r="CF16" s="280"/>
      <c r="CG16" s="78"/>
      <c r="CH16" s="280"/>
      <c r="CI16" s="78"/>
      <c r="CJ16" s="280"/>
      <c r="CK16" s="78"/>
      <c r="CL16" s="280"/>
      <c r="CM16" s="78"/>
      <c r="CN16" s="280"/>
      <c r="CO16" s="78"/>
      <c r="CP16" s="77"/>
      <c r="CQ16" s="78"/>
      <c r="CR16" s="77"/>
      <c r="CS16" s="78"/>
      <c r="CT16" s="77"/>
      <c r="CU16" s="78"/>
      <c r="CV16" s="77"/>
      <c r="CW16" s="78"/>
      <c r="CX16" s="77"/>
      <c r="CY16" s="78"/>
      <c r="CZ16" s="77"/>
      <c r="DA16" s="78"/>
      <c r="DB16" s="77"/>
      <c r="DC16" s="78"/>
      <c r="DD16" s="77"/>
      <c r="DE16" s="78"/>
      <c r="DF16" s="77"/>
      <c r="DG16" s="78"/>
      <c r="DH16" s="77"/>
      <c r="DI16" s="78"/>
      <c r="DJ16" s="77"/>
      <c r="DK16" s="78"/>
      <c r="DL16" s="77"/>
      <c r="DM16" s="78"/>
      <c r="DN16" s="77"/>
      <c r="DO16" s="78"/>
      <c r="DP16" s="77"/>
      <c r="DQ16" s="78"/>
      <c r="DR16" s="77"/>
      <c r="DS16" s="78"/>
      <c r="DT16" s="77"/>
      <c r="DU16" s="78"/>
      <c r="DV16" s="77"/>
      <c r="DW16" s="78"/>
      <c r="DX16" s="77"/>
      <c r="DY16" s="78"/>
      <c r="DZ16" s="77"/>
      <c r="EA16" s="78"/>
      <c r="EB16" s="77"/>
      <c r="EC16" s="78"/>
      <c r="ED16" s="77"/>
      <c r="EE16" s="78"/>
      <c r="EF16" s="77"/>
      <c r="EG16" s="78"/>
      <c r="EH16" s="77"/>
      <c r="EI16" s="78"/>
      <c r="EJ16" s="77"/>
      <c r="EK16" s="78"/>
      <c r="EL16" s="77"/>
      <c r="EM16" s="78"/>
      <c r="EN16" s="77"/>
      <c r="EO16" s="78"/>
      <c r="EP16" s="77"/>
      <c r="EQ16" s="78"/>
      <c r="ER16" s="77"/>
      <c r="ES16" s="78"/>
      <c r="ET16" s="77"/>
      <c r="EU16" s="78"/>
      <c r="EV16" s="77"/>
      <c r="EW16" s="78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</row>
    <row r="17" spans="1:350" s="233" customFormat="1" ht="15" customHeight="1" x14ac:dyDescent="0.3">
      <c r="A17" s="77">
        <f>_xlfn.XLOOKUP(DADOS!$B$3,DADOS!$D$2:$DI$2,DADOS!$D17:$DI17,"",0)</f>
        <v>7.0000000000000007E-2</v>
      </c>
      <c r="B17" s="78">
        <f>_xlfn.XLOOKUP(DADOS!$B$3,DADOS!$E$112:$AS$112,DADOS!$E125:$AS125,"",0)</f>
        <v>0</v>
      </c>
      <c r="C17" s="295" t="s">
        <v>273</v>
      </c>
      <c r="D17" s="280"/>
      <c r="E17" s="78" cm="1">
        <f t="array" ref="E17">_xlfn.XLOOKUP(D$2,$D$112:$BF$112,$D125:BF125,0,0)</f>
        <v>0</v>
      </c>
      <c r="F17" s="280"/>
      <c r="G17" s="78">
        <f t="shared" si="47"/>
        <v>0</v>
      </c>
      <c r="H17" s="280"/>
      <c r="I17" s="78">
        <f t="shared" si="48"/>
        <v>0</v>
      </c>
      <c r="J17" s="280">
        <v>7.0000000000000007E-2</v>
      </c>
      <c r="K17" s="78">
        <f t="shared" si="49"/>
        <v>0</v>
      </c>
      <c r="L17" s="280"/>
      <c r="M17" s="78">
        <f t="shared" si="49"/>
        <v>0.63</v>
      </c>
      <c r="N17" s="280"/>
      <c r="O17" s="78">
        <f t="shared" si="50"/>
        <v>0.42</v>
      </c>
      <c r="P17" s="280"/>
      <c r="Q17" s="78">
        <f t="shared" si="51"/>
        <v>0.63</v>
      </c>
      <c r="R17" s="280"/>
      <c r="S17" s="78">
        <f t="shared" si="52"/>
        <v>0.82</v>
      </c>
      <c r="T17" s="280"/>
      <c r="U17" s="78">
        <f t="shared" si="53"/>
        <v>1</v>
      </c>
      <c r="V17" s="280"/>
      <c r="W17" s="78">
        <f t="shared" si="54"/>
        <v>1</v>
      </c>
      <c r="X17" s="280"/>
      <c r="Y17" s="78"/>
      <c r="Z17" s="280"/>
      <c r="AA17" s="78"/>
      <c r="AB17" s="280"/>
      <c r="AC17" s="78"/>
      <c r="AD17" s="280"/>
      <c r="AE17" s="78"/>
      <c r="AF17" s="280"/>
      <c r="AG17" s="78"/>
      <c r="AH17" s="280"/>
      <c r="AI17" s="78"/>
      <c r="AJ17" s="280"/>
      <c r="AK17" s="78"/>
      <c r="AL17" s="280"/>
      <c r="AM17" s="78"/>
      <c r="AN17" s="280"/>
      <c r="AO17" s="78"/>
      <c r="AP17" s="280"/>
      <c r="AQ17" s="78"/>
      <c r="AR17" s="280"/>
      <c r="AS17" s="78"/>
      <c r="AT17" s="280"/>
      <c r="AU17" s="78"/>
      <c r="AV17" s="280"/>
      <c r="AW17" s="78"/>
      <c r="AX17" s="280"/>
      <c r="AY17" s="78"/>
      <c r="AZ17" s="280"/>
      <c r="BA17" s="78"/>
      <c r="BB17" s="280"/>
      <c r="BC17" s="78"/>
      <c r="BD17" s="280"/>
      <c r="BE17" s="78"/>
      <c r="BF17" s="280"/>
      <c r="BG17" s="78"/>
      <c r="BH17" s="280"/>
      <c r="BI17" s="78"/>
      <c r="BJ17" s="280"/>
      <c r="BK17" s="78"/>
      <c r="BL17" s="280"/>
      <c r="BM17" s="78"/>
      <c r="BN17" s="280"/>
      <c r="BO17" s="78"/>
      <c r="BP17" s="280"/>
      <c r="BQ17" s="78"/>
      <c r="BR17" s="280"/>
      <c r="BS17" s="78"/>
      <c r="BT17" s="280"/>
      <c r="BU17" s="78"/>
      <c r="BV17" s="280"/>
      <c r="BW17" s="78"/>
      <c r="BX17" s="280"/>
      <c r="BY17" s="78"/>
      <c r="BZ17" s="280"/>
      <c r="CA17" s="78"/>
      <c r="CB17" s="280"/>
      <c r="CC17" s="78"/>
      <c r="CD17" s="280"/>
      <c r="CE17" s="78"/>
      <c r="CF17" s="280"/>
      <c r="CG17" s="78"/>
      <c r="CH17" s="280"/>
      <c r="CI17" s="78"/>
      <c r="CJ17" s="280"/>
      <c r="CK17" s="78"/>
      <c r="CL17" s="280"/>
      <c r="CM17" s="78"/>
      <c r="CN17" s="280"/>
      <c r="CO17" s="78"/>
      <c r="CP17" s="77"/>
      <c r="CQ17" s="78"/>
      <c r="CR17" s="77"/>
      <c r="CS17" s="78"/>
      <c r="CT17" s="77"/>
      <c r="CU17" s="78"/>
      <c r="CV17" s="77"/>
      <c r="CW17" s="78"/>
      <c r="CX17" s="77"/>
      <c r="CY17" s="78"/>
      <c r="CZ17" s="77"/>
      <c r="DA17" s="78"/>
      <c r="DB17" s="77"/>
      <c r="DC17" s="78"/>
      <c r="DD17" s="77"/>
      <c r="DE17" s="78"/>
      <c r="DF17" s="77"/>
      <c r="DG17" s="78"/>
      <c r="DH17" s="77"/>
      <c r="DI17" s="78"/>
      <c r="DJ17" s="77"/>
      <c r="DK17" s="78"/>
      <c r="DL17" s="77"/>
      <c r="DM17" s="78"/>
      <c r="DN17" s="77"/>
      <c r="DO17" s="78"/>
      <c r="DP17" s="77"/>
      <c r="DQ17" s="78"/>
      <c r="DR17" s="77"/>
      <c r="DS17" s="78"/>
      <c r="DT17" s="77"/>
      <c r="DU17" s="78"/>
      <c r="DV17" s="77"/>
      <c r="DW17" s="78"/>
      <c r="DX17" s="77"/>
      <c r="DY17" s="78"/>
      <c r="DZ17" s="77"/>
      <c r="EA17" s="78"/>
      <c r="EB17" s="77"/>
      <c r="EC17" s="78"/>
      <c r="ED17" s="77"/>
      <c r="EE17" s="78"/>
      <c r="EF17" s="77"/>
      <c r="EG17" s="78"/>
      <c r="EH17" s="77"/>
      <c r="EI17" s="78"/>
      <c r="EJ17" s="77"/>
      <c r="EK17" s="78"/>
      <c r="EL17" s="77"/>
      <c r="EM17" s="78"/>
      <c r="EN17" s="77"/>
      <c r="EO17" s="78"/>
      <c r="EP17" s="77"/>
      <c r="EQ17" s="78"/>
      <c r="ER17" s="77"/>
      <c r="ES17" s="78"/>
      <c r="ET17" s="77"/>
      <c r="EU17" s="78"/>
      <c r="EV17" s="77"/>
      <c r="EW17" s="78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/>
      <c r="KJ17"/>
      <c r="KK17"/>
      <c r="KL17"/>
      <c r="KM17"/>
      <c r="KN17"/>
      <c r="KO17"/>
      <c r="KP17"/>
      <c r="KQ17"/>
      <c r="KR17"/>
      <c r="KS17"/>
      <c r="KT17"/>
      <c r="KU17"/>
      <c r="KV17"/>
      <c r="KW17"/>
      <c r="KX17"/>
      <c r="KY17"/>
      <c r="KZ17"/>
      <c r="LA17"/>
      <c r="LB17"/>
      <c r="LC17"/>
      <c r="LD17"/>
      <c r="LE17"/>
      <c r="LF17"/>
      <c r="LG17"/>
      <c r="LH17"/>
      <c r="LI17"/>
      <c r="LJ17"/>
      <c r="LK17"/>
      <c r="LL17"/>
      <c r="LM17"/>
      <c r="LN17"/>
      <c r="LO17"/>
      <c r="LP17"/>
      <c r="LQ17"/>
      <c r="LR17"/>
      <c r="LS17"/>
      <c r="LT17"/>
      <c r="LU17"/>
      <c r="LV17"/>
      <c r="LW17"/>
      <c r="LX17"/>
      <c r="LY17"/>
      <c r="LZ17"/>
      <c r="MA17"/>
      <c r="MB17"/>
      <c r="MC17"/>
      <c r="MD17"/>
      <c r="ME17"/>
      <c r="MF17"/>
      <c r="MG17"/>
      <c r="MH17"/>
      <c r="MI17"/>
      <c r="MJ17"/>
      <c r="MK17"/>
      <c r="ML17"/>
    </row>
    <row r="18" spans="1:350" s="233" customFormat="1" ht="15" customHeight="1" x14ac:dyDescent="0.3">
      <c r="A18" s="77">
        <f>_xlfn.XLOOKUP(DADOS!$B$3,DADOS!$D$2:$DI$2,DADOS!$D18:$DI18,"",0)</f>
        <v>0</v>
      </c>
      <c r="B18" s="78">
        <f>_xlfn.XLOOKUP(DADOS!$B$3,DADOS!$E$112:$AS$112,DADOS!$E126:$AS126,"",0)</f>
        <v>0</v>
      </c>
      <c r="C18" s="295" t="s">
        <v>246</v>
      </c>
      <c r="D18" s="280"/>
      <c r="E18" s="78" cm="1">
        <f t="array" ref="E18">_xlfn.XLOOKUP(D$2,$D$112:$BF$112,$D126:BF126,0,0)</f>
        <v>0</v>
      </c>
      <c r="F18" s="280"/>
      <c r="G18" s="78">
        <f t="shared" si="47"/>
        <v>0</v>
      </c>
      <c r="H18" s="280"/>
      <c r="I18" s="78">
        <f t="shared" si="48"/>
        <v>0</v>
      </c>
      <c r="J18" s="280">
        <v>0</v>
      </c>
      <c r="K18" s="78">
        <f t="shared" si="49"/>
        <v>0</v>
      </c>
      <c r="L18" s="280"/>
      <c r="M18" s="78">
        <f t="shared" si="49"/>
        <v>0</v>
      </c>
      <c r="N18" s="280"/>
      <c r="O18" s="78">
        <f t="shared" si="50"/>
        <v>0</v>
      </c>
      <c r="P18" s="280"/>
      <c r="Q18" s="78">
        <f t="shared" si="51"/>
        <v>0</v>
      </c>
      <c r="R18" s="280"/>
      <c r="S18" s="78">
        <f t="shared" si="52"/>
        <v>0</v>
      </c>
      <c r="T18" s="280"/>
      <c r="U18" s="78">
        <f t="shared" si="53"/>
        <v>0</v>
      </c>
      <c r="V18" s="280"/>
      <c r="W18" s="78">
        <f t="shared" si="54"/>
        <v>0.11</v>
      </c>
      <c r="X18" s="280"/>
      <c r="Y18" s="78"/>
      <c r="Z18" s="280"/>
      <c r="AA18" s="78"/>
      <c r="AB18" s="280"/>
      <c r="AC18" s="78"/>
      <c r="AD18" s="280"/>
      <c r="AE18" s="78"/>
      <c r="AF18" s="280"/>
      <c r="AG18" s="78"/>
      <c r="AH18" s="280"/>
      <c r="AI18" s="78"/>
      <c r="AJ18" s="280"/>
      <c r="AK18" s="78"/>
      <c r="AL18" s="280"/>
      <c r="AM18" s="78"/>
      <c r="AN18" s="280"/>
      <c r="AO18" s="78"/>
      <c r="AP18" s="280"/>
      <c r="AQ18" s="78"/>
      <c r="AR18" s="280"/>
      <c r="AS18" s="78"/>
      <c r="AT18" s="280"/>
      <c r="AU18" s="78"/>
      <c r="AV18" s="280"/>
      <c r="AW18" s="78"/>
      <c r="AX18" s="280"/>
      <c r="AY18" s="78"/>
      <c r="AZ18" s="280"/>
      <c r="BA18" s="78"/>
      <c r="BB18" s="280"/>
      <c r="BC18" s="78"/>
      <c r="BD18" s="280"/>
      <c r="BE18" s="78"/>
      <c r="BF18" s="280"/>
      <c r="BG18" s="78"/>
      <c r="BH18" s="280"/>
      <c r="BI18" s="78"/>
      <c r="BJ18" s="280"/>
      <c r="BK18" s="78"/>
      <c r="BL18" s="280"/>
      <c r="BM18" s="78"/>
      <c r="BN18" s="280"/>
      <c r="BO18" s="78"/>
      <c r="BP18" s="280"/>
      <c r="BQ18" s="78"/>
      <c r="BR18" s="280"/>
      <c r="BS18" s="78"/>
      <c r="BT18" s="280"/>
      <c r="BU18" s="78"/>
      <c r="BV18" s="280"/>
      <c r="BW18" s="78"/>
      <c r="BX18" s="280"/>
      <c r="BY18" s="78"/>
      <c r="BZ18" s="280"/>
      <c r="CA18" s="78"/>
      <c r="CB18" s="280"/>
      <c r="CC18" s="78"/>
      <c r="CD18" s="280"/>
      <c r="CE18" s="78"/>
      <c r="CF18" s="280"/>
      <c r="CG18" s="78"/>
      <c r="CH18" s="280"/>
      <c r="CI18" s="78"/>
      <c r="CJ18" s="280"/>
      <c r="CK18" s="78"/>
      <c r="CL18" s="280"/>
      <c r="CM18" s="78"/>
      <c r="CN18" s="280"/>
      <c r="CO18" s="78"/>
      <c r="CP18" s="77"/>
      <c r="CQ18" s="78"/>
      <c r="CR18" s="77"/>
      <c r="CS18" s="78"/>
      <c r="CT18" s="77"/>
      <c r="CU18" s="78"/>
      <c r="CV18" s="77"/>
      <c r="CW18" s="78"/>
      <c r="CX18" s="77"/>
      <c r="CY18" s="78"/>
      <c r="CZ18" s="77"/>
      <c r="DA18" s="78"/>
      <c r="DB18" s="77"/>
      <c r="DC18" s="78"/>
      <c r="DD18" s="77"/>
      <c r="DE18" s="78"/>
      <c r="DF18" s="77"/>
      <c r="DG18" s="78"/>
      <c r="DH18" s="77"/>
      <c r="DI18" s="78"/>
      <c r="DJ18" s="77"/>
      <c r="DK18" s="78"/>
      <c r="DL18" s="77"/>
      <c r="DM18" s="78"/>
      <c r="DN18" s="77"/>
      <c r="DO18" s="78"/>
      <c r="DP18" s="77"/>
      <c r="DQ18" s="78"/>
      <c r="DR18" s="77"/>
      <c r="DS18" s="78"/>
      <c r="DT18" s="77"/>
      <c r="DU18" s="78"/>
      <c r="DV18" s="77"/>
      <c r="DW18" s="78"/>
      <c r="DX18" s="77"/>
      <c r="DY18" s="78"/>
      <c r="DZ18" s="77"/>
      <c r="EA18" s="78"/>
      <c r="EB18" s="77"/>
      <c r="EC18" s="78"/>
      <c r="ED18" s="77"/>
      <c r="EE18" s="78"/>
      <c r="EF18" s="77"/>
      <c r="EG18" s="78"/>
      <c r="EH18" s="77"/>
      <c r="EI18" s="78"/>
      <c r="EJ18" s="77"/>
      <c r="EK18" s="78"/>
      <c r="EL18" s="77"/>
      <c r="EM18" s="78"/>
      <c r="EN18" s="77"/>
      <c r="EO18" s="78"/>
      <c r="EP18" s="77"/>
      <c r="EQ18" s="78"/>
      <c r="ER18" s="77"/>
      <c r="ES18" s="78"/>
      <c r="ET18" s="77"/>
      <c r="EU18" s="78"/>
      <c r="EV18" s="77"/>
      <c r="EW18" s="7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  <c r="KI18"/>
      <c r="KJ18"/>
      <c r="KK18"/>
      <c r="KL18"/>
      <c r="KM18"/>
      <c r="KN18"/>
      <c r="KO18"/>
      <c r="KP18"/>
      <c r="KQ18"/>
      <c r="KR18"/>
      <c r="KS18"/>
      <c r="KT18"/>
      <c r="KU18"/>
      <c r="KV18"/>
      <c r="KW18"/>
      <c r="KX18"/>
      <c r="KY18"/>
      <c r="KZ18"/>
      <c r="LA18"/>
      <c r="LB18"/>
      <c r="LC18"/>
      <c r="LD18"/>
      <c r="LE18"/>
      <c r="LF18"/>
      <c r="LG18"/>
      <c r="LH18"/>
      <c r="LI18"/>
      <c r="LJ18"/>
      <c r="LK18"/>
      <c r="LL18"/>
      <c r="LM18"/>
      <c r="LN18"/>
      <c r="LO18"/>
      <c r="LP18"/>
      <c r="LQ18"/>
      <c r="LR18"/>
      <c r="LS18"/>
      <c r="LT18"/>
      <c r="LU18"/>
      <c r="LV18"/>
      <c r="LW18"/>
      <c r="LX18"/>
      <c r="LY18"/>
      <c r="LZ18"/>
      <c r="MA18"/>
      <c r="MB18"/>
      <c r="MC18"/>
      <c r="MD18"/>
      <c r="ME18"/>
      <c r="MF18"/>
      <c r="MG18"/>
      <c r="MH18"/>
      <c r="MI18"/>
      <c r="MJ18"/>
      <c r="MK18"/>
      <c r="ML18"/>
    </row>
    <row r="19" spans="1:350" s="233" customFormat="1" ht="15" customHeight="1" x14ac:dyDescent="0.3">
      <c r="A19" s="77">
        <f>_xlfn.XLOOKUP(DADOS!$B$3,DADOS!$D$2:$DI$2,DADOS!$D19:$DI19,"",0)</f>
        <v>0</v>
      </c>
      <c r="B19" s="78">
        <f>_xlfn.XLOOKUP(DADOS!$B$3,DADOS!$E$112:$AS$112,DADOS!$E127:$AS127,"",0)</f>
        <v>0</v>
      </c>
      <c r="C19" s="295" t="s">
        <v>247</v>
      </c>
      <c r="D19" s="280"/>
      <c r="E19" s="78" cm="1">
        <f t="array" ref="E19">_xlfn.XLOOKUP(D$2,$D$112:$BF$112,$D127:BF127,0,0)</f>
        <v>0</v>
      </c>
      <c r="F19" s="280"/>
      <c r="G19" s="78">
        <f t="shared" si="47"/>
        <v>0</v>
      </c>
      <c r="H19" s="280"/>
      <c r="I19" s="78">
        <f t="shared" si="48"/>
        <v>0</v>
      </c>
      <c r="J19" s="280">
        <v>0</v>
      </c>
      <c r="K19" s="78">
        <f t="shared" si="49"/>
        <v>0</v>
      </c>
      <c r="L19" s="280"/>
      <c r="M19" s="78">
        <f t="shared" si="49"/>
        <v>0</v>
      </c>
      <c r="N19" s="280"/>
      <c r="O19" s="78">
        <f t="shared" si="50"/>
        <v>0</v>
      </c>
      <c r="P19" s="280"/>
      <c r="Q19" s="78">
        <f t="shared" si="51"/>
        <v>0</v>
      </c>
      <c r="R19" s="280"/>
      <c r="S19" s="78">
        <f t="shared" si="52"/>
        <v>0</v>
      </c>
      <c r="T19" s="280"/>
      <c r="U19" s="78">
        <f t="shared" si="53"/>
        <v>0.22</v>
      </c>
      <c r="V19" s="280"/>
      <c r="W19" s="78">
        <f t="shared" si="54"/>
        <v>1</v>
      </c>
      <c r="X19" s="280"/>
      <c r="Y19" s="78"/>
      <c r="Z19" s="280"/>
      <c r="AA19" s="78"/>
      <c r="AB19" s="280"/>
      <c r="AC19" s="78"/>
      <c r="AD19" s="280"/>
      <c r="AE19" s="78"/>
      <c r="AF19" s="280"/>
      <c r="AG19" s="78"/>
      <c r="AH19" s="280"/>
      <c r="AI19" s="78"/>
      <c r="AJ19" s="280"/>
      <c r="AK19" s="78"/>
      <c r="AL19" s="280"/>
      <c r="AM19" s="78"/>
      <c r="AN19" s="280"/>
      <c r="AO19" s="78"/>
      <c r="AP19" s="280"/>
      <c r="AQ19" s="78"/>
      <c r="AR19" s="280"/>
      <c r="AS19" s="78"/>
      <c r="AT19" s="280"/>
      <c r="AU19" s="78"/>
      <c r="AV19" s="280"/>
      <c r="AW19" s="78"/>
      <c r="AX19" s="280"/>
      <c r="AY19" s="78"/>
      <c r="AZ19" s="280"/>
      <c r="BA19" s="78"/>
      <c r="BB19" s="280"/>
      <c r="BC19" s="78"/>
      <c r="BD19" s="280"/>
      <c r="BE19" s="78"/>
      <c r="BF19" s="280"/>
      <c r="BG19" s="78"/>
      <c r="BH19" s="280"/>
      <c r="BI19" s="78"/>
      <c r="BJ19" s="280"/>
      <c r="BK19" s="78"/>
      <c r="BL19" s="280"/>
      <c r="BM19" s="78"/>
      <c r="BN19" s="280"/>
      <c r="BO19" s="78"/>
      <c r="BP19" s="280"/>
      <c r="BQ19" s="78"/>
      <c r="BR19" s="280"/>
      <c r="BS19" s="78"/>
      <c r="BT19" s="280"/>
      <c r="BU19" s="78"/>
      <c r="BV19" s="280"/>
      <c r="BW19" s="78"/>
      <c r="BX19" s="280"/>
      <c r="BY19" s="78"/>
      <c r="BZ19" s="280"/>
      <c r="CA19" s="78"/>
      <c r="CB19" s="280"/>
      <c r="CC19" s="78"/>
      <c r="CD19" s="280"/>
      <c r="CE19" s="78"/>
      <c r="CF19" s="280"/>
      <c r="CG19" s="78"/>
      <c r="CH19" s="280"/>
      <c r="CI19" s="78"/>
      <c r="CJ19" s="280"/>
      <c r="CK19" s="78"/>
      <c r="CL19" s="280"/>
      <c r="CM19" s="78"/>
      <c r="CN19" s="280"/>
      <c r="CO19" s="78"/>
      <c r="CP19" s="77"/>
      <c r="CQ19" s="78"/>
      <c r="CR19" s="77"/>
      <c r="CS19" s="78"/>
      <c r="CT19" s="77"/>
      <c r="CU19" s="78"/>
      <c r="CV19" s="77"/>
      <c r="CW19" s="78"/>
      <c r="CX19" s="77"/>
      <c r="CY19" s="78"/>
      <c r="CZ19" s="77"/>
      <c r="DA19" s="78"/>
      <c r="DB19" s="77"/>
      <c r="DC19" s="78"/>
      <c r="DD19" s="77"/>
      <c r="DE19" s="78"/>
      <c r="DF19" s="77"/>
      <c r="DG19" s="78"/>
      <c r="DH19" s="77"/>
      <c r="DI19" s="78"/>
      <c r="DJ19" s="77"/>
      <c r="DK19" s="78"/>
      <c r="DL19" s="77"/>
      <c r="DM19" s="78"/>
      <c r="DN19" s="77"/>
      <c r="DO19" s="78"/>
      <c r="DP19" s="77"/>
      <c r="DQ19" s="78"/>
      <c r="DR19" s="77"/>
      <c r="DS19" s="78"/>
      <c r="DT19" s="77"/>
      <c r="DU19" s="78"/>
      <c r="DV19" s="77"/>
      <c r="DW19" s="78"/>
      <c r="DX19" s="77"/>
      <c r="DY19" s="78"/>
      <c r="DZ19" s="77"/>
      <c r="EA19" s="78"/>
      <c r="EB19" s="77"/>
      <c r="EC19" s="78"/>
      <c r="ED19" s="77"/>
      <c r="EE19" s="78"/>
      <c r="EF19" s="77"/>
      <c r="EG19" s="78"/>
      <c r="EH19" s="77"/>
      <c r="EI19" s="78"/>
      <c r="EJ19" s="77"/>
      <c r="EK19" s="78"/>
      <c r="EL19" s="77"/>
      <c r="EM19" s="78"/>
      <c r="EN19" s="77"/>
      <c r="EO19" s="78"/>
      <c r="EP19" s="77"/>
      <c r="EQ19" s="78"/>
      <c r="ER19" s="77"/>
      <c r="ES19" s="78"/>
      <c r="ET19" s="77"/>
      <c r="EU19" s="78"/>
      <c r="EV19" s="77"/>
      <c r="EW19" s="78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  <c r="KI19"/>
      <c r="KJ19"/>
      <c r="KK19"/>
      <c r="KL19"/>
      <c r="KM19"/>
      <c r="KN19"/>
      <c r="KO19"/>
      <c r="KP19"/>
      <c r="KQ19"/>
      <c r="KR19"/>
      <c r="KS19"/>
      <c r="KT19"/>
      <c r="KU19"/>
      <c r="KV19"/>
      <c r="KW19"/>
      <c r="KX19"/>
      <c r="KY19"/>
      <c r="KZ19"/>
      <c r="LA19"/>
      <c r="LB19"/>
      <c r="LC19"/>
      <c r="LD19"/>
      <c r="LE19"/>
      <c r="LF19"/>
      <c r="LG19"/>
      <c r="LH19"/>
      <c r="LI19"/>
      <c r="LJ19"/>
      <c r="LK19"/>
      <c r="LL19"/>
      <c r="LM19"/>
      <c r="LN19"/>
      <c r="LO19"/>
      <c r="LP19"/>
      <c r="LQ19"/>
      <c r="LR19"/>
      <c r="LS19"/>
      <c r="LT19"/>
      <c r="LU19"/>
      <c r="LV19"/>
      <c r="LW19"/>
      <c r="LX19"/>
      <c r="LY19"/>
      <c r="LZ19"/>
      <c r="MA19"/>
      <c r="MB19"/>
      <c r="MC19"/>
      <c r="MD19"/>
      <c r="ME19"/>
      <c r="MF19"/>
      <c r="MG19"/>
      <c r="MH19"/>
      <c r="MI19"/>
      <c r="MJ19"/>
      <c r="MK19"/>
      <c r="ML19"/>
    </row>
    <row r="20" spans="1:350" s="233" customFormat="1" ht="15" customHeight="1" x14ac:dyDescent="0.3">
      <c r="A20" s="77">
        <f>_xlfn.XLOOKUP(DADOS!$B$3,DADOS!$D$2:$DI$2,DADOS!$D20:$DI20,"",0)</f>
        <v>0</v>
      </c>
      <c r="B20" s="78">
        <f>_xlfn.XLOOKUP(DADOS!$B$3,DADOS!$E$112:$AS$112,DADOS!$E128:$AS128,"",0)</f>
        <v>0</v>
      </c>
      <c r="C20" s="295" t="s">
        <v>248</v>
      </c>
      <c r="D20" s="280"/>
      <c r="E20" s="78" cm="1">
        <f t="array" ref="E20">_xlfn.XLOOKUP(D$2,$D$112:$BF$112,$D128:BF128,0,0)</f>
        <v>0</v>
      </c>
      <c r="F20" s="280"/>
      <c r="G20" s="78">
        <f t="shared" si="47"/>
        <v>0</v>
      </c>
      <c r="H20" s="280"/>
      <c r="I20" s="78">
        <f t="shared" si="48"/>
        <v>0</v>
      </c>
      <c r="J20" s="280">
        <v>0</v>
      </c>
      <c r="K20" s="78">
        <f t="shared" si="49"/>
        <v>0</v>
      </c>
      <c r="L20" s="280"/>
      <c r="M20" s="78">
        <f t="shared" si="49"/>
        <v>0</v>
      </c>
      <c r="N20" s="280"/>
      <c r="O20" s="78">
        <f t="shared" si="50"/>
        <v>0</v>
      </c>
      <c r="P20" s="280"/>
      <c r="Q20" s="78">
        <f t="shared" si="51"/>
        <v>0</v>
      </c>
      <c r="R20" s="280"/>
      <c r="S20" s="78">
        <f t="shared" si="52"/>
        <v>0</v>
      </c>
      <c r="T20" s="280"/>
      <c r="U20" s="78">
        <f t="shared" si="53"/>
        <v>0</v>
      </c>
      <c r="V20" s="280"/>
      <c r="W20" s="78">
        <f t="shared" si="54"/>
        <v>0</v>
      </c>
      <c r="X20" s="280"/>
      <c r="Y20" s="78"/>
      <c r="Z20" s="280"/>
      <c r="AA20" s="78"/>
      <c r="AB20" s="280"/>
      <c r="AC20" s="78"/>
      <c r="AD20" s="280"/>
      <c r="AE20" s="78"/>
      <c r="AF20" s="280"/>
      <c r="AG20" s="78"/>
      <c r="AH20" s="280"/>
      <c r="AI20" s="78"/>
      <c r="AJ20" s="280"/>
      <c r="AK20" s="78"/>
      <c r="AL20" s="280"/>
      <c r="AM20" s="78"/>
      <c r="AN20" s="280"/>
      <c r="AO20" s="78"/>
      <c r="AP20" s="280"/>
      <c r="AQ20" s="78"/>
      <c r="AR20" s="280"/>
      <c r="AS20" s="78"/>
      <c r="AT20" s="280"/>
      <c r="AU20" s="78"/>
      <c r="AV20" s="280"/>
      <c r="AW20" s="78"/>
      <c r="AX20" s="280"/>
      <c r="AY20" s="78"/>
      <c r="AZ20" s="280"/>
      <c r="BA20" s="78"/>
      <c r="BB20" s="280"/>
      <c r="BC20" s="78"/>
      <c r="BD20" s="280"/>
      <c r="BE20" s="78"/>
      <c r="BF20" s="280"/>
      <c r="BG20" s="78"/>
      <c r="BH20" s="280"/>
      <c r="BI20" s="78"/>
      <c r="BJ20" s="280"/>
      <c r="BK20" s="78"/>
      <c r="BL20" s="280"/>
      <c r="BM20" s="78"/>
      <c r="BN20" s="280"/>
      <c r="BO20" s="78"/>
      <c r="BP20" s="280"/>
      <c r="BQ20" s="78"/>
      <c r="BR20" s="280"/>
      <c r="BS20" s="78"/>
      <c r="BT20" s="280"/>
      <c r="BU20" s="78"/>
      <c r="BV20" s="280"/>
      <c r="BW20" s="78"/>
      <c r="BX20" s="280"/>
      <c r="BY20" s="78"/>
      <c r="BZ20" s="280"/>
      <c r="CA20" s="78"/>
      <c r="CB20" s="280"/>
      <c r="CC20" s="78"/>
      <c r="CD20" s="280"/>
      <c r="CE20" s="78"/>
      <c r="CF20" s="280"/>
      <c r="CG20" s="78"/>
      <c r="CH20" s="280"/>
      <c r="CI20" s="78"/>
      <c r="CJ20" s="280"/>
      <c r="CK20" s="78"/>
      <c r="CL20" s="280"/>
      <c r="CM20" s="78"/>
      <c r="CN20" s="280"/>
      <c r="CO20" s="78"/>
      <c r="CP20" s="77"/>
      <c r="CQ20" s="78"/>
      <c r="CR20" s="77"/>
      <c r="CS20" s="78"/>
      <c r="CT20" s="77"/>
      <c r="CU20" s="78"/>
      <c r="CV20" s="77"/>
      <c r="CW20" s="78"/>
      <c r="CX20" s="77"/>
      <c r="CY20" s="78"/>
      <c r="CZ20" s="77"/>
      <c r="DA20" s="78"/>
      <c r="DB20" s="77"/>
      <c r="DC20" s="78"/>
      <c r="DD20" s="77"/>
      <c r="DE20" s="78"/>
      <c r="DF20" s="77"/>
      <c r="DG20" s="78"/>
      <c r="DH20" s="77"/>
      <c r="DI20" s="78"/>
      <c r="DJ20" s="77"/>
      <c r="DK20" s="78"/>
      <c r="DL20" s="77"/>
      <c r="DM20" s="78"/>
      <c r="DN20" s="77"/>
      <c r="DO20" s="78"/>
      <c r="DP20" s="77"/>
      <c r="DQ20" s="78"/>
      <c r="DR20" s="77"/>
      <c r="DS20" s="78"/>
      <c r="DT20" s="77"/>
      <c r="DU20" s="78"/>
      <c r="DV20" s="77"/>
      <c r="DW20" s="78"/>
      <c r="DX20" s="77"/>
      <c r="DY20" s="78"/>
      <c r="DZ20" s="77"/>
      <c r="EA20" s="78"/>
      <c r="EB20" s="77"/>
      <c r="EC20" s="78"/>
      <c r="ED20" s="77"/>
      <c r="EE20" s="78"/>
      <c r="EF20" s="77"/>
      <c r="EG20" s="78"/>
      <c r="EH20" s="77"/>
      <c r="EI20" s="78"/>
      <c r="EJ20" s="77"/>
      <c r="EK20" s="78"/>
      <c r="EL20" s="77"/>
      <c r="EM20" s="78"/>
      <c r="EN20" s="77"/>
      <c r="EO20" s="78"/>
      <c r="EP20" s="77"/>
      <c r="EQ20" s="78"/>
      <c r="ER20" s="77"/>
      <c r="ES20" s="78"/>
      <c r="ET20" s="77"/>
      <c r="EU20" s="78"/>
      <c r="EV20" s="77"/>
      <c r="EW20" s="78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  <c r="KI20"/>
      <c r="KJ20"/>
      <c r="KK20"/>
      <c r="KL20"/>
      <c r="KM20"/>
      <c r="KN20"/>
      <c r="KO20"/>
      <c r="KP20"/>
      <c r="KQ20"/>
      <c r="KR20"/>
      <c r="KS20"/>
      <c r="KT20"/>
      <c r="KU20"/>
      <c r="KV20"/>
      <c r="KW20"/>
      <c r="KX20"/>
      <c r="KY20"/>
      <c r="KZ20"/>
      <c r="LA20"/>
      <c r="LB20"/>
      <c r="LC20"/>
      <c r="LD20"/>
      <c r="LE20"/>
      <c r="LF20"/>
      <c r="LG20"/>
      <c r="LH20"/>
      <c r="LI20"/>
      <c r="LJ20"/>
      <c r="LK20"/>
      <c r="LL20"/>
      <c r="LM20"/>
      <c r="LN20"/>
      <c r="LO20"/>
      <c r="LP20"/>
      <c r="LQ20"/>
      <c r="LR20"/>
      <c r="LS20"/>
      <c r="LT20"/>
      <c r="LU20"/>
      <c r="LV20"/>
      <c r="LW20"/>
      <c r="LX20"/>
      <c r="LY20"/>
      <c r="LZ20"/>
      <c r="MA20"/>
      <c r="MB20"/>
      <c r="MC20"/>
      <c r="MD20"/>
      <c r="ME20"/>
      <c r="MF20"/>
      <c r="MG20"/>
      <c r="MH20"/>
      <c r="MI20"/>
      <c r="MJ20"/>
      <c r="MK20"/>
      <c r="ML20"/>
    </row>
    <row r="21" spans="1:350" s="233" customFormat="1" ht="15" customHeight="1" x14ac:dyDescent="0.3">
      <c r="A21" s="77">
        <f>_xlfn.XLOOKUP(DADOS!$B$3,DADOS!$D$2:$DI$2,DADOS!$D21:$DI21,"",0)</f>
        <v>0</v>
      </c>
      <c r="B21" s="78">
        <f>_xlfn.XLOOKUP(DADOS!$B$3,DADOS!$E$112:$AS$112,DADOS!$E129:$AS129,"",0)</f>
        <v>0</v>
      </c>
      <c r="C21" s="295" t="s">
        <v>249</v>
      </c>
      <c r="D21" s="280"/>
      <c r="E21" s="78" cm="1">
        <f t="array" ref="E21">_xlfn.XLOOKUP(D$2,$D$112:$BF$112,$D129:BF129,0,0)</f>
        <v>0</v>
      </c>
      <c r="F21" s="280"/>
      <c r="G21" s="78">
        <f t="shared" si="47"/>
        <v>0</v>
      </c>
      <c r="H21" s="280"/>
      <c r="I21" s="78">
        <f t="shared" si="48"/>
        <v>0</v>
      </c>
      <c r="J21" s="280">
        <v>0</v>
      </c>
      <c r="K21" s="78">
        <f t="shared" si="49"/>
        <v>0</v>
      </c>
      <c r="L21" s="280"/>
      <c r="M21" s="78">
        <f t="shared" si="49"/>
        <v>0</v>
      </c>
      <c r="N21" s="280"/>
      <c r="O21" s="78">
        <f t="shared" si="50"/>
        <v>0</v>
      </c>
      <c r="P21" s="280"/>
      <c r="Q21" s="78">
        <f t="shared" si="51"/>
        <v>0</v>
      </c>
      <c r="R21" s="280"/>
      <c r="S21" s="78">
        <f t="shared" si="52"/>
        <v>0</v>
      </c>
      <c r="T21" s="280"/>
      <c r="U21" s="78">
        <f t="shared" si="53"/>
        <v>0</v>
      </c>
      <c r="V21" s="280"/>
      <c r="W21" s="78">
        <f t="shared" si="54"/>
        <v>0</v>
      </c>
      <c r="X21" s="280"/>
      <c r="Y21" s="78"/>
      <c r="Z21" s="280"/>
      <c r="AA21" s="78"/>
      <c r="AB21" s="280"/>
      <c r="AC21" s="78"/>
      <c r="AD21" s="280"/>
      <c r="AE21" s="78"/>
      <c r="AF21" s="280"/>
      <c r="AG21" s="78"/>
      <c r="AH21" s="280"/>
      <c r="AI21" s="78"/>
      <c r="AJ21" s="280"/>
      <c r="AK21" s="78"/>
      <c r="AL21" s="280"/>
      <c r="AM21" s="78"/>
      <c r="AN21" s="280"/>
      <c r="AO21" s="78"/>
      <c r="AP21" s="280"/>
      <c r="AQ21" s="78"/>
      <c r="AR21" s="280"/>
      <c r="AS21" s="78"/>
      <c r="AT21" s="280"/>
      <c r="AU21" s="78"/>
      <c r="AV21" s="280"/>
      <c r="AW21" s="78"/>
      <c r="AX21" s="280"/>
      <c r="AY21" s="78"/>
      <c r="AZ21" s="280"/>
      <c r="BA21" s="78"/>
      <c r="BB21" s="280"/>
      <c r="BC21" s="78"/>
      <c r="BD21" s="280"/>
      <c r="BE21" s="78"/>
      <c r="BF21" s="280"/>
      <c r="BG21" s="78"/>
      <c r="BH21" s="280"/>
      <c r="BI21" s="78"/>
      <c r="BJ21" s="280"/>
      <c r="BK21" s="78"/>
      <c r="BL21" s="280"/>
      <c r="BM21" s="78"/>
      <c r="BN21" s="280"/>
      <c r="BO21" s="78"/>
      <c r="BP21" s="280"/>
      <c r="BQ21" s="78"/>
      <c r="BR21" s="280"/>
      <c r="BS21" s="78"/>
      <c r="BT21" s="280"/>
      <c r="BU21" s="78"/>
      <c r="BV21" s="280"/>
      <c r="BW21" s="78"/>
      <c r="BX21" s="280"/>
      <c r="BY21" s="78"/>
      <c r="BZ21" s="280"/>
      <c r="CA21" s="78"/>
      <c r="CB21" s="280"/>
      <c r="CC21" s="78"/>
      <c r="CD21" s="280"/>
      <c r="CE21" s="78"/>
      <c r="CF21" s="280"/>
      <c r="CG21" s="78"/>
      <c r="CH21" s="280"/>
      <c r="CI21" s="78"/>
      <c r="CJ21" s="280"/>
      <c r="CK21" s="78"/>
      <c r="CL21" s="280"/>
      <c r="CM21" s="78"/>
      <c r="CN21" s="280"/>
      <c r="CO21" s="78"/>
      <c r="CP21" s="77"/>
      <c r="CQ21" s="78"/>
      <c r="CR21" s="77"/>
      <c r="CS21" s="78"/>
      <c r="CT21" s="77"/>
      <c r="CU21" s="78"/>
      <c r="CV21" s="77"/>
      <c r="CW21" s="78"/>
      <c r="CX21" s="77"/>
      <c r="CY21" s="78"/>
      <c r="CZ21" s="77"/>
      <c r="DA21" s="78"/>
      <c r="DB21" s="77"/>
      <c r="DC21" s="78"/>
      <c r="DD21" s="77"/>
      <c r="DE21" s="78"/>
      <c r="DF21" s="77"/>
      <c r="DG21" s="78"/>
      <c r="DH21" s="77"/>
      <c r="DI21" s="78"/>
      <c r="DJ21" s="77"/>
      <c r="DK21" s="78"/>
      <c r="DL21" s="77"/>
      <c r="DM21" s="78"/>
      <c r="DN21" s="77"/>
      <c r="DO21" s="78"/>
      <c r="DP21" s="77"/>
      <c r="DQ21" s="78"/>
      <c r="DR21" s="77"/>
      <c r="DS21" s="78"/>
      <c r="DT21" s="77"/>
      <c r="DU21" s="78"/>
      <c r="DV21" s="77"/>
      <c r="DW21" s="78"/>
      <c r="DX21" s="77"/>
      <c r="DY21" s="78"/>
      <c r="DZ21" s="77"/>
      <c r="EA21" s="78"/>
      <c r="EB21" s="77"/>
      <c r="EC21" s="78"/>
      <c r="ED21" s="77"/>
      <c r="EE21" s="78"/>
      <c r="EF21" s="77"/>
      <c r="EG21" s="78"/>
      <c r="EH21" s="77"/>
      <c r="EI21" s="78"/>
      <c r="EJ21" s="77"/>
      <c r="EK21" s="78"/>
      <c r="EL21" s="77"/>
      <c r="EM21" s="78"/>
      <c r="EN21" s="77"/>
      <c r="EO21" s="78"/>
      <c r="EP21" s="77"/>
      <c r="EQ21" s="78"/>
      <c r="ER21" s="77"/>
      <c r="ES21" s="78"/>
      <c r="ET21" s="77"/>
      <c r="EU21" s="78"/>
      <c r="EV21" s="77"/>
      <c r="EW21" s="78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  <c r="KI21"/>
      <c r="KJ21"/>
      <c r="KK21"/>
      <c r="KL21"/>
      <c r="KM21"/>
      <c r="KN21"/>
      <c r="KO21"/>
      <c r="KP21"/>
      <c r="KQ21"/>
      <c r="KR21"/>
      <c r="KS21"/>
      <c r="KT21"/>
      <c r="KU21"/>
      <c r="KV21"/>
      <c r="KW21"/>
      <c r="KX21"/>
      <c r="KY21"/>
      <c r="KZ21"/>
      <c r="LA21"/>
      <c r="LB21"/>
      <c r="LC21"/>
      <c r="LD21"/>
      <c r="LE21"/>
      <c r="LF21"/>
      <c r="LG21"/>
      <c r="LH21"/>
      <c r="LI21"/>
      <c r="LJ21"/>
      <c r="LK21"/>
      <c r="LL21"/>
      <c r="LM21"/>
      <c r="LN21"/>
      <c r="LO21"/>
      <c r="LP21"/>
      <c r="LQ21"/>
      <c r="LR21"/>
      <c r="LS21"/>
      <c r="LT21"/>
      <c r="LU21"/>
      <c r="LV21"/>
      <c r="LW21"/>
      <c r="LX21"/>
      <c r="LY21"/>
      <c r="LZ21"/>
      <c r="MA21"/>
      <c r="MB21"/>
      <c r="MC21"/>
      <c r="MD21"/>
      <c r="ME21"/>
      <c r="MF21"/>
      <c r="MG21"/>
      <c r="MH21"/>
      <c r="MI21"/>
      <c r="MJ21"/>
      <c r="MK21"/>
      <c r="ML21"/>
    </row>
    <row r="22" spans="1:350" s="233" customFormat="1" ht="15" customHeight="1" x14ac:dyDescent="0.3">
      <c r="A22" s="77">
        <f>_xlfn.XLOOKUP(DADOS!$B$3,DADOS!$D$2:$DI$2,DADOS!$D22:$DI22,"",0)</f>
        <v>0</v>
      </c>
      <c r="B22" s="78">
        <f>_xlfn.XLOOKUP(DADOS!$B$3,DADOS!$E$112:$AS$112,DADOS!$E130:$AS130,"",0)</f>
        <v>0</v>
      </c>
      <c r="C22" s="295" t="s">
        <v>274</v>
      </c>
      <c r="D22" s="280"/>
      <c r="E22" s="78" cm="1">
        <f t="array" ref="E22">_xlfn.XLOOKUP(D$2,$D$112:$BF$112,$D130:BF130,0,0)</f>
        <v>0</v>
      </c>
      <c r="F22" s="280"/>
      <c r="G22" s="78">
        <f t="shared" si="47"/>
        <v>0</v>
      </c>
      <c r="H22" s="280"/>
      <c r="I22" s="78">
        <f t="shared" si="48"/>
        <v>0</v>
      </c>
      <c r="J22" s="280">
        <v>0</v>
      </c>
      <c r="K22" s="78">
        <f t="shared" si="49"/>
        <v>0</v>
      </c>
      <c r="L22" s="280"/>
      <c r="M22" s="78">
        <f t="shared" si="49"/>
        <v>0</v>
      </c>
      <c r="N22" s="280"/>
      <c r="O22" s="78">
        <f t="shared" si="50"/>
        <v>0</v>
      </c>
      <c r="P22" s="280"/>
      <c r="Q22" s="78">
        <f t="shared" si="51"/>
        <v>0</v>
      </c>
      <c r="R22" s="280"/>
      <c r="S22" s="78">
        <f t="shared" si="52"/>
        <v>0</v>
      </c>
      <c r="T22" s="280"/>
      <c r="U22" s="78">
        <f t="shared" si="53"/>
        <v>0</v>
      </c>
      <c r="V22" s="280"/>
      <c r="W22" s="78">
        <f t="shared" si="54"/>
        <v>0</v>
      </c>
      <c r="X22" s="280"/>
      <c r="Y22" s="78"/>
      <c r="Z22" s="280"/>
      <c r="AA22" s="78"/>
      <c r="AB22" s="280"/>
      <c r="AC22" s="78"/>
      <c r="AD22" s="280"/>
      <c r="AE22" s="78"/>
      <c r="AF22" s="280"/>
      <c r="AG22" s="78"/>
      <c r="AH22" s="280"/>
      <c r="AI22" s="78"/>
      <c r="AJ22" s="280"/>
      <c r="AK22" s="78"/>
      <c r="AL22" s="280"/>
      <c r="AM22" s="78"/>
      <c r="AN22" s="280"/>
      <c r="AO22" s="78"/>
      <c r="AP22" s="280"/>
      <c r="AQ22" s="78"/>
      <c r="AR22" s="280"/>
      <c r="AS22" s="78"/>
      <c r="AT22" s="280"/>
      <c r="AU22" s="78"/>
      <c r="AV22" s="280"/>
      <c r="AW22" s="78"/>
      <c r="AX22" s="280"/>
      <c r="AY22" s="78"/>
      <c r="AZ22" s="280"/>
      <c r="BA22" s="78"/>
      <c r="BB22" s="280"/>
      <c r="BC22" s="78"/>
      <c r="BD22" s="280"/>
      <c r="BE22" s="78"/>
      <c r="BF22" s="280"/>
      <c r="BG22" s="78"/>
      <c r="BH22" s="280"/>
      <c r="BI22" s="78"/>
      <c r="BJ22" s="280"/>
      <c r="BK22" s="78"/>
      <c r="BL22" s="280"/>
      <c r="BM22" s="78"/>
      <c r="BN22" s="280"/>
      <c r="BO22" s="78"/>
      <c r="BP22" s="280"/>
      <c r="BQ22" s="78"/>
      <c r="BR22" s="280"/>
      <c r="BS22" s="78"/>
      <c r="BT22" s="280"/>
      <c r="BU22" s="78"/>
      <c r="BV22" s="280"/>
      <c r="BW22" s="78"/>
      <c r="BX22" s="280"/>
      <c r="BY22" s="78"/>
      <c r="BZ22" s="280"/>
      <c r="CA22" s="78"/>
      <c r="CB22" s="280"/>
      <c r="CC22" s="78"/>
      <c r="CD22" s="280"/>
      <c r="CE22" s="78"/>
      <c r="CF22" s="280"/>
      <c r="CG22" s="78"/>
      <c r="CH22" s="280"/>
      <c r="CI22" s="78"/>
      <c r="CJ22" s="280"/>
      <c r="CK22" s="78"/>
      <c r="CL22" s="280"/>
      <c r="CM22" s="78"/>
      <c r="CN22" s="280"/>
      <c r="CO22" s="78"/>
      <c r="CP22" s="77"/>
      <c r="CQ22" s="78"/>
      <c r="CR22" s="77"/>
      <c r="CS22" s="78"/>
      <c r="CT22" s="77"/>
      <c r="CU22" s="78"/>
      <c r="CV22" s="77"/>
      <c r="CW22" s="78"/>
      <c r="CX22" s="77"/>
      <c r="CY22" s="78"/>
      <c r="CZ22" s="77"/>
      <c r="DA22" s="78"/>
      <c r="DB22" s="77"/>
      <c r="DC22" s="78"/>
      <c r="DD22" s="77"/>
      <c r="DE22" s="78"/>
      <c r="DF22" s="77"/>
      <c r="DG22" s="78"/>
      <c r="DH22" s="77"/>
      <c r="DI22" s="78"/>
      <c r="DJ22" s="77"/>
      <c r="DK22" s="78"/>
      <c r="DL22" s="77"/>
      <c r="DM22" s="78"/>
      <c r="DN22" s="77"/>
      <c r="DO22" s="78"/>
      <c r="DP22" s="77"/>
      <c r="DQ22" s="78"/>
      <c r="DR22" s="77"/>
      <c r="DS22" s="78"/>
      <c r="DT22" s="77"/>
      <c r="DU22" s="78"/>
      <c r="DV22" s="77"/>
      <c r="DW22" s="78"/>
      <c r="DX22" s="77"/>
      <c r="DY22" s="78"/>
      <c r="DZ22" s="77"/>
      <c r="EA22" s="78"/>
      <c r="EB22" s="77"/>
      <c r="EC22" s="78"/>
      <c r="ED22" s="77"/>
      <c r="EE22" s="78"/>
      <c r="EF22" s="77"/>
      <c r="EG22" s="78"/>
      <c r="EH22" s="77"/>
      <c r="EI22" s="78"/>
      <c r="EJ22" s="77"/>
      <c r="EK22" s="78"/>
      <c r="EL22" s="77"/>
      <c r="EM22" s="78"/>
      <c r="EN22" s="77"/>
      <c r="EO22" s="78"/>
      <c r="EP22" s="77"/>
      <c r="EQ22" s="78"/>
      <c r="ER22" s="77"/>
      <c r="ES22" s="78"/>
      <c r="ET22" s="77"/>
      <c r="EU22" s="78"/>
      <c r="EV22" s="77"/>
      <c r="EW22" s="78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  <c r="KI22"/>
      <c r="KJ22"/>
      <c r="KK22"/>
      <c r="KL22"/>
      <c r="KM22"/>
      <c r="KN22"/>
      <c r="KO22"/>
      <c r="KP22"/>
      <c r="KQ22"/>
      <c r="KR22"/>
      <c r="KS22"/>
      <c r="KT22"/>
      <c r="KU22"/>
      <c r="KV22"/>
      <c r="KW22"/>
      <c r="KX22"/>
      <c r="KY22"/>
      <c r="KZ22"/>
      <c r="LA22"/>
      <c r="LB22"/>
      <c r="LC22"/>
      <c r="LD22"/>
      <c r="LE22"/>
      <c r="LF22"/>
      <c r="LG22"/>
      <c r="LH22"/>
      <c r="LI22"/>
      <c r="LJ22"/>
      <c r="LK22"/>
      <c r="LL22"/>
      <c r="LM22"/>
      <c r="LN22"/>
      <c r="LO22"/>
      <c r="LP22"/>
      <c r="LQ22"/>
      <c r="LR22"/>
      <c r="LS22"/>
      <c r="LT22"/>
      <c r="LU22"/>
      <c r="LV22"/>
      <c r="LW22"/>
      <c r="LX22"/>
      <c r="LY22"/>
      <c r="LZ22"/>
      <c r="MA22"/>
      <c r="MB22"/>
      <c r="MC22"/>
      <c r="MD22"/>
      <c r="ME22"/>
      <c r="MF22"/>
      <c r="MG22"/>
      <c r="MH22"/>
      <c r="MI22"/>
      <c r="MJ22"/>
      <c r="MK22"/>
      <c r="ML22"/>
    </row>
    <row r="23" spans="1:350" s="233" customFormat="1" ht="15" customHeight="1" x14ac:dyDescent="0.3">
      <c r="A23" s="77">
        <f>_xlfn.XLOOKUP(DADOS!$B$3,DADOS!$D$2:$DI$2,DADOS!$D23:$DI23,"",0)</f>
        <v>0</v>
      </c>
      <c r="B23" s="78">
        <f>_xlfn.XLOOKUP(DADOS!$B$3,DADOS!$E$112:$AS$112,DADOS!$E131:$AS131,"",0)</f>
        <v>0</v>
      </c>
      <c r="C23" s="287" t="s">
        <v>251</v>
      </c>
      <c r="D23" s="280"/>
      <c r="E23" s="78" cm="1">
        <f t="array" ref="E23">_xlfn.XLOOKUP(D$2,$D$112:$BF$112,$D131:BF131,0,0)</f>
        <v>0</v>
      </c>
      <c r="F23" s="280"/>
      <c r="G23" s="78">
        <f t="shared" si="47"/>
        <v>0</v>
      </c>
      <c r="H23" s="280"/>
      <c r="I23" s="78">
        <f t="shared" si="48"/>
        <v>0</v>
      </c>
      <c r="J23" s="280">
        <v>0</v>
      </c>
      <c r="K23" s="78">
        <f t="shared" si="49"/>
        <v>0</v>
      </c>
      <c r="L23" s="280"/>
      <c r="M23" s="78">
        <f t="shared" si="49"/>
        <v>0.17</v>
      </c>
      <c r="N23" s="280"/>
      <c r="O23" s="78">
        <f t="shared" si="50"/>
        <v>0.09</v>
      </c>
      <c r="P23" s="280"/>
      <c r="Q23" s="78">
        <f t="shared" si="51"/>
        <v>0.17</v>
      </c>
      <c r="R23" s="280"/>
      <c r="S23" s="78">
        <f t="shared" si="52"/>
        <v>0.23</v>
      </c>
      <c r="T23" s="280"/>
      <c r="U23" s="78">
        <f t="shared" si="53"/>
        <v>0.35</v>
      </c>
      <c r="V23" s="280"/>
      <c r="W23" s="78">
        <f t="shared" si="54"/>
        <v>0.49</v>
      </c>
      <c r="X23" s="280"/>
      <c r="Y23" s="78"/>
      <c r="Z23" s="280"/>
      <c r="AA23" s="78"/>
      <c r="AB23" s="280"/>
      <c r="AC23" s="78"/>
      <c r="AD23" s="280"/>
      <c r="AE23" s="78"/>
      <c r="AF23" s="280"/>
      <c r="AG23" s="78"/>
      <c r="AH23" s="280"/>
      <c r="AI23" s="78"/>
      <c r="AJ23" s="280"/>
      <c r="AK23" s="78"/>
      <c r="AL23" s="280"/>
      <c r="AM23" s="78"/>
      <c r="AN23" s="280"/>
      <c r="AO23" s="78"/>
      <c r="AP23" s="280"/>
      <c r="AQ23" s="78"/>
      <c r="AR23" s="280"/>
      <c r="AS23" s="78"/>
      <c r="AT23" s="280"/>
      <c r="AU23" s="78"/>
      <c r="AV23" s="280"/>
      <c r="AW23" s="78"/>
      <c r="AX23" s="280"/>
      <c r="AY23" s="78"/>
      <c r="AZ23" s="280"/>
      <c r="BA23" s="78"/>
      <c r="BB23" s="280"/>
      <c r="BC23" s="78"/>
      <c r="BD23" s="280"/>
      <c r="BE23" s="78"/>
      <c r="BF23" s="280"/>
      <c r="BG23" s="78"/>
      <c r="BH23" s="280"/>
      <c r="BI23" s="78"/>
      <c r="BJ23" s="280"/>
      <c r="BK23" s="78"/>
      <c r="BL23" s="280"/>
      <c r="BM23" s="78"/>
      <c r="BN23" s="280"/>
      <c r="BO23" s="78"/>
      <c r="BP23" s="280"/>
      <c r="BQ23" s="78"/>
      <c r="BR23" s="280"/>
      <c r="BS23" s="78"/>
      <c r="BT23" s="280"/>
      <c r="BU23" s="78"/>
      <c r="BV23" s="280"/>
      <c r="BW23" s="78"/>
      <c r="BX23" s="280"/>
      <c r="BY23" s="78"/>
      <c r="BZ23" s="280"/>
      <c r="CA23" s="78"/>
      <c r="CB23" s="280"/>
      <c r="CC23" s="78"/>
      <c r="CD23" s="280"/>
      <c r="CE23" s="78"/>
      <c r="CF23" s="280"/>
      <c r="CG23" s="78"/>
      <c r="CH23" s="280"/>
      <c r="CI23" s="78"/>
      <c r="CJ23" s="280"/>
      <c r="CK23" s="78"/>
      <c r="CL23" s="280"/>
      <c r="CM23" s="78"/>
      <c r="CN23" s="280"/>
      <c r="CO23" s="78"/>
      <c r="CP23" s="77"/>
      <c r="CQ23" s="78"/>
      <c r="CR23" s="77"/>
      <c r="CS23" s="78"/>
      <c r="CT23" s="77"/>
      <c r="CU23" s="78"/>
      <c r="CV23" s="77"/>
      <c r="CW23" s="78"/>
      <c r="CX23" s="77"/>
      <c r="CY23" s="78"/>
      <c r="CZ23" s="77"/>
      <c r="DA23" s="78"/>
      <c r="DB23" s="77"/>
      <c r="DC23" s="78"/>
      <c r="DD23" s="77"/>
      <c r="DE23" s="78"/>
      <c r="DF23" s="77"/>
      <c r="DG23" s="78"/>
      <c r="DH23" s="77"/>
      <c r="DI23" s="78"/>
      <c r="DJ23" s="77"/>
      <c r="DK23" s="78"/>
      <c r="DL23" s="77"/>
      <c r="DM23" s="78"/>
      <c r="DN23" s="77"/>
      <c r="DO23" s="78"/>
      <c r="DP23" s="77"/>
      <c r="DQ23" s="78"/>
      <c r="DR23" s="77"/>
      <c r="DS23" s="78"/>
      <c r="DT23" s="77"/>
      <c r="DU23" s="78"/>
      <c r="DV23" s="77"/>
      <c r="DW23" s="78"/>
      <c r="DX23" s="77"/>
      <c r="DY23" s="78"/>
      <c r="DZ23" s="77"/>
      <c r="EA23" s="78"/>
      <c r="EB23" s="77"/>
      <c r="EC23" s="78"/>
      <c r="ED23" s="77"/>
      <c r="EE23" s="78"/>
      <c r="EF23" s="77"/>
      <c r="EG23" s="78"/>
      <c r="EH23" s="77"/>
      <c r="EI23" s="78"/>
      <c r="EJ23" s="77"/>
      <c r="EK23" s="78"/>
      <c r="EL23" s="77"/>
      <c r="EM23" s="78"/>
      <c r="EN23" s="77"/>
      <c r="EO23" s="78"/>
      <c r="EP23" s="77"/>
      <c r="EQ23" s="78"/>
      <c r="ER23" s="77"/>
      <c r="ES23" s="78"/>
      <c r="ET23" s="77"/>
      <c r="EU23" s="78"/>
      <c r="EV23" s="77"/>
      <c r="EW23" s="78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/>
      <c r="JN23"/>
      <c r="JO23"/>
      <c r="JP23"/>
      <c r="JQ23"/>
      <c r="JR23"/>
      <c r="JS23"/>
      <c r="JT23"/>
      <c r="JU23"/>
      <c r="JV23"/>
      <c r="JW23"/>
      <c r="JX23"/>
      <c r="JY23"/>
      <c r="JZ23"/>
      <c r="KA23"/>
      <c r="KB23"/>
      <c r="KC23"/>
      <c r="KD23"/>
      <c r="KE23"/>
      <c r="KF23"/>
      <c r="KG23"/>
      <c r="KH23"/>
      <c r="KI23"/>
      <c r="KJ23"/>
      <c r="KK23"/>
      <c r="KL23"/>
      <c r="KM23"/>
      <c r="KN23"/>
      <c r="KO23"/>
      <c r="KP23"/>
      <c r="KQ23"/>
      <c r="KR23"/>
      <c r="KS23"/>
      <c r="KT23"/>
      <c r="KU23"/>
      <c r="KV23"/>
      <c r="KW23"/>
      <c r="KX23"/>
      <c r="KY23"/>
      <c r="KZ23"/>
      <c r="LA23"/>
      <c r="LB23"/>
      <c r="LC23"/>
      <c r="LD23"/>
      <c r="LE23"/>
      <c r="LF23"/>
      <c r="LG23"/>
      <c r="LH23"/>
      <c r="LI23"/>
      <c r="LJ23"/>
      <c r="LK23"/>
      <c r="LL23"/>
      <c r="LM23"/>
      <c r="LN23"/>
      <c r="LO23"/>
      <c r="LP23"/>
      <c r="LQ23"/>
      <c r="LR23"/>
      <c r="LS23"/>
      <c r="LT23"/>
      <c r="LU23"/>
      <c r="LV23"/>
      <c r="LW23"/>
      <c r="LX23"/>
      <c r="LY23"/>
      <c r="LZ23"/>
      <c r="MA23"/>
      <c r="MB23"/>
      <c r="MC23"/>
      <c r="MD23"/>
      <c r="ME23"/>
      <c r="MF23"/>
      <c r="MG23"/>
      <c r="MH23"/>
      <c r="MI23"/>
      <c r="MJ23"/>
      <c r="MK23"/>
      <c r="ML23"/>
    </row>
    <row r="24" spans="1:350" s="233" customFormat="1" ht="15" customHeight="1" x14ac:dyDescent="0.3">
      <c r="A24" s="77">
        <f>_xlfn.XLOOKUP(DADOS!$B$3,DADOS!$D$2:$DI$2,DADOS!$D24:$DI24,"",0)</f>
        <v>0</v>
      </c>
      <c r="B24" s="78">
        <f>_xlfn.XLOOKUP(DADOS!$B$3,DADOS!$E$112:$AS$112,DADOS!$E132:$AS132,"",0)</f>
        <v>0</v>
      </c>
      <c r="C24" s="295" t="s">
        <v>237</v>
      </c>
      <c r="D24" s="280"/>
      <c r="E24" s="78" cm="1">
        <f t="array" ref="E24">_xlfn.XLOOKUP(D$2,$D$112:$BF$112,$D132:BF132,0,0)</f>
        <v>0</v>
      </c>
      <c r="F24" s="280"/>
      <c r="G24" s="78">
        <f t="shared" si="47"/>
        <v>0</v>
      </c>
      <c r="H24" s="280"/>
      <c r="I24" s="78">
        <f t="shared" si="48"/>
        <v>0</v>
      </c>
      <c r="J24" s="280">
        <v>0</v>
      </c>
      <c r="K24" s="78">
        <f t="shared" si="49"/>
        <v>0</v>
      </c>
      <c r="L24" s="280"/>
      <c r="M24" s="78">
        <f t="shared" si="49"/>
        <v>1</v>
      </c>
      <c r="N24" s="280"/>
      <c r="O24" s="78">
        <f t="shared" si="50"/>
        <v>0.86</v>
      </c>
      <c r="P24" s="280"/>
      <c r="Q24" s="78">
        <f t="shared" si="51"/>
        <v>1</v>
      </c>
      <c r="R24" s="280"/>
      <c r="S24" s="78">
        <f t="shared" si="52"/>
        <v>1</v>
      </c>
      <c r="T24" s="280"/>
      <c r="U24" s="78">
        <f t="shared" si="53"/>
        <v>1</v>
      </c>
      <c r="V24" s="280"/>
      <c r="W24" s="78">
        <f t="shared" si="54"/>
        <v>1</v>
      </c>
      <c r="X24" s="280"/>
      <c r="Y24" s="78"/>
      <c r="Z24" s="280"/>
      <c r="AA24" s="78"/>
      <c r="AB24" s="280"/>
      <c r="AC24" s="78"/>
      <c r="AD24" s="280"/>
      <c r="AE24" s="78"/>
      <c r="AF24" s="280"/>
      <c r="AG24" s="78"/>
      <c r="AH24" s="280"/>
      <c r="AI24" s="78"/>
      <c r="AJ24" s="280"/>
      <c r="AK24" s="78"/>
      <c r="AL24" s="280"/>
      <c r="AM24" s="78"/>
      <c r="AN24" s="280"/>
      <c r="AO24" s="78"/>
      <c r="AP24" s="280"/>
      <c r="AQ24" s="78"/>
      <c r="AR24" s="280"/>
      <c r="AS24" s="78"/>
      <c r="AT24" s="280"/>
      <c r="AU24" s="78"/>
      <c r="AV24" s="280"/>
      <c r="AW24" s="78"/>
      <c r="AX24" s="280"/>
      <c r="AY24" s="78"/>
      <c r="AZ24" s="280"/>
      <c r="BA24" s="78"/>
      <c r="BB24" s="280"/>
      <c r="BC24" s="78"/>
      <c r="BD24" s="280"/>
      <c r="BE24" s="78"/>
      <c r="BF24" s="280"/>
      <c r="BG24" s="78"/>
      <c r="BH24" s="280"/>
      <c r="BI24" s="78"/>
      <c r="BJ24" s="280"/>
      <c r="BK24" s="78"/>
      <c r="BL24" s="280"/>
      <c r="BM24" s="78"/>
      <c r="BN24" s="280"/>
      <c r="BO24" s="78"/>
      <c r="BP24" s="280"/>
      <c r="BQ24" s="78"/>
      <c r="BR24" s="280"/>
      <c r="BS24" s="78"/>
      <c r="BT24" s="280"/>
      <c r="BU24" s="78"/>
      <c r="BV24" s="280"/>
      <c r="BW24" s="78"/>
      <c r="BX24" s="280"/>
      <c r="BY24" s="78"/>
      <c r="BZ24" s="280"/>
      <c r="CA24" s="78"/>
      <c r="CB24" s="280"/>
      <c r="CC24" s="78"/>
      <c r="CD24" s="280"/>
      <c r="CE24" s="78"/>
      <c r="CF24" s="280"/>
      <c r="CG24" s="78"/>
      <c r="CH24" s="280"/>
      <c r="CI24" s="78"/>
      <c r="CJ24" s="280"/>
      <c r="CK24" s="78"/>
      <c r="CL24" s="280"/>
      <c r="CM24" s="78"/>
      <c r="CN24" s="280"/>
      <c r="CO24" s="78"/>
      <c r="CP24" s="77"/>
      <c r="CQ24" s="78"/>
      <c r="CR24" s="77"/>
      <c r="CS24" s="78"/>
      <c r="CT24" s="77"/>
      <c r="CU24" s="78"/>
      <c r="CV24" s="77"/>
      <c r="CW24" s="78"/>
      <c r="CX24" s="77"/>
      <c r="CY24" s="78"/>
      <c r="CZ24" s="77"/>
      <c r="DA24" s="78"/>
      <c r="DB24" s="77"/>
      <c r="DC24" s="78"/>
      <c r="DD24" s="77"/>
      <c r="DE24" s="78"/>
      <c r="DF24" s="77"/>
      <c r="DG24" s="78"/>
      <c r="DH24" s="77"/>
      <c r="DI24" s="78"/>
      <c r="DJ24" s="77"/>
      <c r="DK24" s="78"/>
      <c r="DL24" s="77"/>
      <c r="DM24" s="78"/>
      <c r="DN24" s="77"/>
      <c r="DO24" s="78"/>
      <c r="DP24" s="77"/>
      <c r="DQ24" s="78"/>
      <c r="DR24" s="77"/>
      <c r="DS24" s="78"/>
      <c r="DT24" s="77"/>
      <c r="DU24" s="78"/>
      <c r="DV24" s="77"/>
      <c r="DW24" s="78"/>
      <c r="DX24" s="77"/>
      <c r="DY24" s="78"/>
      <c r="DZ24" s="77"/>
      <c r="EA24" s="78"/>
      <c r="EB24" s="77"/>
      <c r="EC24" s="78"/>
      <c r="ED24" s="77"/>
      <c r="EE24" s="78"/>
      <c r="EF24" s="77"/>
      <c r="EG24" s="78"/>
      <c r="EH24" s="77"/>
      <c r="EI24" s="78"/>
      <c r="EJ24" s="77"/>
      <c r="EK24" s="78"/>
      <c r="EL24" s="77"/>
      <c r="EM24" s="78"/>
      <c r="EN24" s="77"/>
      <c r="EO24" s="78"/>
      <c r="EP24" s="77"/>
      <c r="EQ24" s="78"/>
      <c r="ER24" s="77"/>
      <c r="ES24" s="78"/>
      <c r="ET24" s="77"/>
      <c r="EU24" s="78"/>
      <c r="EV24" s="77"/>
      <c r="EW24" s="78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  <c r="JI24"/>
      <c r="JJ24"/>
      <c r="JK24"/>
      <c r="JL24"/>
      <c r="JM24"/>
      <c r="JN24"/>
      <c r="JO24"/>
      <c r="JP24"/>
      <c r="JQ24"/>
      <c r="JR24"/>
      <c r="JS24"/>
      <c r="JT24"/>
      <c r="JU24"/>
      <c r="JV24"/>
      <c r="JW24"/>
      <c r="JX24"/>
      <c r="JY24"/>
      <c r="JZ24"/>
      <c r="KA24"/>
      <c r="KB24"/>
      <c r="KC24"/>
      <c r="KD24"/>
      <c r="KE24"/>
      <c r="KF24"/>
      <c r="KG24"/>
      <c r="KH24"/>
      <c r="KI24"/>
      <c r="KJ24"/>
      <c r="KK24"/>
      <c r="KL24"/>
      <c r="KM24"/>
      <c r="KN24"/>
      <c r="KO24"/>
      <c r="KP24"/>
      <c r="KQ24"/>
      <c r="KR24"/>
      <c r="KS24"/>
      <c r="KT24"/>
      <c r="KU24"/>
      <c r="KV24"/>
      <c r="KW24"/>
      <c r="KX24"/>
      <c r="KY24"/>
      <c r="KZ24"/>
      <c r="LA24"/>
      <c r="LB24"/>
      <c r="LC24"/>
      <c r="LD24"/>
      <c r="LE24"/>
      <c r="LF24"/>
      <c r="LG24"/>
      <c r="LH24"/>
      <c r="LI24"/>
      <c r="LJ24"/>
      <c r="LK24"/>
      <c r="LL24"/>
      <c r="LM24"/>
      <c r="LN24"/>
      <c r="LO24"/>
      <c r="LP24"/>
      <c r="LQ24"/>
      <c r="LR24"/>
      <c r="LS24"/>
      <c r="LT24"/>
      <c r="LU24"/>
      <c r="LV24"/>
      <c r="LW24"/>
      <c r="LX24"/>
      <c r="LY24"/>
      <c r="LZ24"/>
      <c r="MA24"/>
      <c r="MB24"/>
      <c r="MC24"/>
      <c r="MD24"/>
      <c r="ME24"/>
      <c r="MF24"/>
      <c r="MG24"/>
      <c r="MH24"/>
      <c r="MI24"/>
      <c r="MJ24"/>
      <c r="MK24"/>
      <c r="ML24"/>
    </row>
    <row r="25" spans="1:350" s="233" customFormat="1" ht="15" customHeight="1" x14ac:dyDescent="0.3">
      <c r="A25" s="77">
        <f>_xlfn.XLOOKUP(DADOS!$B$3,DADOS!$D$2:$DI$2,DADOS!$D25:$DI25,"",0)</f>
        <v>0</v>
      </c>
      <c r="B25" s="78">
        <f>_xlfn.XLOOKUP(DADOS!$B$3,DADOS!$E$112:$AS$112,DADOS!$E133:$AS133,"",0)</f>
        <v>0</v>
      </c>
      <c r="C25" s="295" t="s">
        <v>238</v>
      </c>
      <c r="D25" s="280"/>
      <c r="E25" s="78" cm="1">
        <f t="array" ref="E25">_xlfn.XLOOKUP(D$2,$D$112:$BF$112,$D133:BF133,0,0)</f>
        <v>0</v>
      </c>
      <c r="F25" s="280"/>
      <c r="G25" s="78">
        <f t="shared" si="47"/>
        <v>0</v>
      </c>
      <c r="H25" s="280"/>
      <c r="I25" s="78">
        <f t="shared" si="48"/>
        <v>0</v>
      </c>
      <c r="J25" s="280">
        <v>0</v>
      </c>
      <c r="K25" s="78">
        <f t="shared" si="49"/>
        <v>0</v>
      </c>
      <c r="L25" s="280"/>
      <c r="M25" s="78">
        <f t="shared" si="49"/>
        <v>0.94</v>
      </c>
      <c r="N25" s="280"/>
      <c r="O25" s="78">
        <f t="shared" si="50"/>
        <v>0.48</v>
      </c>
      <c r="P25" s="280"/>
      <c r="Q25" s="78">
        <f t="shared" si="51"/>
        <v>0.94</v>
      </c>
      <c r="R25" s="280"/>
      <c r="S25" s="78">
        <f t="shared" si="52"/>
        <v>1</v>
      </c>
      <c r="T25" s="280"/>
      <c r="U25" s="78">
        <f t="shared" si="53"/>
        <v>1</v>
      </c>
      <c r="V25" s="280"/>
      <c r="W25" s="78">
        <f t="shared" si="54"/>
        <v>1</v>
      </c>
      <c r="X25" s="280"/>
      <c r="Y25" s="78"/>
      <c r="Z25" s="280"/>
      <c r="AA25" s="78"/>
      <c r="AB25" s="280"/>
      <c r="AC25" s="78"/>
      <c r="AD25" s="280"/>
      <c r="AE25" s="78"/>
      <c r="AF25" s="280"/>
      <c r="AG25" s="78"/>
      <c r="AH25" s="280"/>
      <c r="AI25" s="78"/>
      <c r="AJ25" s="280"/>
      <c r="AK25" s="78"/>
      <c r="AL25" s="280"/>
      <c r="AM25" s="78"/>
      <c r="AN25" s="280"/>
      <c r="AO25" s="78"/>
      <c r="AP25" s="280"/>
      <c r="AQ25" s="78"/>
      <c r="AR25" s="280"/>
      <c r="AS25" s="78"/>
      <c r="AT25" s="280"/>
      <c r="AU25" s="78"/>
      <c r="AV25" s="280"/>
      <c r="AW25" s="78"/>
      <c r="AX25" s="280"/>
      <c r="AY25" s="78"/>
      <c r="AZ25" s="280"/>
      <c r="BA25" s="78"/>
      <c r="BB25" s="280"/>
      <c r="BC25" s="78"/>
      <c r="BD25" s="280"/>
      <c r="BE25" s="78"/>
      <c r="BF25" s="280"/>
      <c r="BG25" s="78"/>
      <c r="BH25" s="280"/>
      <c r="BI25" s="78"/>
      <c r="BJ25" s="280"/>
      <c r="BK25" s="78"/>
      <c r="BL25" s="280"/>
      <c r="BM25" s="78"/>
      <c r="BN25" s="280"/>
      <c r="BO25" s="78"/>
      <c r="BP25" s="280"/>
      <c r="BQ25" s="78"/>
      <c r="BR25" s="280"/>
      <c r="BS25" s="78"/>
      <c r="BT25" s="280"/>
      <c r="BU25" s="78"/>
      <c r="BV25" s="280"/>
      <c r="BW25" s="78"/>
      <c r="BX25" s="280"/>
      <c r="BY25" s="78"/>
      <c r="BZ25" s="280"/>
      <c r="CA25" s="78"/>
      <c r="CB25" s="280"/>
      <c r="CC25" s="78"/>
      <c r="CD25" s="280"/>
      <c r="CE25" s="78"/>
      <c r="CF25" s="280"/>
      <c r="CG25" s="78"/>
      <c r="CH25" s="280"/>
      <c r="CI25" s="78"/>
      <c r="CJ25" s="280"/>
      <c r="CK25" s="78"/>
      <c r="CL25" s="280"/>
      <c r="CM25" s="78"/>
      <c r="CN25" s="280"/>
      <c r="CO25" s="78"/>
      <c r="CP25" s="77"/>
      <c r="CQ25" s="78"/>
      <c r="CR25" s="77"/>
      <c r="CS25" s="78"/>
      <c r="CT25" s="77"/>
      <c r="CU25" s="78"/>
      <c r="CV25" s="77"/>
      <c r="CW25" s="78"/>
      <c r="CX25" s="77"/>
      <c r="CY25" s="78"/>
      <c r="CZ25" s="77"/>
      <c r="DA25" s="78"/>
      <c r="DB25" s="77"/>
      <c r="DC25" s="78"/>
      <c r="DD25" s="77"/>
      <c r="DE25" s="78"/>
      <c r="DF25" s="77"/>
      <c r="DG25" s="78"/>
      <c r="DH25" s="77"/>
      <c r="DI25" s="78"/>
      <c r="DJ25" s="77"/>
      <c r="DK25" s="78"/>
      <c r="DL25" s="77"/>
      <c r="DM25" s="78"/>
      <c r="DN25" s="77"/>
      <c r="DO25" s="78"/>
      <c r="DP25" s="77"/>
      <c r="DQ25" s="78"/>
      <c r="DR25" s="77"/>
      <c r="DS25" s="78"/>
      <c r="DT25" s="77"/>
      <c r="DU25" s="78"/>
      <c r="DV25" s="77"/>
      <c r="DW25" s="78"/>
      <c r="DX25" s="77"/>
      <c r="DY25" s="78"/>
      <c r="DZ25" s="77"/>
      <c r="EA25" s="78"/>
      <c r="EB25" s="77"/>
      <c r="EC25" s="78"/>
      <c r="ED25" s="77"/>
      <c r="EE25" s="78"/>
      <c r="EF25" s="77"/>
      <c r="EG25" s="78"/>
      <c r="EH25" s="77"/>
      <c r="EI25" s="78"/>
      <c r="EJ25" s="77"/>
      <c r="EK25" s="78"/>
      <c r="EL25" s="77"/>
      <c r="EM25" s="78"/>
      <c r="EN25" s="77"/>
      <c r="EO25" s="78"/>
      <c r="EP25" s="77"/>
      <c r="EQ25" s="78"/>
      <c r="ER25" s="77"/>
      <c r="ES25" s="78"/>
      <c r="ET25" s="77"/>
      <c r="EU25" s="78"/>
      <c r="EV25" s="77"/>
      <c r="EW25" s="78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/>
      <c r="JJ25"/>
      <c r="JK25"/>
      <c r="JL25"/>
      <c r="JM25"/>
      <c r="JN25"/>
      <c r="JO25"/>
      <c r="JP25"/>
      <c r="JQ25"/>
      <c r="JR25"/>
      <c r="JS25"/>
      <c r="JT25"/>
      <c r="JU25"/>
      <c r="JV25"/>
      <c r="JW25"/>
      <c r="JX25"/>
      <c r="JY25"/>
      <c r="JZ25"/>
      <c r="KA25"/>
      <c r="KB25"/>
      <c r="KC25"/>
      <c r="KD25"/>
      <c r="KE25"/>
      <c r="KF25"/>
      <c r="KG25"/>
      <c r="KH25"/>
      <c r="KI25"/>
      <c r="KJ25"/>
      <c r="KK25"/>
      <c r="KL25"/>
      <c r="KM25"/>
      <c r="KN25"/>
      <c r="KO25"/>
      <c r="KP25"/>
      <c r="KQ25"/>
      <c r="KR25"/>
      <c r="KS25"/>
      <c r="KT25"/>
      <c r="KU25"/>
      <c r="KV25"/>
      <c r="KW25"/>
      <c r="KX25"/>
      <c r="KY25"/>
      <c r="KZ25"/>
      <c r="LA25"/>
      <c r="LB25"/>
      <c r="LC25"/>
      <c r="LD25"/>
      <c r="LE25"/>
      <c r="LF25"/>
      <c r="LG25"/>
      <c r="LH25"/>
      <c r="LI25"/>
      <c r="LJ25"/>
      <c r="LK25"/>
      <c r="LL25"/>
      <c r="LM25"/>
      <c r="LN25"/>
      <c r="LO25"/>
      <c r="LP25"/>
      <c r="LQ25"/>
      <c r="LR25"/>
      <c r="LS25"/>
      <c r="LT25"/>
      <c r="LU25"/>
      <c r="LV25"/>
      <c r="LW25"/>
      <c r="LX25"/>
      <c r="LY25"/>
      <c r="LZ25"/>
      <c r="MA25"/>
      <c r="MB25"/>
      <c r="MC25"/>
      <c r="MD25"/>
      <c r="ME25"/>
      <c r="MF25"/>
      <c r="MG25"/>
      <c r="MH25"/>
      <c r="MI25"/>
      <c r="MJ25"/>
      <c r="MK25"/>
      <c r="ML25"/>
    </row>
    <row r="26" spans="1:350" s="233" customFormat="1" ht="15" customHeight="1" x14ac:dyDescent="0.3">
      <c r="A26" s="77">
        <f>_xlfn.XLOOKUP(DADOS!$B$3,DADOS!$D$2:$DI$2,DADOS!$D26:$DI26,"",0)</f>
        <v>0</v>
      </c>
      <c r="B26" s="78">
        <f>_xlfn.XLOOKUP(DADOS!$B$3,DADOS!$E$112:$AS$112,DADOS!$E134:$AS134,"",0)</f>
        <v>0</v>
      </c>
      <c r="C26" s="295" t="s">
        <v>239</v>
      </c>
      <c r="D26" s="280"/>
      <c r="E26" s="78" cm="1">
        <f t="array" ref="E26">_xlfn.XLOOKUP(D$2,$D$112:$BF$112,$D134:BF134,0,0)</f>
        <v>0</v>
      </c>
      <c r="F26" s="280"/>
      <c r="G26" s="78">
        <f t="shared" si="47"/>
        <v>0</v>
      </c>
      <c r="H26" s="280"/>
      <c r="I26" s="78">
        <f t="shared" si="48"/>
        <v>0</v>
      </c>
      <c r="J26" s="280">
        <v>0</v>
      </c>
      <c r="K26" s="78">
        <f t="shared" si="49"/>
        <v>0</v>
      </c>
      <c r="L26" s="280"/>
      <c r="M26" s="78">
        <f t="shared" si="49"/>
        <v>0.28999999999999998</v>
      </c>
      <c r="N26" s="280"/>
      <c r="O26" s="78">
        <f t="shared" si="50"/>
        <v>0.03</v>
      </c>
      <c r="P26" s="280"/>
      <c r="Q26" s="78">
        <f t="shared" si="51"/>
        <v>0.28999999999999998</v>
      </c>
      <c r="R26" s="280"/>
      <c r="S26" s="78">
        <f t="shared" si="52"/>
        <v>0.52</v>
      </c>
      <c r="T26" s="280"/>
      <c r="U26" s="78">
        <f t="shared" si="53"/>
        <v>0.87</v>
      </c>
      <c r="V26" s="280"/>
      <c r="W26" s="78">
        <f t="shared" si="54"/>
        <v>1</v>
      </c>
      <c r="X26" s="280"/>
      <c r="Y26" s="78"/>
      <c r="Z26" s="280"/>
      <c r="AA26" s="78"/>
      <c r="AB26" s="280"/>
      <c r="AC26" s="78"/>
      <c r="AD26" s="280"/>
      <c r="AE26" s="78"/>
      <c r="AF26" s="280"/>
      <c r="AG26" s="78"/>
      <c r="AH26" s="280"/>
      <c r="AI26" s="78"/>
      <c r="AJ26" s="280"/>
      <c r="AK26" s="78"/>
      <c r="AL26" s="280"/>
      <c r="AM26" s="78"/>
      <c r="AN26" s="280"/>
      <c r="AO26" s="78"/>
      <c r="AP26" s="280"/>
      <c r="AQ26" s="78"/>
      <c r="AR26" s="280"/>
      <c r="AS26" s="78"/>
      <c r="AT26" s="280"/>
      <c r="AU26" s="78"/>
      <c r="AV26" s="280"/>
      <c r="AW26" s="78"/>
      <c r="AX26" s="280"/>
      <c r="AY26" s="78"/>
      <c r="AZ26" s="280"/>
      <c r="BA26" s="78"/>
      <c r="BB26" s="280"/>
      <c r="BC26" s="78"/>
      <c r="BD26" s="280"/>
      <c r="BE26" s="78"/>
      <c r="BF26" s="280"/>
      <c r="BG26" s="78"/>
      <c r="BH26" s="280"/>
      <c r="BI26" s="78"/>
      <c r="BJ26" s="280"/>
      <c r="BK26" s="78"/>
      <c r="BL26" s="280"/>
      <c r="BM26" s="78"/>
      <c r="BN26" s="280"/>
      <c r="BO26" s="78"/>
      <c r="BP26" s="280"/>
      <c r="BQ26" s="78"/>
      <c r="BR26" s="280"/>
      <c r="BS26" s="78"/>
      <c r="BT26" s="280"/>
      <c r="BU26" s="78"/>
      <c r="BV26" s="280"/>
      <c r="BW26" s="78"/>
      <c r="BX26" s="280"/>
      <c r="BY26" s="78"/>
      <c r="BZ26" s="280"/>
      <c r="CA26" s="78"/>
      <c r="CB26" s="280"/>
      <c r="CC26" s="78"/>
      <c r="CD26" s="280"/>
      <c r="CE26" s="78"/>
      <c r="CF26" s="280"/>
      <c r="CG26" s="78"/>
      <c r="CH26" s="280"/>
      <c r="CI26" s="78"/>
      <c r="CJ26" s="280"/>
      <c r="CK26" s="78"/>
      <c r="CL26" s="280"/>
      <c r="CM26" s="78"/>
      <c r="CN26" s="280"/>
      <c r="CO26" s="78"/>
      <c r="CP26" s="77"/>
      <c r="CQ26" s="78"/>
      <c r="CR26" s="77"/>
      <c r="CS26" s="78"/>
      <c r="CT26" s="77"/>
      <c r="CU26" s="78"/>
      <c r="CV26" s="77"/>
      <c r="CW26" s="78"/>
      <c r="CX26" s="77"/>
      <c r="CY26" s="78"/>
      <c r="CZ26" s="77"/>
      <c r="DA26" s="78"/>
      <c r="DB26" s="77"/>
      <c r="DC26" s="78"/>
      <c r="DD26" s="77"/>
      <c r="DE26" s="78"/>
      <c r="DF26" s="77"/>
      <c r="DG26" s="78"/>
      <c r="DH26" s="77"/>
      <c r="DI26" s="78"/>
      <c r="DJ26" s="77"/>
      <c r="DK26" s="78"/>
      <c r="DL26" s="77"/>
      <c r="DM26" s="78"/>
      <c r="DN26" s="77"/>
      <c r="DO26" s="78"/>
      <c r="DP26" s="77"/>
      <c r="DQ26" s="78"/>
      <c r="DR26" s="77"/>
      <c r="DS26" s="78"/>
      <c r="DT26" s="77"/>
      <c r="DU26" s="78"/>
      <c r="DV26" s="77"/>
      <c r="DW26" s="78"/>
      <c r="DX26" s="77"/>
      <c r="DY26" s="78"/>
      <c r="DZ26" s="77"/>
      <c r="EA26" s="78"/>
      <c r="EB26" s="77"/>
      <c r="EC26" s="78"/>
      <c r="ED26" s="77"/>
      <c r="EE26" s="78"/>
      <c r="EF26" s="77"/>
      <c r="EG26" s="78"/>
      <c r="EH26" s="77"/>
      <c r="EI26" s="78"/>
      <c r="EJ26" s="77"/>
      <c r="EK26" s="78"/>
      <c r="EL26" s="77"/>
      <c r="EM26" s="78"/>
      <c r="EN26" s="77"/>
      <c r="EO26" s="78"/>
      <c r="EP26" s="77"/>
      <c r="EQ26" s="78"/>
      <c r="ER26" s="77"/>
      <c r="ES26" s="78"/>
      <c r="ET26" s="77"/>
      <c r="EU26" s="78"/>
      <c r="EV26" s="77"/>
      <c r="EW26" s="78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  <c r="KI26"/>
      <c r="KJ26"/>
      <c r="KK26"/>
      <c r="KL26"/>
      <c r="KM26"/>
      <c r="KN26"/>
      <c r="KO26"/>
      <c r="KP26"/>
      <c r="KQ26"/>
      <c r="KR26"/>
      <c r="KS26"/>
      <c r="KT26"/>
      <c r="KU26"/>
      <c r="KV26"/>
      <c r="KW26"/>
      <c r="KX26"/>
      <c r="KY26"/>
      <c r="KZ26"/>
      <c r="LA26"/>
      <c r="LB26"/>
      <c r="LC26"/>
      <c r="LD26"/>
      <c r="LE26"/>
      <c r="LF26"/>
      <c r="LG26"/>
      <c r="LH26"/>
      <c r="LI26"/>
      <c r="LJ26"/>
      <c r="LK26"/>
      <c r="LL26"/>
      <c r="LM26"/>
      <c r="LN26"/>
      <c r="LO26"/>
      <c r="LP26"/>
      <c r="LQ26"/>
      <c r="LR26"/>
      <c r="LS26"/>
      <c r="LT26"/>
      <c r="LU26"/>
      <c r="LV26"/>
      <c r="LW26"/>
      <c r="LX26"/>
      <c r="LY26"/>
      <c r="LZ26"/>
      <c r="MA26"/>
      <c r="MB26"/>
      <c r="MC26"/>
      <c r="MD26"/>
      <c r="ME26"/>
      <c r="MF26"/>
      <c r="MG26"/>
      <c r="MH26"/>
      <c r="MI26"/>
      <c r="MJ26"/>
      <c r="MK26"/>
      <c r="ML26"/>
    </row>
    <row r="27" spans="1:350" s="233" customFormat="1" ht="15" customHeight="1" x14ac:dyDescent="0.3">
      <c r="A27" s="77">
        <f>_xlfn.XLOOKUP(DADOS!$B$3,DADOS!$D$2:$DI$2,DADOS!$D27:$DI27,"",0)</f>
        <v>0</v>
      </c>
      <c r="B27" s="78">
        <f>_xlfn.XLOOKUP(DADOS!$B$3,DADOS!$E$112:$AS$112,DADOS!$E135:$AS135,"",0)</f>
        <v>0</v>
      </c>
      <c r="C27" s="295" t="s">
        <v>252</v>
      </c>
      <c r="D27" s="280"/>
      <c r="E27" s="78" cm="1">
        <f t="array" ref="E27">_xlfn.XLOOKUP(D$2,$D$112:$BF$112,$D135:BF135,0,0)</f>
        <v>0</v>
      </c>
      <c r="F27" s="280"/>
      <c r="G27" s="78">
        <f t="shared" si="47"/>
        <v>0</v>
      </c>
      <c r="H27" s="280"/>
      <c r="I27" s="78">
        <f t="shared" si="48"/>
        <v>0</v>
      </c>
      <c r="J27" s="280">
        <v>0</v>
      </c>
      <c r="K27" s="78">
        <f t="shared" si="49"/>
        <v>0</v>
      </c>
      <c r="L27" s="280"/>
      <c r="M27" s="78">
        <f t="shared" si="49"/>
        <v>0</v>
      </c>
      <c r="N27" s="280"/>
      <c r="O27" s="78">
        <f t="shared" si="50"/>
        <v>0</v>
      </c>
      <c r="P27" s="280"/>
      <c r="Q27" s="78">
        <f t="shared" si="51"/>
        <v>0</v>
      </c>
      <c r="R27" s="280"/>
      <c r="S27" s="78">
        <f t="shared" si="52"/>
        <v>0.22</v>
      </c>
      <c r="T27" s="280"/>
      <c r="U27" s="78">
        <f t="shared" si="53"/>
        <v>0.96</v>
      </c>
      <c r="V27" s="280"/>
      <c r="W27" s="78">
        <f t="shared" si="54"/>
        <v>1</v>
      </c>
      <c r="X27" s="280"/>
      <c r="Y27" s="78"/>
      <c r="Z27" s="280"/>
      <c r="AA27" s="78"/>
      <c r="AB27" s="280"/>
      <c r="AC27" s="78"/>
      <c r="AD27" s="280"/>
      <c r="AE27" s="78"/>
      <c r="AF27" s="280"/>
      <c r="AG27" s="78"/>
      <c r="AH27" s="280"/>
      <c r="AI27" s="78"/>
      <c r="AJ27" s="280"/>
      <c r="AK27" s="78"/>
      <c r="AL27" s="280"/>
      <c r="AM27" s="78"/>
      <c r="AN27" s="280"/>
      <c r="AO27" s="78"/>
      <c r="AP27" s="280"/>
      <c r="AQ27" s="78"/>
      <c r="AR27" s="280"/>
      <c r="AS27" s="78"/>
      <c r="AT27" s="280"/>
      <c r="AU27" s="78"/>
      <c r="AV27" s="280"/>
      <c r="AW27" s="78"/>
      <c r="AX27" s="280"/>
      <c r="AY27" s="78"/>
      <c r="AZ27" s="280"/>
      <c r="BA27" s="78"/>
      <c r="BB27" s="280"/>
      <c r="BC27" s="78"/>
      <c r="BD27" s="280"/>
      <c r="BE27" s="78"/>
      <c r="BF27" s="280"/>
      <c r="BG27" s="78"/>
      <c r="BH27" s="280"/>
      <c r="BI27" s="78"/>
      <c r="BJ27" s="280"/>
      <c r="BK27" s="78"/>
      <c r="BL27" s="280"/>
      <c r="BM27" s="78"/>
      <c r="BN27" s="280"/>
      <c r="BO27" s="78"/>
      <c r="BP27" s="280"/>
      <c r="BQ27" s="78"/>
      <c r="BR27" s="280"/>
      <c r="BS27" s="78"/>
      <c r="BT27" s="280"/>
      <c r="BU27" s="78"/>
      <c r="BV27" s="280"/>
      <c r="BW27" s="78"/>
      <c r="BX27" s="280"/>
      <c r="BY27" s="78"/>
      <c r="BZ27" s="280"/>
      <c r="CA27" s="78"/>
      <c r="CB27" s="280"/>
      <c r="CC27" s="78"/>
      <c r="CD27" s="280"/>
      <c r="CE27" s="78"/>
      <c r="CF27" s="280"/>
      <c r="CG27" s="78"/>
      <c r="CH27" s="280"/>
      <c r="CI27" s="78"/>
      <c r="CJ27" s="280"/>
      <c r="CK27" s="78"/>
      <c r="CL27" s="280"/>
      <c r="CM27" s="78"/>
      <c r="CN27" s="280"/>
      <c r="CO27" s="78"/>
      <c r="CP27" s="77"/>
      <c r="CQ27" s="78"/>
      <c r="CR27" s="77"/>
      <c r="CS27" s="78"/>
      <c r="CT27" s="77"/>
      <c r="CU27" s="78"/>
      <c r="CV27" s="77"/>
      <c r="CW27" s="78"/>
      <c r="CX27" s="77"/>
      <c r="CY27" s="78"/>
      <c r="CZ27" s="77"/>
      <c r="DA27" s="78"/>
      <c r="DB27" s="77"/>
      <c r="DC27" s="78"/>
      <c r="DD27" s="77"/>
      <c r="DE27" s="78"/>
      <c r="DF27" s="77"/>
      <c r="DG27" s="78"/>
      <c r="DH27" s="77"/>
      <c r="DI27" s="78"/>
      <c r="DJ27" s="77"/>
      <c r="DK27" s="78"/>
      <c r="DL27" s="77"/>
      <c r="DM27" s="78"/>
      <c r="DN27" s="77"/>
      <c r="DO27" s="78"/>
      <c r="DP27" s="77"/>
      <c r="DQ27" s="78"/>
      <c r="DR27" s="77"/>
      <c r="DS27" s="78"/>
      <c r="DT27" s="77"/>
      <c r="DU27" s="78"/>
      <c r="DV27" s="77"/>
      <c r="DW27" s="78"/>
      <c r="DX27" s="77"/>
      <c r="DY27" s="78"/>
      <c r="DZ27" s="77"/>
      <c r="EA27" s="78"/>
      <c r="EB27" s="77"/>
      <c r="EC27" s="78"/>
      <c r="ED27" s="77"/>
      <c r="EE27" s="78"/>
      <c r="EF27" s="77"/>
      <c r="EG27" s="78"/>
      <c r="EH27" s="77"/>
      <c r="EI27" s="78"/>
      <c r="EJ27" s="77"/>
      <c r="EK27" s="78"/>
      <c r="EL27" s="77"/>
      <c r="EM27" s="78"/>
      <c r="EN27" s="77"/>
      <c r="EO27" s="78"/>
      <c r="EP27" s="77"/>
      <c r="EQ27" s="78"/>
      <c r="ER27" s="77"/>
      <c r="ES27" s="78"/>
      <c r="ET27" s="77"/>
      <c r="EU27" s="78"/>
      <c r="EV27" s="77"/>
      <c r="EW27" s="78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  <c r="IY27"/>
      <c r="IZ27"/>
      <c r="JA27"/>
      <c r="JB27"/>
      <c r="JC27"/>
      <c r="JD27"/>
      <c r="JE27"/>
      <c r="JF27"/>
      <c r="JG27"/>
      <c r="JH27"/>
      <c r="JI27"/>
      <c r="JJ27"/>
      <c r="JK27"/>
      <c r="JL27"/>
      <c r="JM27"/>
      <c r="JN27"/>
      <c r="JO27"/>
      <c r="JP27"/>
      <c r="JQ27"/>
      <c r="JR27"/>
      <c r="JS27"/>
      <c r="JT27"/>
      <c r="JU27"/>
      <c r="JV27"/>
      <c r="JW27"/>
      <c r="JX27"/>
      <c r="JY27"/>
      <c r="JZ27"/>
      <c r="KA27"/>
      <c r="KB27"/>
      <c r="KC27"/>
      <c r="KD27"/>
      <c r="KE27"/>
      <c r="KF27"/>
      <c r="KG27"/>
      <c r="KH27"/>
      <c r="KI27"/>
      <c r="KJ27"/>
      <c r="KK27"/>
      <c r="KL27"/>
      <c r="KM27"/>
      <c r="KN27"/>
      <c r="KO27"/>
      <c r="KP27"/>
      <c r="KQ27"/>
      <c r="KR27"/>
      <c r="KS27"/>
      <c r="KT27"/>
      <c r="KU27"/>
      <c r="KV27"/>
      <c r="KW27"/>
      <c r="KX27"/>
      <c r="KY27"/>
      <c r="KZ27"/>
      <c r="LA27"/>
      <c r="LB27"/>
      <c r="LC27"/>
      <c r="LD27"/>
      <c r="LE27"/>
      <c r="LF27"/>
      <c r="LG27"/>
      <c r="LH27"/>
      <c r="LI27"/>
      <c r="LJ27"/>
      <c r="LK27"/>
      <c r="LL27"/>
      <c r="LM27"/>
      <c r="LN27"/>
      <c r="LO27"/>
      <c r="LP27"/>
      <c r="LQ27"/>
      <c r="LR27"/>
      <c r="LS27"/>
      <c r="LT27"/>
      <c r="LU27"/>
      <c r="LV27"/>
      <c r="LW27"/>
      <c r="LX27"/>
      <c r="LY27"/>
      <c r="LZ27"/>
      <c r="MA27"/>
      <c r="MB27"/>
      <c r="MC27"/>
      <c r="MD27"/>
      <c r="ME27"/>
      <c r="MF27"/>
      <c r="MG27"/>
      <c r="MH27"/>
      <c r="MI27"/>
      <c r="MJ27"/>
      <c r="MK27"/>
      <c r="ML27"/>
    </row>
    <row r="28" spans="1:350" s="233" customFormat="1" ht="15" customHeight="1" x14ac:dyDescent="0.3">
      <c r="A28" s="77">
        <f>_xlfn.XLOOKUP(DADOS!$B$3,DADOS!$D$2:$DI$2,DADOS!$D28:$DI28,"",0)</f>
        <v>0</v>
      </c>
      <c r="B28" s="78">
        <f>_xlfn.XLOOKUP(DADOS!$B$3,DADOS!$E$112:$AS$112,DADOS!$E136:$AS136,"",0)</f>
        <v>0</v>
      </c>
      <c r="C28" s="295" t="s">
        <v>241</v>
      </c>
      <c r="D28" s="280"/>
      <c r="E28" s="78" cm="1">
        <f t="array" ref="E28">_xlfn.XLOOKUP(D$2,$D$112:$BF$112,$D136:BF136,0,0)</f>
        <v>0</v>
      </c>
      <c r="F28" s="280"/>
      <c r="G28" s="78">
        <f t="shared" si="47"/>
        <v>0</v>
      </c>
      <c r="H28" s="280"/>
      <c r="I28" s="78">
        <f t="shared" si="48"/>
        <v>0</v>
      </c>
      <c r="J28" s="280">
        <v>0</v>
      </c>
      <c r="K28" s="78">
        <f t="shared" si="49"/>
        <v>0</v>
      </c>
      <c r="L28" s="280"/>
      <c r="M28" s="78">
        <f t="shared" si="49"/>
        <v>0.09</v>
      </c>
      <c r="N28" s="280"/>
      <c r="O28" s="78">
        <f t="shared" si="50"/>
        <v>0</v>
      </c>
      <c r="P28" s="280"/>
      <c r="Q28" s="78">
        <f t="shared" si="51"/>
        <v>0.09</v>
      </c>
      <c r="R28" s="280"/>
      <c r="S28" s="78">
        <f t="shared" si="52"/>
        <v>0.23</v>
      </c>
      <c r="T28" s="280"/>
      <c r="U28" s="78">
        <f t="shared" si="53"/>
        <v>0.4</v>
      </c>
      <c r="V28" s="280"/>
      <c r="W28" s="78">
        <f t="shared" si="54"/>
        <v>0.56000000000000005</v>
      </c>
      <c r="X28" s="280"/>
      <c r="Y28" s="78"/>
      <c r="Z28" s="280"/>
      <c r="AA28" s="78"/>
      <c r="AB28" s="280"/>
      <c r="AC28" s="78"/>
      <c r="AD28" s="280"/>
      <c r="AE28" s="78"/>
      <c r="AF28" s="280"/>
      <c r="AG28" s="78"/>
      <c r="AH28" s="280"/>
      <c r="AI28" s="78"/>
      <c r="AJ28" s="280"/>
      <c r="AK28" s="78"/>
      <c r="AL28" s="280"/>
      <c r="AM28" s="78"/>
      <c r="AN28" s="280"/>
      <c r="AO28" s="78"/>
      <c r="AP28" s="280"/>
      <c r="AQ28" s="78"/>
      <c r="AR28" s="280"/>
      <c r="AS28" s="78"/>
      <c r="AT28" s="280"/>
      <c r="AU28" s="78"/>
      <c r="AV28" s="280"/>
      <c r="AW28" s="78"/>
      <c r="AX28" s="280"/>
      <c r="AY28" s="78"/>
      <c r="AZ28" s="280"/>
      <c r="BA28" s="78"/>
      <c r="BB28" s="280"/>
      <c r="BC28" s="78"/>
      <c r="BD28" s="280"/>
      <c r="BE28" s="78"/>
      <c r="BF28" s="280"/>
      <c r="BG28" s="78"/>
      <c r="BH28" s="280"/>
      <c r="BI28" s="78"/>
      <c r="BJ28" s="280"/>
      <c r="BK28" s="78"/>
      <c r="BL28" s="280"/>
      <c r="BM28" s="78"/>
      <c r="BN28" s="280"/>
      <c r="BO28" s="78"/>
      <c r="BP28" s="280"/>
      <c r="BQ28" s="78"/>
      <c r="BR28" s="280"/>
      <c r="BS28" s="78"/>
      <c r="BT28" s="280"/>
      <c r="BU28" s="78"/>
      <c r="BV28" s="280"/>
      <c r="BW28" s="78"/>
      <c r="BX28" s="280"/>
      <c r="BY28" s="78"/>
      <c r="BZ28" s="280"/>
      <c r="CA28" s="78"/>
      <c r="CB28" s="280"/>
      <c r="CC28" s="78"/>
      <c r="CD28" s="280"/>
      <c r="CE28" s="78"/>
      <c r="CF28" s="280"/>
      <c r="CG28" s="78"/>
      <c r="CH28" s="280"/>
      <c r="CI28" s="78"/>
      <c r="CJ28" s="280"/>
      <c r="CK28" s="78"/>
      <c r="CL28" s="280"/>
      <c r="CM28" s="78"/>
      <c r="CN28" s="280"/>
      <c r="CO28" s="78"/>
      <c r="CP28" s="77"/>
      <c r="CQ28" s="78"/>
      <c r="CR28" s="77"/>
      <c r="CS28" s="78"/>
      <c r="CT28" s="77"/>
      <c r="CU28" s="78"/>
      <c r="CV28" s="77"/>
      <c r="CW28" s="78"/>
      <c r="CX28" s="77"/>
      <c r="CY28" s="78"/>
      <c r="CZ28" s="77"/>
      <c r="DA28" s="78"/>
      <c r="DB28" s="77"/>
      <c r="DC28" s="78"/>
      <c r="DD28" s="77"/>
      <c r="DE28" s="78"/>
      <c r="DF28" s="77"/>
      <c r="DG28" s="78"/>
      <c r="DH28" s="77"/>
      <c r="DI28" s="78"/>
      <c r="DJ28" s="77"/>
      <c r="DK28" s="78"/>
      <c r="DL28" s="77"/>
      <c r="DM28" s="78"/>
      <c r="DN28" s="77"/>
      <c r="DO28" s="78"/>
      <c r="DP28" s="77"/>
      <c r="DQ28" s="78"/>
      <c r="DR28" s="77"/>
      <c r="DS28" s="78"/>
      <c r="DT28" s="77"/>
      <c r="DU28" s="78"/>
      <c r="DV28" s="77"/>
      <c r="DW28" s="78"/>
      <c r="DX28" s="77"/>
      <c r="DY28" s="78"/>
      <c r="DZ28" s="77"/>
      <c r="EA28" s="78"/>
      <c r="EB28" s="77"/>
      <c r="EC28" s="78"/>
      <c r="ED28" s="77"/>
      <c r="EE28" s="78"/>
      <c r="EF28" s="77"/>
      <c r="EG28" s="78"/>
      <c r="EH28" s="77"/>
      <c r="EI28" s="78"/>
      <c r="EJ28" s="77"/>
      <c r="EK28" s="78"/>
      <c r="EL28" s="77"/>
      <c r="EM28" s="78"/>
      <c r="EN28" s="77"/>
      <c r="EO28" s="78"/>
      <c r="EP28" s="77"/>
      <c r="EQ28" s="78"/>
      <c r="ER28" s="77"/>
      <c r="ES28" s="78"/>
      <c r="ET28" s="77"/>
      <c r="EU28" s="78"/>
      <c r="EV28" s="77"/>
      <c r="EW28" s="7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  <c r="IY28"/>
      <c r="IZ28"/>
      <c r="JA28"/>
      <c r="JB28"/>
      <c r="JC28"/>
      <c r="JD28"/>
      <c r="JE28"/>
      <c r="JF28"/>
      <c r="JG28"/>
      <c r="JH28"/>
      <c r="JI28"/>
      <c r="JJ28"/>
      <c r="JK28"/>
      <c r="JL28"/>
      <c r="JM28"/>
      <c r="JN28"/>
      <c r="JO28"/>
      <c r="JP28"/>
      <c r="JQ28"/>
      <c r="JR28"/>
      <c r="JS28"/>
      <c r="JT28"/>
      <c r="JU28"/>
      <c r="JV28"/>
      <c r="JW28"/>
      <c r="JX28"/>
      <c r="JY28"/>
      <c r="JZ28"/>
      <c r="KA28"/>
      <c r="KB28"/>
      <c r="KC28"/>
      <c r="KD28"/>
      <c r="KE28"/>
      <c r="KF28"/>
      <c r="KG28"/>
      <c r="KH28"/>
      <c r="KI28"/>
      <c r="KJ28"/>
      <c r="KK28"/>
      <c r="KL28"/>
      <c r="KM28"/>
      <c r="KN28"/>
      <c r="KO28"/>
      <c r="KP28"/>
      <c r="KQ28"/>
      <c r="KR28"/>
      <c r="KS28"/>
      <c r="KT28"/>
      <c r="KU28"/>
      <c r="KV28"/>
      <c r="KW28"/>
      <c r="KX28"/>
      <c r="KY28"/>
      <c r="KZ28"/>
      <c r="LA28"/>
      <c r="LB28"/>
      <c r="LC28"/>
      <c r="LD28"/>
      <c r="LE28"/>
      <c r="LF28"/>
      <c r="LG28"/>
      <c r="LH28"/>
      <c r="LI28"/>
      <c r="LJ28"/>
      <c r="LK28"/>
      <c r="LL28"/>
      <c r="LM28"/>
      <c r="LN28"/>
      <c r="LO28"/>
      <c r="LP28"/>
      <c r="LQ28"/>
      <c r="LR28"/>
      <c r="LS28"/>
      <c r="LT28"/>
      <c r="LU28"/>
      <c r="LV28"/>
      <c r="LW28"/>
      <c r="LX28"/>
      <c r="LY28"/>
      <c r="LZ28"/>
      <c r="MA28"/>
      <c r="MB28"/>
      <c r="MC28"/>
      <c r="MD28"/>
      <c r="ME28"/>
      <c r="MF28"/>
      <c r="MG28"/>
      <c r="MH28"/>
      <c r="MI28"/>
      <c r="MJ28"/>
      <c r="MK28"/>
      <c r="ML28"/>
    </row>
    <row r="29" spans="1:350" s="233" customFormat="1" ht="15" customHeight="1" x14ac:dyDescent="0.3">
      <c r="A29" s="77">
        <f>_xlfn.XLOOKUP(DADOS!$B$3,DADOS!$D$2:$DI$2,DADOS!$D29:$DI29,"",0)</f>
        <v>0</v>
      </c>
      <c r="B29" s="78">
        <f>_xlfn.XLOOKUP(DADOS!$B$3,DADOS!$E$112:$AS$112,DADOS!$E137:$AS137,"",0)</f>
        <v>0</v>
      </c>
      <c r="C29" s="295" t="s">
        <v>242</v>
      </c>
      <c r="D29" s="280"/>
      <c r="E29" s="78" cm="1">
        <f t="array" ref="E29">_xlfn.XLOOKUP(D$2,$D$112:$BF$112,$D137:BF137,0,0)</f>
        <v>0</v>
      </c>
      <c r="F29" s="280"/>
      <c r="G29" s="78">
        <f t="shared" si="47"/>
        <v>0</v>
      </c>
      <c r="H29" s="280"/>
      <c r="I29" s="78">
        <f t="shared" si="48"/>
        <v>0</v>
      </c>
      <c r="J29" s="280">
        <v>0</v>
      </c>
      <c r="K29" s="78">
        <f t="shared" si="49"/>
        <v>0</v>
      </c>
      <c r="L29" s="280"/>
      <c r="M29" s="78">
        <f t="shared" si="49"/>
        <v>0</v>
      </c>
      <c r="N29" s="280"/>
      <c r="O29" s="78">
        <f t="shared" si="50"/>
        <v>0</v>
      </c>
      <c r="P29" s="280"/>
      <c r="Q29" s="78">
        <f t="shared" si="51"/>
        <v>0</v>
      </c>
      <c r="R29" s="280"/>
      <c r="S29" s="78">
        <f t="shared" si="52"/>
        <v>0.03</v>
      </c>
      <c r="T29" s="280"/>
      <c r="U29" s="78">
        <f t="shared" si="53"/>
        <v>0.24</v>
      </c>
      <c r="V29" s="280"/>
      <c r="W29" s="78">
        <f t="shared" si="54"/>
        <v>0.39</v>
      </c>
      <c r="X29" s="280"/>
      <c r="Y29" s="78"/>
      <c r="Z29" s="280"/>
      <c r="AA29" s="78"/>
      <c r="AB29" s="280"/>
      <c r="AC29" s="78"/>
      <c r="AD29" s="280"/>
      <c r="AE29" s="78"/>
      <c r="AF29" s="280"/>
      <c r="AG29" s="78"/>
      <c r="AH29" s="280"/>
      <c r="AI29" s="78"/>
      <c r="AJ29" s="280"/>
      <c r="AK29" s="78"/>
      <c r="AL29" s="280"/>
      <c r="AM29" s="78"/>
      <c r="AN29" s="280"/>
      <c r="AO29" s="78"/>
      <c r="AP29" s="280"/>
      <c r="AQ29" s="78"/>
      <c r="AR29" s="280"/>
      <c r="AS29" s="78"/>
      <c r="AT29" s="280"/>
      <c r="AU29" s="78"/>
      <c r="AV29" s="280"/>
      <c r="AW29" s="78"/>
      <c r="AX29" s="280"/>
      <c r="AY29" s="78"/>
      <c r="AZ29" s="280"/>
      <c r="BA29" s="78"/>
      <c r="BB29" s="280"/>
      <c r="BC29" s="78"/>
      <c r="BD29" s="280"/>
      <c r="BE29" s="78"/>
      <c r="BF29" s="280"/>
      <c r="BG29" s="78"/>
      <c r="BH29" s="280"/>
      <c r="BI29" s="78"/>
      <c r="BJ29" s="280"/>
      <c r="BK29" s="78"/>
      <c r="BL29" s="280"/>
      <c r="BM29" s="78"/>
      <c r="BN29" s="280"/>
      <c r="BO29" s="78"/>
      <c r="BP29" s="280"/>
      <c r="BQ29" s="78"/>
      <c r="BR29" s="280"/>
      <c r="BS29" s="78"/>
      <c r="BT29" s="280"/>
      <c r="BU29" s="78"/>
      <c r="BV29" s="280"/>
      <c r="BW29" s="78"/>
      <c r="BX29" s="280"/>
      <c r="BY29" s="78"/>
      <c r="BZ29" s="280"/>
      <c r="CA29" s="78"/>
      <c r="CB29" s="280"/>
      <c r="CC29" s="78"/>
      <c r="CD29" s="280"/>
      <c r="CE29" s="78"/>
      <c r="CF29" s="280"/>
      <c r="CG29" s="78"/>
      <c r="CH29" s="280"/>
      <c r="CI29" s="78"/>
      <c r="CJ29" s="280"/>
      <c r="CK29" s="78"/>
      <c r="CL29" s="280"/>
      <c r="CM29" s="78"/>
      <c r="CN29" s="280"/>
      <c r="CO29" s="78"/>
      <c r="CP29" s="77"/>
      <c r="CQ29" s="78"/>
      <c r="CR29" s="77"/>
      <c r="CS29" s="78"/>
      <c r="CT29" s="77"/>
      <c r="CU29" s="78"/>
      <c r="CV29" s="77"/>
      <c r="CW29" s="78"/>
      <c r="CX29" s="77"/>
      <c r="CY29" s="78"/>
      <c r="CZ29" s="77"/>
      <c r="DA29" s="78"/>
      <c r="DB29" s="77"/>
      <c r="DC29" s="78"/>
      <c r="DD29" s="77"/>
      <c r="DE29" s="78"/>
      <c r="DF29" s="77"/>
      <c r="DG29" s="78"/>
      <c r="DH29" s="77"/>
      <c r="DI29" s="78"/>
      <c r="DJ29" s="77"/>
      <c r="DK29" s="78"/>
      <c r="DL29" s="77"/>
      <c r="DM29" s="78"/>
      <c r="DN29" s="77"/>
      <c r="DO29" s="78"/>
      <c r="DP29" s="77"/>
      <c r="DQ29" s="78"/>
      <c r="DR29" s="77"/>
      <c r="DS29" s="78"/>
      <c r="DT29" s="77"/>
      <c r="DU29" s="78"/>
      <c r="DV29" s="77"/>
      <c r="DW29" s="78"/>
      <c r="DX29" s="77"/>
      <c r="DY29" s="78"/>
      <c r="DZ29" s="77"/>
      <c r="EA29" s="78"/>
      <c r="EB29" s="77"/>
      <c r="EC29" s="78"/>
      <c r="ED29" s="77"/>
      <c r="EE29" s="78"/>
      <c r="EF29" s="77"/>
      <c r="EG29" s="78"/>
      <c r="EH29" s="77"/>
      <c r="EI29" s="78"/>
      <c r="EJ29" s="77"/>
      <c r="EK29" s="78"/>
      <c r="EL29" s="77"/>
      <c r="EM29" s="78"/>
      <c r="EN29" s="77"/>
      <c r="EO29" s="78"/>
      <c r="EP29" s="77"/>
      <c r="EQ29" s="78"/>
      <c r="ER29" s="77"/>
      <c r="ES29" s="78"/>
      <c r="ET29" s="77"/>
      <c r="EU29" s="78"/>
      <c r="EV29" s="77"/>
      <c r="EW29" s="78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/>
      <c r="JN29"/>
      <c r="JO29"/>
      <c r="JP29"/>
      <c r="JQ29"/>
      <c r="JR29"/>
      <c r="JS29"/>
      <c r="JT29"/>
      <c r="JU29"/>
      <c r="JV29"/>
      <c r="JW29"/>
      <c r="JX29"/>
      <c r="JY29"/>
      <c r="JZ29"/>
      <c r="KA29"/>
      <c r="KB29"/>
      <c r="KC29"/>
      <c r="KD29"/>
      <c r="KE29"/>
      <c r="KF29"/>
      <c r="KG29"/>
      <c r="KH29"/>
      <c r="KI29"/>
      <c r="KJ29"/>
      <c r="KK29"/>
      <c r="KL29"/>
      <c r="KM29"/>
      <c r="KN29"/>
      <c r="KO29"/>
      <c r="KP29"/>
      <c r="KQ29"/>
      <c r="KR29"/>
      <c r="KS29"/>
      <c r="KT29"/>
      <c r="KU29"/>
      <c r="KV29"/>
      <c r="KW29"/>
      <c r="KX29"/>
      <c r="KY29"/>
      <c r="KZ29"/>
      <c r="LA29"/>
      <c r="LB29"/>
      <c r="LC29"/>
      <c r="LD29"/>
      <c r="LE29"/>
      <c r="LF29"/>
      <c r="LG29"/>
      <c r="LH29"/>
      <c r="LI29"/>
      <c r="LJ29"/>
      <c r="LK29"/>
      <c r="LL29"/>
      <c r="LM29"/>
      <c r="LN29"/>
      <c r="LO29"/>
      <c r="LP29"/>
      <c r="LQ29"/>
      <c r="LR29"/>
      <c r="LS29"/>
      <c r="LT29"/>
      <c r="LU29"/>
      <c r="LV29"/>
      <c r="LW29"/>
      <c r="LX29"/>
      <c r="LY29"/>
      <c r="LZ29"/>
      <c r="MA29"/>
      <c r="MB29"/>
      <c r="MC29"/>
      <c r="MD29"/>
      <c r="ME29"/>
      <c r="MF29"/>
      <c r="MG29"/>
      <c r="MH29"/>
      <c r="MI29"/>
      <c r="MJ29"/>
      <c r="MK29"/>
      <c r="ML29"/>
    </row>
    <row r="30" spans="1:350" s="233" customFormat="1" ht="15" customHeight="1" x14ac:dyDescent="0.3">
      <c r="A30" s="77">
        <f>_xlfn.XLOOKUP(DADOS!$B$3,DADOS!$D$2:$DI$2,DADOS!$D30:$DI30,"",0)</f>
        <v>0</v>
      </c>
      <c r="B30" s="78">
        <f>_xlfn.XLOOKUP(DADOS!$B$3,DADOS!$E$112:$AS$112,DADOS!$E138:$AS138,"",0)</f>
        <v>0</v>
      </c>
      <c r="C30" s="295" t="s">
        <v>243</v>
      </c>
      <c r="D30" s="280"/>
      <c r="E30" s="78" cm="1">
        <f t="array" ref="E30">_xlfn.XLOOKUP(D$2,$D$112:$BF$112,$D138:BF138,0,0)</f>
        <v>0</v>
      </c>
      <c r="F30" s="280"/>
      <c r="G30" s="78">
        <f t="shared" si="47"/>
        <v>0</v>
      </c>
      <c r="H30" s="280"/>
      <c r="I30" s="78">
        <f t="shared" si="48"/>
        <v>0</v>
      </c>
      <c r="J30" s="280">
        <v>0</v>
      </c>
      <c r="K30" s="78">
        <f t="shared" si="49"/>
        <v>0</v>
      </c>
      <c r="L30" s="280"/>
      <c r="M30" s="78">
        <f t="shared" si="49"/>
        <v>0</v>
      </c>
      <c r="N30" s="280"/>
      <c r="O30" s="78">
        <f t="shared" si="50"/>
        <v>0</v>
      </c>
      <c r="P30" s="280"/>
      <c r="Q30" s="78">
        <f t="shared" si="51"/>
        <v>0</v>
      </c>
      <c r="R30" s="280"/>
      <c r="S30" s="78">
        <f t="shared" si="52"/>
        <v>0</v>
      </c>
      <c r="T30" s="280"/>
      <c r="U30" s="78">
        <f t="shared" si="53"/>
        <v>0</v>
      </c>
      <c r="V30" s="280"/>
      <c r="W30" s="78">
        <f t="shared" si="54"/>
        <v>0.51</v>
      </c>
      <c r="X30" s="280"/>
      <c r="Y30" s="78"/>
      <c r="Z30" s="280"/>
      <c r="AA30" s="78"/>
      <c r="AB30" s="280"/>
      <c r="AC30" s="78"/>
      <c r="AD30" s="280"/>
      <c r="AE30" s="78"/>
      <c r="AF30" s="280"/>
      <c r="AG30" s="78"/>
      <c r="AH30" s="280"/>
      <c r="AI30" s="78"/>
      <c r="AJ30" s="280"/>
      <c r="AK30" s="78"/>
      <c r="AL30" s="280"/>
      <c r="AM30" s="78"/>
      <c r="AN30" s="280"/>
      <c r="AO30" s="78"/>
      <c r="AP30" s="280"/>
      <c r="AQ30" s="78"/>
      <c r="AR30" s="280"/>
      <c r="AS30" s="78"/>
      <c r="AT30" s="280"/>
      <c r="AU30" s="78"/>
      <c r="AV30" s="280"/>
      <c r="AW30" s="78"/>
      <c r="AX30" s="280"/>
      <c r="AY30" s="78"/>
      <c r="AZ30" s="280"/>
      <c r="BA30" s="78"/>
      <c r="BB30" s="280"/>
      <c r="BC30" s="78"/>
      <c r="BD30" s="280"/>
      <c r="BE30" s="78"/>
      <c r="BF30" s="280"/>
      <c r="BG30" s="78"/>
      <c r="BH30" s="280"/>
      <c r="BI30" s="78"/>
      <c r="BJ30" s="280"/>
      <c r="BK30" s="78"/>
      <c r="BL30" s="280"/>
      <c r="BM30" s="78"/>
      <c r="BN30" s="280"/>
      <c r="BO30" s="78"/>
      <c r="BP30" s="280"/>
      <c r="BQ30" s="78"/>
      <c r="BR30" s="280"/>
      <c r="BS30" s="78"/>
      <c r="BT30" s="280"/>
      <c r="BU30" s="78"/>
      <c r="BV30" s="280"/>
      <c r="BW30" s="78"/>
      <c r="BX30" s="280"/>
      <c r="BY30" s="78"/>
      <c r="BZ30" s="280"/>
      <c r="CA30" s="78"/>
      <c r="CB30" s="280"/>
      <c r="CC30" s="78"/>
      <c r="CD30" s="280"/>
      <c r="CE30" s="78"/>
      <c r="CF30" s="280"/>
      <c r="CG30" s="78"/>
      <c r="CH30" s="280"/>
      <c r="CI30" s="78"/>
      <c r="CJ30" s="280"/>
      <c r="CK30" s="78"/>
      <c r="CL30" s="280"/>
      <c r="CM30" s="78"/>
      <c r="CN30" s="280"/>
      <c r="CO30" s="78"/>
      <c r="CP30" s="77"/>
      <c r="CQ30" s="78"/>
      <c r="CR30" s="77"/>
      <c r="CS30" s="78"/>
      <c r="CT30" s="77"/>
      <c r="CU30" s="78"/>
      <c r="CV30" s="77"/>
      <c r="CW30" s="78"/>
      <c r="CX30" s="77"/>
      <c r="CY30" s="78"/>
      <c r="CZ30" s="77"/>
      <c r="DA30" s="78"/>
      <c r="DB30" s="77"/>
      <c r="DC30" s="78"/>
      <c r="DD30" s="77"/>
      <c r="DE30" s="78"/>
      <c r="DF30" s="77"/>
      <c r="DG30" s="78"/>
      <c r="DH30" s="77"/>
      <c r="DI30" s="78"/>
      <c r="DJ30" s="77"/>
      <c r="DK30" s="78"/>
      <c r="DL30" s="77"/>
      <c r="DM30" s="78"/>
      <c r="DN30" s="77"/>
      <c r="DO30" s="78"/>
      <c r="DP30" s="77"/>
      <c r="DQ30" s="78"/>
      <c r="DR30" s="77"/>
      <c r="DS30" s="78"/>
      <c r="DT30" s="77"/>
      <c r="DU30" s="78"/>
      <c r="DV30" s="77"/>
      <c r="DW30" s="78"/>
      <c r="DX30" s="77"/>
      <c r="DY30" s="78"/>
      <c r="DZ30" s="77"/>
      <c r="EA30" s="78"/>
      <c r="EB30" s="77"/>
      <c r="EC30" s="78"/>
      <c r="ED30" s="77"/>
      <c r="EE30" s="78"/>
      <c r="EF30" s="77"/>
      <c r="EG30" s="78"/>
      <c r="EH30" s="77"/>
      <c r="EI30" s="78"/>
      <c r="EJ30" s="77"/>
      <c r="EK30" s="78"/>
      <c r="EL30" s="77"/>
      <c r="EM30" s="78"/>
      <c r="EN30" s="77"/>
      <c r="EO30" s="78"/>
      <c r="EP30" s="77"/>
      <c r="EQ30" s="78"/>
      <c r="ER30" s="77"/>
      <c r="ES30" s="78"/>
      <c r="ET30" s="77"/>
      <c r="EU30" s="78"/>
      <c r="EV30" s="77"/>
      <c r="EW30" s="78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  <c r="IY30"/>
      <c r="IZ30"/>
      <c r="JA30"/>
      <c r="JB30"/>
      <c r="JC30"/>
      <c r="JD30"/>
      <c r="JE30"/>
      <c r="JF30"/>
      <c r="JG30"/>
      <c r="JH30"/>
      <c r="JI30"/>
      <c r="JJ30"/>
      <c r="JK30"/>
      <c r="JL30"/>
      <c r="JM30"/>
      <c r="JN30"/>
      <c r="JO30"/>
      <c r="JP30"/>
      <c r="JQ30"/>
      <c r="JR30"/>
      <c r="JS30"/>
      <c r="JT30"/>
      <c r="JU30"/>
      <c r="JV30"/>
      <c r="JW30"/>
      <c r="JX30"/>
      <c r="JY30"/>
      <c r="JZ30"/>
      <c r="KA30"/>
      <c r="KB30"/>
      <c r="KC30"/>
      <c r="KD30"/>
      <c r="KE30"/>
      <c r="KF30"/>
      <c r="KG30"/>
      <c r="KH30"/>
      <c r="KI30"/>
      <c r="KJ30"/>
      <c r="KK30"/>
      <c r="KL30"/>
      <c r="KM30"/>
      <c r="KN30"/>
      <c r="KO30"/>
      <c r="KP30"/>
      <c r="KQ30"/>
      <c r="KR30"/>
      <c r="KS30"/>
      <c r="KT30"/>
      <c r="KU30"/>
      <c r="KV30"/>
      <c r="KW30"/>
      <c r="KX30"/>
      <c r="KY30"/>
      <c r="KZ30"/>
      <c r="LA30"/>
      <c r="LB30"/>
      <c r="LC30"/>
      <c r="LD30"/>
      <c r="LE30"/>
      <c r="LF30"/>
      <c r="LG30"/>
      <c r="LH30"/>
      <c r="LI30"/>
      <c r="LJ30"/>
      <c r="LK30"/>
      <c r="LL30"/>
      <c r="LM30"/>
      <c r="LN30"/>
      <c r="LO30"/>
      <c r="LP30"/>
      <c r="LQ30"/>
      <c r="LR30"/>
      <c r="LS30"/>
      <c r="LT30"/>
      <c r="LU30"/>
      <c r="LV30"/>
      <c r="LW30"/>
      <c r="LX30"/>
      <c r="LY30"/>
      <c r="LZ30"/>
      <c r="MA30"/>
      <c r="MB30"/>
      <c r="MC30"/>
      <c r="MD30"/>
      <c r="ME30"/>
      <c r="MF30"/>
      <c r="MG30"/>
      <c r="MH30"/>
      <c r="MI30"/>
      <c r="MJ30"/>
      <c r="MK30"/>
      <c r="ML30"/>
    </row>
    <row r="31" spans="1:350" s="233" customFormat="1" ht="15" customHeight="1" x14ac:dyDescent="0.3">
      <c r="A31" s="77">
        <f>_xlfn.XLOOKUP(DADOS!$B$3,DADOS!$D$2:$DI$2,DADOS!$D31:$DI31,"",0)</f>
        <v>0</v>
      </c>
      <c r="B31" s="78">
        <f>_xlfn.XLOOKUP(DADOS!$B$3,DADOS!$E$112:$AS$112,DADOS!$E139:$AS139,"",0)</f>
        <v>0</v>
      </c>
      <c r="C31" s="295" t="s">
        <v>272</v>
      </c>
      <c r="D31" s="280"/>
      <c r="E31" s="78" cm="1">
        <f t="array" ref="E31">_xlfn.XLOOKUP(D$2,$D$112:$BF$112,$D139:BF139,0,0)</f>
        <v>0</v>
      </c>
      <c r="F31" s="280"/>
      <c r="G31" s="78">
        <f t="shared" si="47"/>
        <v>0</v>
      </c>
      <c r="H31" s="280"/>
      <c r="I31" s="78">
        <f t="shared" si="48"/>
        <v>0</v>
      </c>
      <c r="J31" s="280">
        <v>0</v>
      </c>
      <c r="K31" s="78">
        <f t="shared" si="49"/>
        <v>0</v>
      </c>
      <c r="L31" s="280"/>
      <c r="M31" s="78">
        <f t="shared" si="49"/>
        <v>0</v>
      </c>
      <c r="N31" s="280"/>
      <c r="O31" s="78">
        <f t="shared" si="50"/>
        <v>0</v>
      </c>
      <c r="P31" s="280"/>
      <c r="Q31" s="78">
        <f t="shared" si="51"/>
        <v>0</v>
      </c>
      <c r="R31" s="280"/>
      <c r="S31" s="78">
        <f t="shared" si="52"/>
        <v>0</v>
      </c>
      <c r="T31" s="280"/>
      <c r="U31" s="78">
        <f t="shared" si="53"/>
        <v>0</v>
      </c>
      <c r="V31" s="280"/>
      <c r="W31" s="78">
        <f t="shared" si="54"/>
        <v>0</v>
      </c>
      <c r="X31" s="280"/>
      <c r="Y31" s="78"/>
      <c r="Z31" s="280"/>
      <c r="AA31" s="78"/>
      <c r="AB31" s="280"/>
      <c r="AC31" s="78"/>
      <c r="AD31" s="280"/>
      <c r="AE31" s="78"/>
      <c r="AF31" s="280"/>
      <c r="AG31" s="78"/>
      <c r="AH31" s="280"/>
      <c r="AI31" s="78"/>
      <c r="AJ31" s="280"/>
      <c r="AK31" s="78"/>
      <c r="AL31" s="280"/>
      <c r="AM31" s="78"/>
      <c r="AN31" s="280"/>
      <c r="AO31" s="78"/>
      <c r="AP31" s="280"/>
      <c r="AQ31" s="78"/>
      <c r="AR31" s="280"/>
      <c r="AS31" s="78"/>
      <c r="AT31" s="280"/>
      <c r="AU31" s="78"/>
      <c r="AV31" s="280"/>
      <c r="AW31" s="78"/>
      <c r="AX31" s="280"/>
      <c r="AY31" s="78"/>
      <c r="AZ31" s="280"/>
      <c r="BA31" s="78"/>
      <c r="BB31" s="280"/>
      <c r="BC31" s="78"/>
      <c r="BD31" s="280"/>
      <c r="BE31" s="78"/>
      <c r="BF31" s="280"/>
      <c r="BG31" s="78"/>
      <c r="BH31" s="280"/>
      <c r="BI31" s="78"/>
      <c r="BJ31" s="280"/>
      <c r="BK31" s="78"/>
      <c r="BL31" s="280"/>
      <c r="BM31" s="78"/>
      <c r="BN31" s="280"/>
      <c r="BO31" s="78"/>
      <c r="BP31" s="280"/>
      <c r="BQ31" s="78"/>
      <c r="BR31" s="280"/>
      <c r="BS31" s="78"/>
      <c r="BT31" s="280"/>
      <c r="BU31" s="78"/>
      <c r="BV31" s="280"/>
      <c r="BW31" s="78"/>
      <c r="BX31" s="280"/>
      <c r="BY31" s="78"/>
      <c r="BZ31" s="280"/>
      <c r="CA31" s="78"/>
      <c r="CB31" s="280"/>
      <c r="CC31" s="78"/>
      <c r="CD31" s="280"/>
      <c r="CE31" s="78"/>
      <c r="CF31" s="280"/>
      <c r="CG31" s="78"/>
      <c r="CH31" s="280"/>
      <c r="CI31" s="78"/>
      <c r="CJ31" s="280"/>
      <c r="CK31" s="78"/>
      <c r="CL31" s="280"/>
      <c r="CM31" s="78"/>
      <c r="CN31" s="280"/>
      <c r="CO31" s="78"/>
      <c r="CP31" s="77"/>
      <c r="CQ31" s="78"/>
      <c r="CR31" s="77"/>
      <c r="CS31" s="78"/>
      <c r="CT31" s="77"/>
      <c r="CU31" s="78"/>
      <c r="CV31" s="77"/>
      <c r="CW31" s="78"/>
      <c r="CX31" s="77"/>
      <c r="CY31" s="78"/>
      <c r="CZ31" s="77"/>
      <c r="DA31" s="78"/>
      <c r="DB31" s="77"/>
      <c r="DC31" s="78"/>
      <c r="DD31" s="77"/>
      <c r="DE31" s="78"/>
      <c r="DF31" s="77"/>
      <c r="DG31" s="78"/>
      <c r="DH31" s="77"/>
      <c r="DI31" s="78"/>
      <c r="DJ31" s="77"/>
      <c r="DK31" s="78"/>
      <c r="DL31" s="77"/>
      <c r="DM31" s="78"/>
      <c r="DN31" s="77"/>
      <c r="DO31" s="78"/>
      <c r="DP31" s="77"/>
      <c r="DQ31" s="78"/>
      <c r="DR31" s="77"/>
      <c r="DS31" s="78"/>
      <c r="DT31" s="77"/>
      <c r="DU31" s="78"/>
      <c r="DV31" s="77"/>
      <c r="DW31" s="78"/>
      <c r="DX31" s="77"/>
      <c r="DY31" s="78"/>
      <c r="DZ31" s="77"/>
      <c r="EA31" s="78"/>
      <c r="EB31" s="77"/>
      <c r="EC31" s="78"/>
      <c r="ED31" s="77"/>
      <c r="EE31" s="78"/>
      <c r="EF31" s="77"/>
      <c r="EG31" s="78"/>
      <c r="EH31" s="77"/>
      <c r="EI31" s="78"/>
      <c r="EJ31" s="77"/>
      <c r="EK31" s="78"/>
      <c r="EL31" s="77"/>
      <c r="EM31" s="78"/>
      <c r="EN31" s="77"/>
      <c r="EO31" s="78"/>
      <c r="EP31" s="77"/>
      <c r="EQ31" s="78"/>
      <c r="ER31" s="77"/>
      <c r="ES31" s="78"/>
      <c r="ET31" s="77"/>
      <c r="EU31" s="78"/>
      <c r="EV31" s="77"/>
      <c r="EW31" s="78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  <c r="IZ31"/>
      <c r="JA31"/>
      <c r="JB31"/>
      <c r="JC31"/>
      <c r="JD31"/>
      <c r="JE31"/>
      <c r="JF31"/>
      <c r="JG31"/>
      <c r="JH31"/>
      <c r="JI31"/>
      <c r="JJ31"/>
      <c r="JK31"/>
      <c r="JL31"/>
      <c r="JM31"/>
      <c r="JN31"/>
      <c r="JO31"/>
      <c r="JP31"/>
      <c r="JQ31"/>
      <c r="JR31"/>
      <c r="JS31"/>
      <c r="JT31"/>
      <c r="JU31"/>
      <c r="JV31"/>
      <c r="JW31"/>
      <c r="JX31"/>
      <c r="JY31"/>
      <c r="JZ31"/>
      <c r="KA31"/>
      <c r="KB31"/>
      <c r="KC31"/>
      <c r="KD31"/>
      <c r="KE31"/>
      <c r="KF31"/>
      <c r="KG31"/>
      <c r="KH31"/>
      <c r="KI31"/>
      <c r="KJ31"/>
      <c r="KK31"/>
      <c r="KL31"/>
      <c r="KM31"/>
      <c r="KN31"/>
      <c r="KO31"/>
      <c r="KP31"/>
      <c r="KQ31"/>
      <c r="KR31"/>
      <c r="KS31"/>
      <c r="KT31"/>
      <c r="KU31"/>
      <c r="KV31"/>
      <c r="KW31"/>
      <c r="KX31"/>
      <c r="KY31"/>
      <c r="KZ31"/>
      <c r="LA31"/>
      <c r="LB31"/>
      <c r="LC31"/>
      <c r="LD31"/>
      <c r="LE31"/>
      <c r="LF31"/>
      <c r="LG31"/>
      <c r="LH31"/>
      <c r="LI31"/>
      <c r="LJ31"/>
      <c r="LK31"/>
      <c r="LL31"/>
      <c r="LM31"/>
      <c r="LN31"/>
      <c r="LO31"/>
      <c r="LP31"/>
      <c r="LQ31"/>
      <c r="LR31"/>
      <c r="LS31"/>
      <c r="LT31"/>
      <c r="LU31"/>
      <c r="LV31"/>
      <c r="LW31"/>
      <c r="LX31"/>
      <c r="LY31"/>
      <c r="LZ31"/>
      <c r="MA31"/>
      <c r="MB31"/>
      <c r="MC31"/>
      <c r="MD31"/>
      <c r="ME31"/>
      <c r="MF31"/>
      <c r="MG31"/>
      <c r="MH31"/>
      <c r="MI31"/>
      <c r="MJ31"/>
      <c r="MK31"/>
      <c r="ML31"/>
    </row>
    <row r="32" spans="1:350" s="233" customFormat="1" ht="15" customHeight="1" x14ac:dyDescent="0.3">
      <c r="A32" s="77">
        <f>_xlfn.XLOOKUP(DADOS!$B$3,DADOS!$D$2:$DI$2,DADOS!$D32:$DI32,"",0)</f>
        <v>0.03</v>
      </c>
      <c r="B32" s="78">
        <f>_xlfn.XLOOKUP(DADOS!$B$3,DADOS!$E$112:$AS$112,DADOS!$E140:$AS140,"",0)</f>
        <v>0</v>
      </c>
      <c r="C32" s="295" t="s">
        <v>273</v>
      </c>
      <c r="D32" s="280"/>
      <c r="E32" s="78" cm="1">
        <f t="array" ref="E32">_xlfn.XLOOKUP(D$2,$D$112:$BF$112,$D140:BF140,0,0)</f>
        <v>0</v>
      </c>
      <c r="F32" s="280"/>
      <c r="G32" s="78">
        <f t="shared" si="47"/>
        <v>0</v>
      </c>
      <c r="H32" s="280"/>
      <c r="I32" s="78">
        <f t="shared" si="48"/>
        <v>0</v>
      </c>
      <c r="J32" s="280">
        <v>0.03</v>
      </c>
      <c r="K32" s="78">
        <f t="shared" si="49"/>
        <v>0</v>
      </c>
      <c r="L32" s="280"/>
      <c r="M32" s="78">
        <f t="shared" si="49"/>
        <v>0</v>
      </c>
      <c r="N32" s="280"/>
      <c r="O32" s="78">
        <f t="shared" si="50"/>
        <v>0</v>
      </c>
      <c r="P32" s="280"/>
      <c r="Q32" s="78">
        <f t="shared" si="51"/>
        <v>0</v>
      </c>
      <c r="R32" s="280"/>
      <c r="S32" s="78">
        <f t="shared" si="52"/>
        <v>0</v>
      </c>
      <c r="T32" s="280"/>
      <c r="U32" s="78">
        <f t="shared" si="53"/>
        <v>0.04</v>
      </c>
      <c r="V32" s="280"/>
      <c r="W32" s="78">
        <f t="shared" si="54"/>
        <v>0.31</v>
      </c>
      <c r="X32" s="280"/>
      <c r="Y32" s="78"/>
      <c r="Z32" s="280"/>
      <c r="AA32" s="78"/>
      <c r="AB32" s="280"/>
      <c r="AC32" s="78"/>
      <c r="AD32" s="280"/>
      <c r="AE32" s="78"/>
      <c r="AF32" s="280"/>
      <c r="AG32" s="78"/>
      <c r="AH32" s="280"/>
      <c r="AI32" s="78"/>
      <c r="AJ32" s="280"/>
      <c r="AK32" s="78"/>
      <c r="AL32" s="280"/>
      <c r="AM32" s="78"/>
      <c r="AN32" s="280"/>
      <c r="AO32" s="78"/>
      <c r="AP32" s="280"/>
      <c r="AQ32" s="78"/>
      <c r="AR32" s="280"/>
      <c r="AS32" s="78"/>
      <c r="AT32" s="280"/>
      <c r="AU32" s="78"/>
      <c r="AV32" s="280"/>
      <c r="AW32" s="78"/>
      <c r="AX32" s="280"/>
      <c r="AY32" s="78"/>
      <c r="AZ32" s="280"/>
      <c r="BA32" s="78"/>
      <c r="BB32" s="280"/>
      <c r="BC32" s="78"/>
      <c r="BD32" s="280"/>
      <c r="BE32" s="78"/>
      <c r="BF32" s="280"/>
      <c r="BG32" s="78"/>
      <c r="BH32" s="280"/>
      <c r="BI32" s="78"/>
      <c r="BJ32" s="280"/>
      <c r="BK32" s="78"/>
      <c r="BL32" s="280"/>
      <c r="BM32" s="78"/>
      <c r="BN32" s="280"/>
      <c r="BO32" s="78"/>
      <c r="BP32" s="280"/>
      <c r="BQ32" s="78"/>
      <c r="BR32" s="280"/>
      <c r="BS32" s="78"/>
      <c r="BT32" s="280"/>
      <c r="BU32" s="78"/>
      <c r="BV32" s="280"/>
      <c r="BW32" s="78"/>
      <c r="BX32" s="280"/>
      <c r="BY32" s="78"/>
      <c r="BZ32" s="280"/>
      <c r="CA32" s="78"/>
      <c r="CB32" s="280"/>
      <c r="CC32" s="78"/>
      <c r="CD32" s="280"/>
      <c r="CE32" s="78"/>
      <c r="CF32" s="280"/>
      <c r="CG32" s="78"/>
      <c r="CH32" s="280"/>
      <c r="CI32" s="78"/>
      <c r="CJ32" s="280"/>
      <c r="CK32" s="78"/>
      <c r="CL32" s="280"/>
      <c r="CM32" s="78"/>
      <c r="CN32" s="280"/>
      <c r="CO32" s="78"/>
      <c r="CP32" s="77"/>
      <c r="CQ32" s="78"/>
      <c r="CR32" s="77"/>
      <c r="CS32" s="78"/>
      <c r="CT32" s="77"/>
      <c r="CU32" s="78"/>
      <c r="CV32" s="77"/>
      <c r="CW32" s="78"/>
      <c r="CX32" s="77"/>
      <c r="CY32" s="78"/>
      <c r="CZ32" s="77"/>
      <c r="DA32" s="78"/>
      <c r="DB32" s="77"/>
      <c r="DC32" s="78"/>
      <c r="DD32" s="77"/>
      <c r="DE32" s="78"/>
      <c r="DF32" s="77"/>
      <c r="DG32" s="78"/>
      <c r="DH32" s="77"/>
      <c r="DI32" s="78"/>
      <c r="DJ32" s="77"/>
      <c r="DK32" s="78"/>
      <c r="DL32" s="77"/>
      <c r="DM32" s="78"/>
      <c r="DN32" s="77"/>
      <c r="DO32" s="78"/>
      <c r="DP32" s="77"/>
      <c r="DQ32" s="78"/>
      <c r="DR32" s="77"/>
      <c r="DS32" s="78"/>
      <c r="DT32" s="77"/>
      <c r="DU32" s="78"/>
      <c r="DV32" s="77"/>
      <c r="DW32" s="78"/>
      <c r="DX32" s="77"/>
      <c r="DY32" s="78"/>
      <c r="DZ32" s="77"/>
      <c r="EA32" s="78"/>
      <c r="EB32" s="77"/>
      <c r="EC32" s="78"/>
      <c r="ED32" s="77"/>
      <c r="EE32" s="78"/>
      <c r="EF32" s="77"/>
      <c r="EG32" s="78"/>
      <c r="EH32" s="77"/>
      <c r="EI32" s="78"/>
      <c r="EJ32" s="77"/>
      <c r="EK32" s="78"/>
      <c r="EL32" s="77"/>
      <c r="EM32" s="78"/>
      <c r="EN32" s="77"/>
      <c r="EO32" s="78"/>
      <c r="EP32" s="77"/>
      <c r="EQ32" s="78"/>
      <c r="ER32" s="77"/>
      <c r="ES32" s="78"/>
      <c r="ET32" s="77"/>
      <c r="EU32" s="78"/>
      <c r="EV32" s="77"/>
      <c r="EW32" s="78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  <c r="IY32"/>
      <c r="IZ32"/>
      <c r="JA32"/>
      <c r="JB32"/>
      <c r="JC32"/>
      <c r="JD32"/>
      <c r="JE32"/>
      <c r="JF32"/>
      <c r="JG32"/>
      <c r="JH32"/>
      <c r="JI32"/>
      <c r="JJ32"/>
      <c r="JK32"/>
      <c r="JL32"/>
      <c r="JM32"/>
      <c r="JN32"/>
      <c r="JO32"/>
      <c r="JP32"/>
      <c r="JQ32"/>
      <c r="JR32"/>
      <c r="JS32"/>
      <c r="JT32"/>
      <c r="JU32"/>
      <c r="JV32"/>
      <c r="JW32"/>
      <c r="JX32"/>
      <c r="JY32"/>
      <c r="JZ32"/>
      <c r="KA32"/>
      <c r="KB32"/>
      <c r="KC32"/>
      <c r="KD32"/>
      <c r="KE32"/>
      <c r="KF32"/>
      <c r="KG32"/>
      <c r="KH32"/>
      <c r="KI32"/>
      <c r="KJ32"/>
      <c r="KK32"/>
      <c r="KL32"/>
      <c r="KM32"/>
      <c r="KN32"/>
      <c r="KO32"/>
      <c r="KP32"/>
      <c r="KQ32"/>
      <c r="KR32"/>
      <c r="KS32"/>
      <c r="KT32"/>
      <c r="KU32"/>
      <c r="KV32"/>
      <c r="KW32"/>
      <c r="KX32"/>
      <c r="KY32"/>
      <c r="KZ32"/>
      <c r="LA32"/>
      <c r="LB32"/>
      <c r="LC32"/>
      <c r="LD32"/>
      <c r="LE32"/>
      <c r="LF32"/>
      <c r="LG32"/>
      <c r="LH32"/>
      <c r="LI32"/>
      <c r="LJ32"/>
      <c r="LK32"/>
      <c r="LL32"/>
      <c r="LM32"/>
      <c r="LN32"/>
      <c r="LO32"/>
      <c r="LP32"/>
      <c r="LQ32"/>
      <c r="LR32"/>
      <c r="LS32"/>
      <c r="LT32"/>
      <c r="LU32"/>
      <c r="LV32"/>
      <c r="LW32"/>
      <c r="LX32"/>
      <c r="LY32"/>
      <c r="LZ32"/>
      <c r="MA32"/>
      <c r="MB32"/>
      <c r="MC32"/>
      <c r="MD32"/>
      <c r="ME32"/>
      <c r="MF32"/>
      <c r="MG32"/>
      <c r="MH32"/>
      <c r="MI32"/>
      <c r="MJ32"/>
      <c r="MK32"/>
      <c r="ML32"/>
    </row>
    <row r="33" spans="1:350" s="233" customFormat="1" ht="15" customHeight="1" x14ac:dyDescent="0.3">
      <c r="A33" s="77">
        <f>_xlfn.XLOOKUP(DADOS!$B$3,DADOS!$D$2:$DI$2,DADOS!$D33:$DI33,"",0)</f>
        <v>0</v>
      </c>
      <c r="B33" s="78">
        <f>_xlfn.XLOOKUP(DADOS!$B$3,DADOS!$E$112:$AS$112,DADOS!$E141:$AS141,"",0)</f>
        <v>0</v>
      </c>
      <c r="C33" s="295" t="s">
        <v>246</v>
      </c>
      <c r="D33" s="280"/>
      <c r="E33" s="78" cm="1">
        <f t="array" ref="E33">_xlfn.XLOOKUP(D$2,$D$112:$BF$112,$D141:BF141,0,0)</f>
        <v>0</v>
      </c>
      <c r="F33" s="280"/>
      <c r="G33" s="78">
        <f t="shared" si="47"/>
        <v>0</v>
      </c>
      <c r="H33" s="280"/>
      <c r="I33" s="78">
        <f t="shared" si="48"/>
        <v>0</v>
      </c>
      <c r="J33" s="280">
        <v>0</v>
      </c>
      <c r="K33" s="78">
        <f t="shared" si="49"/>
        <v>0</v>
      </c>
      <c r="L33" s="280"/>
      <c r="M33" s="78">
        <f t="shared" si="49"/>
        <v>0</v>
      </c>
      <c r="N33" s="280"/>
      <c r="O33" s="78">
        <f t="shared" si="50"/>
        <v>0</v>
      </c>
      <c r="P33" s="280"/>
      <c r="Q33" s="78">
        <f t="shared" si="51"/>
        <v>0</v>
      </c>
      <c r="R33" s="280"/>
      <c r="S33" s="78">
        <f t="shared" si="52"/>
        <v>0</v>
      </c>
      <c r="T33" s="280"/>
      <c r="U33" s="78">
        <f t="shared" si="53"/>
        <v>0</v>
      </c>
      <c r="V33" s="280"/>
      <c r="W33" s="78">
        <f t="shared" si="54"/>
        <v>0</v>
      </c>
      <c r="X33" s="280"/>
      <c r="Y33" s="78"/>
      <c r="Z33" s="280"/>
      <c r="AA33" s="78"/>
      <c r="AB33" s="280"/>
      <c r="AC33" s="78"/>
      <c r="AD33" s="280"/>
      <c r="AE33" s="78"/>
      <c r="AF33" s="280"/>
      <c r="AG33" s="78"/>
      <c r="AH33" s="280"/>
      <c r="AI33" s="78"/>
      <c r="AJ33" s="280"/>
      <c r="AK33" s="78"/>
      <c r="AL33" s="280"/>
      <c r="AM33" s="78"/>
      <c r="AN33" s="280"/>
      <c r="AO33" s="78"/>
      <c r="AP33" s="280"/>
      <c r="AQ33" s="78"/>
      <c r="AR33" s="280"/>
      <c r="AS33" s="78"/>
      <c r="AT33" s="280"/>
      <c r="AU33" s="78"/>
      <c r="AV33" s="280"/>
      <c r="AW33" s="78"/>
      <c r="AX33" s="280"/>
      <c r="AY33" s="78"/>
      <c r="AZ33" s="280"/>
      <c r="BA33" s="78"/>
      <c r="BB33" s="280"/>
      <c r="BC33" s="78"/>
      <c r="BD33" s="280"/>
      <c r="BE33" s="78"/>
      <c r="BF33" s="280"/>
      <c r="BG33" s="78"/>
      <c r="BH33" s="280"/>
      <c r="BI33" s="78"/>
      <c r="BJ33" s="280"/>
      <c r="BK33" s="78"/>
      <c r="BL33" s="280"/>
      <c r="BM33" s="78"/>
      <c r="BN33" s="280"/>
      <c r="BO33" s="78"/>
      <c r="BP33" s="280"/>
      <c r="BQ33" s="78"/>
      <c r="BR33" s="280"/>
      <c r="BS33" s="78"/>
      <c r="BT33" s="280"/>
      <c r="BU33" s="78"/>
      <c r="BV33" s="280"/>
      <c r="BW33" s="78"/>
      <c r="BX33" s="280"/>
      <c r="BY33" s="78"/>
      <c r="BZ33" s="280"/>
      <c r="CA33" s="78"/>
      <c r="CB33" s="280"/>
      <c r="CC33" s="78"/>
      <c r="CD33" s="280"/>
      <c r="CE33" s="78"/>
      <c r="CF33" s="280"/>
      <c r="CG33" s="78"/>
      <c r="CH33" s="280"/>
      <c r="CI33" s="78"/>
      <c r="CJ33" s="280"/>
      <c r="CK33" s="78"/>
      <c r="CL33" s="280"/>
      <c r="CM33" s="78"/>
      <c r="CN33" s="280"/>
      <c r="CO33" s="78"/>
      <c r="CP33" s="77"/>
      <c r="CQ33" s="78"/>
      <c r="CR33" s="77"/>
      <c r="CS33" s="78"/>
      <c r="CT33" s="77"/>
      <c r="CU33" s="78"/>
      <c r="CV33" s="77"/>
      <c r="CW33" s="78"/>
      <c r="CX33" s="77"/>
      <c r="CY33" s="78"/>
      <c r="CZ33" s="77"/>
      <c r="DA33" s="78"/>
      <c r="DB33" s="77"/>
      <c r="DC33" s="78"/>
      <c r="DD33" s="77"/>
      <c r="DE33" s="78"/>
      <c r="DF33" s="77"/>
      <c r="DG33" s="78"/>
      <c r="DH33" s="77"/>
      <c r="DI33" s="78"/>
      <c r="DJ33" s="77"/>
      <c r="DK33" s="78"/>
      <c r="DL33" s="77"/>
      <c r="DM33" s="78"/>
      <c r="DN33" s="77"/>
      <c r="DO33" s="78"/>
      <c r="DP33" s="77"/>
      <c r="DQ33" s="78"/>
      <c r="DR33" s="77"/>
      <c r="DS33" s="78"/>
      <c r="DT33" s="77"/>
      <c r="DU33" s="78"/>
      <c r="DV33" s="77"/>
      <c r="DW33" s="78"/>
      <c r="DX33" s="77"/>
      <c r="DY33" s="78"/>
      <c r="DZ33" s="77"/>
      <c r="EA33" s="78"/>
      <c r="EB33" s="77"/>
      <c r="EC33" s="78"/>
      <c r="ED33" s="77"/>
      <c r="EE33" s="78"/>
      <c r="EF33" s="77"/>
      <c r="EG33" s="78"/>
      <c r="EH33" s="77"/>
      <c r="EI33" s="78"/>
      <c r="EJ33" s="77"/>
      <c r="EK33" s="78"/>
      <c r="EL33" s="77"/>
      <c r="EM33" s="78"/>
      <c r="EN33" s="77"/>
      <c r="EO33" s="78"/>
      <c r="EP33" s="77"/>
      <c r="EQ33" s="78"/>
      <c r="ER33" s="77"/>
      <c r="ES33" s="78"/>
      <c r="ET33" s="77"/>
      <c r="EU33" s="78"/>
      <c r="EV33" s="77"/>
      <c r="EW33" s="78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  <c r="IW33"/>
      <c r="IX33"/>
      <c r="IY33"/>
      <c r="IZ33"/>
      <c r="JA33"/>
      <c r="JB33"/>
      <c r="JC33"/>
      <c r="JD33"/>
      <c r="JE33"/>
      <c r="JF33"/>
      <c r="JG33"/>
      <c r="JH33"/>
      <c r="JI33"/>
      <c r="JJ33"/>
      <c r="JK33"/>
      <c r="JL33"/>
      <c r="JM33"/>
      <c r="JN33"/>
      <c r="JO33"/>
      <c r="JP33"/>
      <c r="JQ33"/>
      <c r="JR33"/>
      <c r="JS33"/>
      <c r="JT33"/>
      <c r="JU33"/>
      <c r="JV33"/>
      <c r="JW33"/>
      <c r="JX33"/>
      <c r="JY33"/>
      <c r="JZ33"/>
      <c r="KA33"/>
      <c r="KB33"/>
      <c r="KC33"/>
      <c r="KD33"/>
      <c r="KE33"/>
      <c r="KF33"/>
      <c r="KG33"/>
      <c r="KH33"/>
      <c r="KI33"/>
      <c r="KJ33"/>
      <c r="KK33"/>
      <c r="KL33"/>
      <c r="KM33"/>
      <c r="KN33"/>
      <c r="KO33"/>
      <c r="KP33"/>
      <c r="KQ33"/>
      <c r="KR33"/>
      <c r="KS33"/>
      <c r="KT33"/>
      <c r="KU33"/>
      <c r="KV33"/>
      <c r="KW33"/>
      <c r="KX33"/>
      <c r="KY33"/>
      <c r="KZ33"/>
      <c r="LA33"/>
      <c r="LB33"/>
      <c r="LC33"/>
      <c r="LD33"/>
      <c r="LE33"/>
      <c r="LF33"/>
      <c r="LG33"/>
      <c r="LH33"/>
      <c r="LI33"/>
      <c r="LJ33"/>
      <c r="LK33"/>
      <c r="LL33"/>
      <c r="LM33"/>
      <c r="LN33"/>
      <c r="LO33"/>
      <c r="LP33"/>
      <c r="LQ33"/>
      <c r="LR33"/>
      <c r="LS33"/>
      <c r="LT33"/>
      <c r="LU33"/>
      <c r="LV33"/>
      <c r="LW33"/>
      <c r="LX33"/>
      <c r="LY33"/>
      <c r="LZ33"/>
      <c r="MA33"/>
      <c r="MB33"/>
      <c r="MC33"/>
      <c r="MD33"/>
      <c r="ME33"/>
      <c r="MF33"/>
      <c r="MG33"/>
      <c r="MH33"/>
      <c r="MI33"/>
      <c r="MJ33"/>
      <c r="MK33"/>
      <c r="ML33"/>
    </row>
    <row r="34" spans="1:350" s="233" customFormat="1" ht="15" customHeight="1" x14ac:dyDescent="0.3">
      <c r="A34" s="77">
        <f>_xlfn.XLOOKUP(DADOS!$B$3,DADOS!$D$2:$DI$2,DADOS!$D34:$DI34,"",0)</f>
        <v>0</v>
      </c>
      <c r="B34" s="78">
        <f>_xlfn.XLOOKUP(DADOS!$B$3,DADOS!$E$112:$AS$112,DADOS!$E142:$AS142,"",0)</f>
        <v>0</v>
      </c>
      <c r="C34" s="295" t="s">
        <v>247</v>
      </c>
      <c r="D34" s="280"/>
      <c r="E34" s="78" cm="1">
        <f t="array" ref="E34">_xlfn.XLOOKUP(D$2,$D$112:$BF$112,$D142:BF142,0,0)</f>
        <v>0</v>
      </c>
      <c r="F34" s="280"/>
      <c r="G34" s="78">
        <f t="shared" si="47"/>
        <v>0</v>
      </c>
      <c r="H34" s="280"/>
      <c r="I34" s="78">
        <f t="shared" si="48"/>
        <v>0</v>
      </c>
      <c r="J34" s="280">
        <v>0</v>
      </c>
      <c r="K34" s="78">
        <f t="shared" si="49"/>
        <v>0</v>
      </c>
      <c r="L34" s="280"/>
      <c r="M34" s="78">
        <f t="shared" si="49"/>
        <v>0</v>
      </c>
      <c r="N34" s="280"/>
      <c r="O34" s="78">
        <f t="shared" si="50"/>
        <v>0</v>
      </c>
      <c r="P34" s="280"/>
      <c r="Q34" s="78">
        <f t="shared" si="51"/>
        <v>0</v>
      </c>
      <c r="R34" s="280"/>
      <c r="S34" s="78">
        <f t="shared" si="52"/>
        <v>0</v>
      </c>
      <c r="T34" s="280"/>
      <c r="U34" s="78">
        <f t="shared" si="53"/>
        <v>0</v>
      </c>
      <c r="V34" s="280"/>
      <c r="W34" s="78">
        <f t="shared" si="54"/>
        <v>0</v>
      </c>
      <c r="X34" s="280"/>
      <c r="Y34" s="78"/>
      <c r="Z34" s="280"/>
      <c r="AA34" s="78"/>
      <c r="AB34" s="280"/>
      <c r="AC34" s="78"/>
      <c r="AD34" s="280"/>
      <c r="AE34" s="78"/>
      <c r="AF34" s="280"/>
      <c r="AG34" s="78"/>
      <c r="AH34" s="280"/>
      <c r="AI34" s="78"/>
      <c r="AJ34" s="280"/>
      <c r="AK34" s="78"/>
      <c r="AL34" s="280"/>
      <c r="AM34" s="78"/>
      <c r="AN34" s="280"/>
      <c r="AO34" s="78"/>
      <c r="AP34" s="280"/>
      <c r="AQ34" s="78"/>
      <c r="AR34" s="280"/>
      <c r="AS34" s="78"/>
      <c r="AT34" s="280"/>
      <c r="AU34" s="78"/>
      <c r="AV34" s="280"/>
      <c r="AW34" s="78"/>
      <c r="AX34" s="280"/>
      <c r="AY34" s="78"/>
      <c r="AZ34" s="280"/>
      <c r="BA34" s="78"/>
      <c r="BB34" s="280"/>
      <c r="BC34" s="78"/>
      <c r="BD34" s="280"/>
      <c r="BE34" s="78"/>
      <c r="BF34" s="280"/>
      <c r="BG34" s="78"/>
      <c r="BH34" s="280"/>
      <c r="BI34" s="78"/>
      <c r="BJ34" s="280"/>
      <c r="BK34" s="78"/>
      <c r="BL34" s="280"/>
      <c r="BM34" s="78"/>
      <c r="BN34" s="280"/>
      <c r="BO34" s="78"/>
      <c r="BP34" s="280"/>
      <c r="BQ34" s="78"/>
      <c r="BR34" s="280"/>
      <c r="BS34" s="78"/>
      <c r="BT34" s="280"/>
      <c r="BU34" s="78"/>
      <c r="BV34" s="280"/>
      <c r="BW34" s="78"/>
      <c r="BX34" s="280"/>
      <c r="BY34" s="78"/>
      <c r="BZ34" s="280"/>
      <c r="CA34" s="78"/>
      <c r="CB34" s="280"/>
      <c r="CC34" s="78"/>
      <c r="CD34" s="280"/>
      <c r="CE34" s="78"/>
      <c r="CF34" s="280"/>
      <c r="CG34" s="78"/>
      <c r="CH34" s="280"/>
      <c r="CI34" s="78"/>
      <c r="CJ34" s="280"/>
      <c r="CK34" s="78"/>
      <c r="CL34" s="280"/>
      <c r="CM34" s="78"/>
      <c r="CN34" s="280"/>
      <c r="CO34" s="78"/>
      <c r="CP34" s="77"/>
      <c r="CQ34" s="78"/>
      <c r="CR34" s="77"/>
      <c r="CS34" s="78"/>
      <c r="CT34" s="77"/>
      <c r="CU34" s="78"/>
      <c r="CV34" s="77"/>
      <c r="CW34" s="78"/>
      <c r="CX34" s="77"/>
      <c r="CY34" s="78"/>
      <c r="CZ34" s="77"/>
      <c r="DA34" s="78"/>
      <c r="DB34" s="77"/>
      <c r="DC34" s="78"/>
      <c r="DD34" s="77"/>
      <c r="DE34" s="78"/>
      <c r="DF34" s="77"/>
      <c r="DG34" s="78"/>
      <c r="DH34" s="77"/>
      <c r="DI34" s="78"/>
      <c r="DJ34" s="77"/>
      <c r="DK34" s="78"/>
      <c r="DL34" s="77"/>
      <c r="DM34" s="78"/>
      <c r="DN34" s="77"/>
      <c r="DO34" s="78"/>
      <c r="DP34" s="77"/>
      <c r="DQ34" s="78"/>
      <c r="DR34" s="77"/>
      <c r="DS34" s="78"/>
      <c r="DT34" s="77"/>
      <c r="DU34" s="78"/>
      <c r="DV34" s="77"/>
      <c r="DW34" s="78"/>
      <c r="DX34" s="77"/>
      <c r="DY34" s="78"/>
      <c r="DZ34" s="77"/>
      <c r="EA34" s="78"/>
      <c r="EB34" s="77"/>
      <c r="EC34" s="78"/>
      <c r="ED34" s="77"/>
      <c r="EE34" s="78"/>
      <c r="EF34" s="77"/>
      <c r="EG34" s="78"/>
      <c r="EH34" s="77"/>
      <c r="EI34" s="78"/>
      <c r="EJ34" s="77"/>
      <c r="EK34" s="78"/>
      <c r="EL34" s="77"/>
      <c r="EM34" s="78"/>
      <c r="EN34" s="77"/>
      <c r="EO34" s="78"/>
      <c r="EP34" s="77"/>
      <c r="EQ34" s="78"/>
      <c r="ER34" s="77"/>
      <c r="ES34" s="78"/>
      <c r="ET34" s="77"/>
      <c r="EU34" s="78"/>
      <c r="EV34" s="77"/>
      <c r="EW34" s="78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  <c r="IW34"/>
      <c r="IX34"/>
      <c r="IY34"/>
      <c r="IZ34"/>
      <c r="JA34"/>
      <c r="JB34"/>
      <c r="JC34"/>
      <c r="JD34"/>
      <c r="JE34"/>
      <c r="JF34"/>
      <c r="JG34"/>
      <c r="JH34"/>
      <c r="JI34"/>
      <c r="JJ34"/>
      <c r="JK34"/>
      <c r="JL34"/>
      <c r="JM34"/>
      <c r="JN34"/>
      <c r="JO34"/>
      <c r="JP34"/>
      <c r="JQ34"/>
      <c r="JR34"/>
      <c r="JS34"/>
      <c r="JT34"/>
      <c r="JU34"/>
      <c r="JV34"/>
      <c r="JW34"/>
      <c r="JX34"/>
      <c r="JY34"/>
      <c r="JZ34"/>
      <c r="KA34"/>
      <c r="KB34"/>
      <c r="KC34"/>
      <c r="KD34"/>
      <c r="KE34"/>
      <c r="KF34"/>
      <c r="KG34"/>
      <c r="KH34"/>
      <c r="KI34"/>
      <c r="KJ34"/>
      <c r="KK34"/>
      <c r="KL34"/>
      <c r="KM34"/>
      <c r="KN34"/>
      <c r="KO34"/>
      <c r="KP34"/>
      <c r="KQ34"/>
      <c r="KR34"/>
      <c r="KS34"/>
      <c r="KT34"/>
      <c r="KU34"/>
      <c r="KV34"/>
      <c r="KW34"/>
      <c r="KX34"/>
      <c r="KY34"/>
      <c r="KZ34"/>
      <c r="LA34"/>
      <c r="LB34"/>
      <c r="LC34"/>
      <c r="LD34"/>
      <c r="LE34"/>
      <c r="LF34"/>
      <c r="LG34"/>
      <c r="LH34"/>
      <c r="LI34"/>
      <c r="LJ34"/>
      <c r="LK34"/>
      <c r="LL34"/>
      <c r="LM34"/>
      <c r="LN34"/>
      <c r="LO34"/>
      <c r="LP34"/>
      <c r="LQ34"/>
      <c r="LR34"/>
      <c r="LS34"/>
      <c r="LT34"/>
      <c r="LU34"/>
      <c r="LV34"/>
      <c r="LW34"/>
      <c r="LX34"/>
      <c r="LY34"/>
      <c r="LZ34"/>
      <c r="MA34"/>
      <c r="MB34"/>
      <c r="MC34"/>
      <c r="MD34"/>
      <c r="ME34"/>
      <c r="MF34"/>
      <c r="MG34"/>
      <c r="MH34"/>
      <c r="MI34"/>
      <c r="MJ34"/>
      <c r="MK34"/>
      <c r="ML34"/>
    </row>
    <row r="35" spans="1:350" s="233" customFormat="1" ht="15" customHeight="1" x14ac:dyDescent="0.3">
      <c r="A35" s="77">
        <f>_xlfn.XLOOKUP(DADOS!$B$3,DADOS!$D$2:$DI$2,DADOS!$D35:$DI35,"",0)</f>
        <v>0</v>
      </c>
      <c r="B35" s="78">
        <f>_xlfn.XLOOKUP(DADOS!$B$3,DADOS!$E$112:$AS$112,DADOS!$E143:$AS143,"",0)</f>
        <v>0</v>
      </c>
      <c r="C35" s="295" t="s">
        <v>248</v>
      </c>
      <c r="D35" s="280"/>
      <c r="E35" s="78" cm="1">
        <f t="array" ref="E35">_xlfn.XLOOKUP(D$2,$D$112:$BF$112,$D143:BF143,0,0)</f>
        <v>0</v>
      </c>
      <c r="F35" s="280"/>
      <c r="G35" s="78">
        <f t="shared" si="47"/>
        <v>0</v>
      </c>
      <c r="H35" s="280"/>
      <c r="I35" s="78">
        <f t="shared" si="48"/>
        <v>0</v>
      </c>
      <c r="J35" s="280">
        <v>0</v>
      </c>
      <c r="K35" s="78">
        <f t="shared" si="49"/>
        <v>0</v>
      </c>
      <c r="L35" s="280"/>
      <c r="M35" s="78">
        <f t="shared" si="49"/>
        <v>0</v>
      </c>
      <c r="N35" s="280"/>
      <c r="O35" s="78">
        <f t="shared" si="50"/>
        <v>0</v>
      </c>
      <c r="P35" s="280"/>
      <c r="Q35" s="78">
        <f t="shared" si="51"/>
        <v>0</v>
      </c>
      <c r="R35" s="280"/>
      <c r="S35" s="78">
        <f t="shared" si="52"/>
        <v>0</v>
      </c>
      <c r="T35" s="280"/>
      <c r="U35" s="78">
        <f t="shared" si="53"/>
        <v>0</v>
      </c>
      <c r="V35" s="280"/>
      <c r="W35" s="78">
        <f t="shared" si="54"/>
        <v>0</v>
      </c>
      <c r="X35" s="280"/>
      <c r="Y35" s="78"/>
      <c r="Z35" s="280"/>
      <c r="AA35" s="78"/>
      <c r="AB35" s="280"/>
      <c r="AC35" s="78"/>
      <c r="AD35" s="280"/>
      <c r="AE35" s="78"/>
      <c r="AF35" s="280"/>
      <c r="AG35" s="78"/>
      <c r="AH35" s="280"/>
      <c r="AI35" s="78"/>
      <c r="AJ35" s="280"/>
      <c r="AK35" s="78"/>
      <c r="AL35" s="280"/>
      <c r="AM35" s="78"/>
      <c r="AN35" s="280"/>
      <c r="AO35" s="78"/>
      <c r="AP35" s="280"/>
      <c r="AQ35" s="78"/>
      <c r="AR35" s="280"/>
      <c r="AS35" s="78"/>
      <c r="AT35" s="280"/>
      <c r="AU35" s="78"/>
      <c r="AV35" s="280"/>
      <c r="AW35" s="78"/>
      <c r="AX35" s="280"/>
      <c r="AY35" s="78"/>
      <c r="AZ35" s="280"/>
      <c r="BA35" s="78"/>
      <c r="BB35" s="280"/>
      <c r="BC35" s="78"/>
      <c r="BD35" s="280"/>
      <c r="BE35" s="78"/>
      <c r="BF35" s="280"/>
      <c r="BG35" s="78"/>
      <c r="BH35" s="280"/>
      <c r="BI35" s="78"/>
      <c r="BJ35" s="280"/>
      <c r="BK35" s="78"/>
      <c r="BL35" s="280"/>
      <c r="BM35" s="78"/>
      <c r="BN35" s="280"/>
      <c r="BO35" s="78"/>
      <c r="BP35" s="280"/>
      <c r="BQ35" s="78"/>
      <c r="BR35" s="280"/>
      <c r="BS35" s="78"/>
      <c r="BT35" s="280"/>
      <c r="BU35" s="78"/>
      <c r="BV35" s="280"/>
      <c r="BW35" s="78"/>
      <c r="BX35" s="280"/>
      <c r="BY35" s="78"/>
      <c r="BZ35" s="280"/>
      <c r="CA35" s="78"/>
      <c r="CB35" s="280"/>
      <c r="CC35" s="78"/>
      <c r="CD35" s="280"/>
      <c r="CE35" s="78"/>
      <c r="CF35" s="280"/>
      <c r="CG35" s="78"/>
      <c r="CH35" s="280"/>
      <c r="CI35" s="78"/>
      <c r="CJ35" s="280"/>
      <c r="CK35" s="78"/>
      <c r="CL35" s="280"/>
      <c r="CM35" s="78"/>
      <c r="CN35" s="280"/>
      <c r="CO35" s="78"/>
      <c r="CP35" s="77"/>
      <c r="CQ35" s="78"/>
      <c r="CR35" s="77"/>
      <c r="CS35" s="78"/>
      <c r="CT35" s="77"/>
      <c r="CU35" s="78"/>
      <c r="CV35" s="77"/>
      <c r="CW35" s="78"/>
      <c r="CX35" s="77"/>
      <c r="CY35" s="78"/>
      <c r="CZ35" s="77"/>
      <c r="DA35" s="78"/>
      <c r="DB35" s="77"/>
      <c r="DC35" s="78"/>
      <c r="DD35" s="77"/>
      <c r="DE35" s="78"/>
      <c r="DF35" s="77"/>
      <c r="DG35" s="78"/>
      <c r="DH35" s="77"/>
      <c r="DI35" s="78"/>
      <c r="DJ35" s="77"/>
      <c r="DK35" s="78"/>
      <c r="DL35" s="77"/>
      <c r="DM35" s="78"/>
      <c r="DN35" s="77"/>
      <c r="DO35" s="78"/>
      <c r="DP35" s="77"/>
      <c r="DQ35" s="78"/>
      <c r="DR35" s="77"/>
      <c r="DS35" s="78"/>
      <c r="DT35" s="77"/>
      <c r="DU35" s="78"/>
      <c r="DV35" s="77"/>
      <c r="DW35" s="78"/>
      <c r="DX35" s="77"/>
      <c r="DY35" s="78"/>
      <c r="DZ35" s="77"/>
      <c r="EA35" s="78"/>
      <c r="EB35" s="77"/>
      <c r="EC35" s="78"/>
      <c r="ED35" s="77"/>
      <c r="EE35" s="78"/>
      <c r="EF35" s="77"/>
      <c r="EG35" s="78"/>
      <c r="EH35" s="77"/>
      <c r="EI35" s="78"/>
      <c r="EJ35" s="77"/>
      <c r="EK35" s="78"/>
      <c r="EL35" s="77"/>
      <c r="EM35" s="78"/>
      <c r="EN35" s="77"/>
      <c r="EO35" s="78"/>
      <c r="EP35" s="77"/>
      <c r="EQ35" s="78"/>
      <c r="ER35" s="77"/>
      <c r="ES35" s="78"/>
      <c r="ET35" s="77"/>
      <c r="EU35" s="78"/>
      <c r="EV35" s="77"/>
      <c r="EW35" s="78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  <c r="IW35"/>
      <c r="IX35"/>
      <c r="IY35"/>
      <c r="IZ35"/>
      <c r="JA35"/>
      <c r="JB35"/>
      <c r="JC35"/>
      <c r="JD35"/>
      <c r="JE35"/>
      <c r="JF35"/>
      <c r="JG35"/>
      <c r="JH35"/>
      <c r="JI35"/>
      <c r="JJ35"/>
      <c r="JK35"/>
      <c r="JL35"/>
      <c r="JM35"/>
      <c r="JN35"/>
      <c r="JO35"/>
      <c r="JP35"/>
      <c r="JQ35"/>
      <c r="JR35"/>
      <c r="JS35"/>
      <c r="JT35"/>
      <c r="JU35"/>
      <c r="JV35"/>
      <c r="JW35"/>
      <c r="JX35"/>
      <c r="JY35"/>
      <c r="JZ35"/>
      <c r="KA35"/>
      <c r="KB35"/>
      <c r="KC35"/>
      <c r="KD35"/>
      <c r="KE35"/>
      <c r="KF35"/>
      <c r="KG35"/>
      <c r="KH35"/>
      <c r="KI35"/>
      <c r="KJ35"/>
      <c r="KK35"/>
      <c r="KL35"/>
      <c r="KM35"/>
      <c r="KN35"/>
      <c r="KO35"/>
      <c r="KP35"/>
      <c r="KQ35"/>
      <c r="KR35"/>
      <c r="KS35"/>
      <c r="KT35"/>
      <c r="KU35"/>
      <c r="KV35"/>
      <c r="KW35"/>
      <c r="KX35"/>
      <c r="KY35"/>
      <c r="KZ35"/>
      <c r="LA35"/>
      <c r="LB35"/>
      <c r="LC35"/>
      <c r="LD35"/>
      <c r="LE35"/>
      <c r="LF35"/>
      <c r="LG35"/>
      <c r="LH35"/>
      <c r="LI35"/>
      <c r="LJ35"/>
      <c r="LK35"/>
      <c r="LL35"/>
      <c r="LM35"/>
      <c r="LN35"/>
      <c r="LO35"/>
      <c r="LP35"/>
      <c r="LQ35"/>
      <c r="LR35"/>
      <c r="LS35"/>
      <c r="LT35"/>
      <c r="LU35"/>
      <c r="LV35"/>
      <c r="LW35"/>
      <c r="LX35"/>
      <c r="LY35"/>
      <c r="LZ35"/>
      <c r="MA35"/>
      <c r="MB35"/>
      <c r="MC35"/>
      <c r="MD35"/>
      <c r="ME35"/>
      <c r="MF35"/>
      <c r="MG35"/>
      <c r="MH35"/>
      <c r="MI35"/>
      <c r="MJ35"/>
      <c r="MK35"/>
      <c r="ML35"/>
    </row>
    <row r="36" spans="1:350" s="233" customFormat="1" ht="15" customHeight="1" x14ac:dyDescent="0.3">
      <c r="A36" s="77">
        <f>_xlfn.XLOOKUP(DADOS!$B$3,DADOS!$D$2:$DI$2,DADOS!$D36:$DI36,"",0)</f>
        <v>0</v>
      </c>
      <c r="B36" s="78">
        <f>_xlfn.XLOOKUP(DADOS!$B$3,DADOS!$E$112:$AS$112,DADOS!$E144:$AS144,"",0)</f>
        <v>0</v>
      </c>
      <c r="C36" s="295" t="s">
        <v>249</v>
      </c>
      <c r="D36" s="280"/>
      <c r="E36" s="78" cm="1">
        <f t="array" ref="E36">_xlfn.XLOOKUP(D$2,$D$112:$BF$112,$D144:BF144,0,0)</f>
        <v>0</v>
      </c>
      <c r="F36" s="280"/>
      <c r="G36" s="78">
        <f t="shared" si="47"/>
        <v>0</v>
      </c>
      <c r="H36" s="280"/>
      <c r="I36" s="78">
        <f t="shared" si="48"/>
        <v>0</v>
      </c>
      <c r="J36" s="280">
        <v>0</v>
      </c>
      <c r="K36" s="78">
        <f t="shared" si="49"/>
        <v>0</v>
      </c>
      <c r="L36" s="280"/>
      <c r="M36" s="78">
        <f t="shared" si="49"/>
        <v>0</v>
      </c>
      <c r="N36" s="280"/>
      <c r="O36" s="78">
        <f t="shared" si="50"/>
        <v>0</v>
      </c>
      <c r="P36" s="280"/>
      <c r="Q36" s="78">
        <f t="shared" si="51"/>
        <v>0</v>
      </c>
      <c r="R36" s="280"/>
      <c r="S36" s="78">
        <f t="shared" si="52"/>
        <v>0</v>
      </c>
      <c r="T36" s="280"/>
      <c r="U36" s="78">
        <f t="shared" si="53"/>
        <v>0</v>
      </c>
      <c r="V36" s="280"/>
      <c r="W36" s="78">
        <f t="shared" si="54"/>
        <v>0</v>
      </c>
      <c r="X36" s="280"/>
      <c r="Y36" s="78"/>
      <c r="Z36" s="280"/>
      <c r="AA36" s="78"/>
      <c r="AB36" s="280"/>
      <c r="AC36" s="78"/>
      <c r="AD36" s="280"/>
      <c r="AE36" s="78"/>
      <c r="AF36" s="280"/>
      <c r="AG36" s="78"/>
      <c r="AH36" s="280"/>
      <c r="AI36" s="78"/>
      <c r="AJ36" s="280"/>
      <c r="AK36" s="78"/>
      <c r="AL36" s="280"/>
      <c r="AM36" s="78"/>
      <c r="AN36" s="280"/>
      <c r="AO36" s="78"/>
      <c r="AP36" s="280"/>
      <c r="AQ36" s="78"/>
      <c r="AR36" s="280"/>
      <c r="AS36" s="78"/>
      <c r="AT36" s="280"/>
      <c r="AU36" s="78"/>
      <c r="AV36" s="280"/>
      <c r="AW36" s="78"/>
      <c r="AX36" s="280"/>
      <c r="AY36" s="78"/>
      <c r="AZ36" s="280"/>
      <c r="BA36" s="78"/>
      <c r="BB36" s="280"/>
      <c r="BC36" s="78"/>
      <c r="BD36" s="280"/>
      <c r="BE36" s="78"/>
      <c r="BF36" s="280"/>
      <c r="BG36" s="78"/>
      <c r="BH36" s="280"/>
      <c r="BI36" s="78"/>
      <c r="BJ36" s="280"/>
      <c r="BK36" s="78"/>
      <c r="BL36" s="280"/>
      <c r="BM36" s="78"/>
      <c r="BN36" s="280"/>
      <c r="BO36" s="78"/>
      <c r="BP36" s="280"/>
      <c r="BQ36" s="78"/>
      <c r="BR36" s="280"/>
      <c r="BS36" s="78"/>
      <c r="BT36" s="280"/>
      <c r="BU36" s="78"/>
      <c r="BV36" s="280"/>
      <c r="BW36" s="78"/>
      <c r="BX36" s="280"/>
      <c r="BY36" s="78"/>
      <c r="BZ36" s="280"/>
      <c r="CA36" s="78"/>
      <c r="CB36" s="280"/>
      <c r="CC36" s="78"/>
      <c r="CD36" s="280"/>
      <c r="CE36" s="78"/>
      <c r="CF36" s="280"/>
      <c r="CG36" s="78"/>
      <c r="CH36" s="280"/>
      <c r="CI36" s="78"/>
      <c r="CJ36" s="280"/>
      <c r="CK36" s="78"/>
      <c r="CL36" s="280"/>
      <c r="CM36" s="78"/>
      <c r="CN36" s="280"/>
      <c r="CO36" s="78"/>
      <c r="CP36" s="77"/>
      <c r="CQ36" s="78"/>
      <c r="CR36" s="77"/>
      <c r="CS36" s="78"/>
      <c r="CT36" s="77"/>
      <c r="CU36" s="78"/>
      <c r="CV36" s="77"/>
      <c r="CW36" s="78"/>
      <c r="CX36" s="77"/>
      <c r="CY36" s="78"/>
      <c r="CZ36" s="77"/>
      <c r="DA36" s="78"/>
      <c r="DB36" s="77"/>
      <c r="DC36" s="78"/>
      <c r="DD36" s="77"/>
      <c r="DE36" s="78"/>
      <c r="DF36" s="77"/>
      <c r="DG36" s="78"/>
      <c r="DH36" s="77"/>
      <c r="DI36" s="78"/>
      <c r="DJ36" s="77"/>
      <c r="DK36" s="78"/>
      <c r="DL36" s="77"/>
      <c r="DM36" s="78"/>
      <c r="DN36" s="77"/>
      <c r="DO36" s="78"/>
      <c r="DP36" s="77"/>
      <c r="DQ36" s="78"/>
      <c r="DR36" s="77"/>
      <c r="DS36" s="78"/>
      <c r="DT36" s="77"/>
      <c r="DU36" s="78"/>
      <c r="DV36" s="77"/>
      <c r="DW36" s="78"/>
      <c r="DX36" s="77"/>
      <c r="DY36" s="78"/>
      <c r="DZ36" s="77"/>
      <c r="EA36" s="78"/>
      <c r="EB36" s="77"/>
      <c r="EC36" s="78"/>
      <c r="ED36" s="77"/>
      <c r="EE36" s="78"/>
      <c r="EF36" s="77"/>
      <c r="EG36" s="78"/>
      <c r="EH36" s="77"/>
      <c r="EI36" s="78"/>
      <c r="EJ36" s="77"/>
      <c r="EK36" s="78"/>
      <c r="EL36" s="77"/>
      <c r="EM36" s="78"/>
      <c r="EN36" s="77"/>
      <c r="EO36" s="78"/>
      <c r="EP36" s="77"/>
      <c r="EQ36" s="78"/>
      <c r="ER36" s="77"/>
      <c r="ES36" s="78"/>
      <c r="ET36" s="77"/>
      <c r="EU36" s="78"/>
      <c r="EV36" s="77"/>
      <c r="EW36" s="78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  <c r="IW36"/>
      <c r="IX36"/>
      <c r="IY36"/>
      <c r="IZ36"/>
      <c r="JA36"/>
      <c r="JB36"/>
      <c r="JC36"/>
      <c r="JD36"/>
      <c r="JE36"/>
      <c r="JF36"/>
      <c r="JG36"/>
      <c r="JH36"/>
      <c r="JI36"/>
      <c r="JJ36"/>
      <c r="JK36"/>
      <c r="JL36"/>
      <c r="JM36"/>
      <c r="JN36"/>
      <c r="JO36"/>
      <c r="JP36"/>
      <c r="JQ36"/>
      <c r="JR36"/>
      <c r="JS36"/>
      <c r="JT36"/>
      <c r="JU36"/>
      <c r="JV36"/>
      <c r="JW36"/>
      <c r="JX36"/>
      <c r="JY36"/>
      <c r="JZ36"/>
      <c r="KA36"/>
      <c r="KB36"/>
      <c r="KC36"/>
      <c r="KD36"/>
      <c r="KE36"/>
      <c r="KF36"/>
      <c r="KG36"/>
      <c r="KH36"/>
      <c r="KI36"/>
      <c r="KJ36"/>
      <c r="KK36"/>
      <c r="KL36"/>
      <c r="KM36"/>
      <c r="KN36"/>
      <c r="KO36"/>
      <c r="KP36"/>
      <c r="KQ36"/>
      <c r="KR36"/>
      <c r="KS36"/>
      <c r="KT36"/>
      <c r="KU36"/>
      <c r="KV36"/>
      <c r="KW36"/>
      <c r="KX36"/>
      <c r="KY36"/>
      <c r="KZ36"/>
      <c r="LA36"/>
      <c r="LB36"/>
      <c r="LC36"/>
      <c r="LD36"/>
      <c r="LE36"/>
      <c r="LF36"/>
      <c r="LG36"/>
      <c r="LH36"/>
      <c r="LI36"/>
      <c r="LJ36"/>
      <c r="LK36"/>
      <c r="LL36"/>
      <c r="LM36"/>
      <c r="LN36"/>
      <c r="LO36"/>
      <c r="LP36"/>
      <c r="LQ36"/>
      <c r="LR36"/>
      <c r="LS36"/>
      <c r="LT36"/>
      <c r="LU36"/>
      <c r="LV36"/>
      <c r="LW36"/>
      <c r="LX36"/>
      <c r="LY36"/>
      <c r="LZ36"/>
      <c r="MA36"/>
      <c r="MB36"/>
      <c r="MC36"/>
      <c r="MD36"/>
      <c r="ME36"/>
      <c r="MF36"/>
      <c r="MG36"/>
      <c r="MH36"/>
      <c r="MI36"/>
      <c r="MJ36"/>
      <c r="MK36"/>
      <c r="ML36"/>
    </row>
    <row r="37" spans="1:350" s="233" customFormat="1" ht="15" customHeight="1" x14ac:dyDescent="0.3">
      <c r="A37" s="77">
        <f>_xlfn.XLOOKUP(DADOS!$B$3,DADOS!$D$2:$DI$2,DADOS!$D37:$DI37,"",0)</f>
        <v>0</v>
      </c>
      <c r="B37" s="78">
        <f>_xlfn.XLOOKUP(DADOS!$B$3,DADOS!$E$112:$AS$112,DADOS!$E145:$AS145,"",0)</f>
        <v>0</v>
      </c>
      <c r="C37" s="295" t="s">
        <v>274</v>
      </c>
      <c r="D37" s="280"/>
      <c r="E37" s="78" cm="1">
        <f t="array" ref="E37">_xlfn.XLOOKUP(D$2,$D$112:$BF$112,$D145:BF145,0,0)</f>
        <v>0</v>
      </c>
      <c r="F37" s="280"/>
      <c r="G37" s="78">
        <f t="shared" si="47"/>
        <v>0</v>
      </c>
      <c r="H37" s="280"/>
      <c r="I37" s="78">
        <f t="shared" si="48"/>
        <v>0</v>
      </c>
      <c r="J37" s="280">
        <v>0</v>
      </c>
      <c r="K37" s="78">
        <f t="shared" si="49"/>
        <v>0</v>
      </c>
      <c r="L37" s="280"/>
      <c r="M37" s="78">
        <f t="shared" si="49"/>
        <v>0</v>
      </c>
      <c r="N37" s="280"/>
      <c r="O37" s="78">
        <f t="shared" si="50"/>
        <v>0</v>
      </c>
      <c r="P37" s="280"/>
      <c r="Q37" s="78">
        <f t="shared" si="51"/>
        <v>0</v>
      </c>
      <c r="R37" s="280"/>
      <c r="S37" s="78">
        <f t="shared" si="52"/>
        <v>0</v>
      </c>
      <c r="T37" s="280"/>
      <c r="U37" s="78">
        <f t="shared" si="53"/>
        <v>0</v>
      </c>
      <c r="V37" s="280"/>
      <c r="W37" s="78">
        <f t="shared" si="54"/>
        <v>0</v>
      </c>
      <c r="X37" s="280"/>
      <c r="Y37" s="78"/>
      <c r="Z37" s="280"/>
      <c r="AA37" s="78"/>
      <c r="AB37" s="280"/>
      <c r="AC37" s="78"/>
      <c r="AD37" s="280"/>
      <c r="AE37" s="78"/>
      <c r="AF37" s="280"/>
      <c r="AG37" s="78"/>
      <c r="AH37" s="280"/>
      <c r="AI37" s="78"/>
      <c r="AJ37" s="280"/>
      <c r="AK37" s="78"/>
      <c r="AL37" s="280"/>
      <c r="AM37" s="78"/>
      <c r="AN37" s="280"/>
      <c r="AO37" s="78"/>
      <c r="AP37" s="280"/>
      <c r="AQ37" s="78"/>
      <c r="AR37" s="280"/>
      <c r="AS37" s="78"/>
      <c r="AT37" s="280"/>
      <c r="AU37" s="78"/>
      <c r="AV37" s="280"/>
      <c r="AW37" s="78"/>
      <c r="AX37" s="280"/>
      <c r="AY37" s="78"/>
      <c r="AZ37" s="280"/>
      <c r="BA37" s="78"/>
      <c r="BB37" s="280"/>
      <c r="BC37" s="78"/>
      <c r="BD37" s="280"/>
      <c r="BE37" s="78"/>
      <c r="BF37" s="280"/>
      <c r="BG37" s="78"/>
      <c r="BH37" s="280"/>
      <c r="BI37" s="78"/>
      <c r="BJ37" s="280"/>
      <c r="BK37" s="78"/>
      <c r="BL37" s="280"/>
      <c r="BM37" s="78"/>
      <c r="BN37" s="280"/>
      <c r="BO37" s="78"/>
      <c r="BP37" s="280"/>
      <c r="BQ37" s="78"/>
      <c r="BR37" s="280"/>
      <c r="BS37" s="78"/>
      <c r="BT37" s="280"/>
      <c r="BU37" s="78"/>
      <c r="BV37" s="280"/>
      <c r="BW37" s="78"/>
      <c r="BX37" s="280"/>
      <c r="BY37" s="78"/>
      <c r="BZ37" s="280"/>
      <c r="CA37" s="78"/>
      <c r="CB37" s="280"/>
      <c r="CC37" s="78"/>
      <c r="CD37" s="280"/>
      <c r="CE37" s="78"/>
      <c r="CF37" s="280"/>
      <c r="CG37" s="78"/>
      <c r="CH37" s="280"/>
      <c r="CI37" s="78"/>
      <c r="CJ37" s="280"/>
      <c r="CK37" s="78"/>
      <c r="CL37" s="280"/>
      <c r="CM37" s="78"/>
      <c r="CN37" s="280"/>
      <c r="CO37" s="78"/>
      <c r="CP37" s="77"/>
      <c r="CQ37" s="78"/>
      <c r="CR37" s="77"/>
      <c r="CS37" s="78"/>
      <c r="CT37" s="77"/>
      <c r="CU37" s="78"/>
      <c r="CV37" s="77"/>
      <c r="CW37" s="78"/>
      <c r="CX37" s="77"/>
      <c r="CY37" s="78"/>
      <c r="CZ37" s="77"/>
      <c r="DA37" s="78"/>
      <c r="DB37" s="77"/>
      <c r="DC37" s="78"/>
      <c r="DD37" s="77"/>
      <c r="DE37" s="78"/>
      <c r="DF37" s="77"/>
      <c r="DG37" s="78"/>
      <c r="DH37" s="77"/>
      <c r="DI37" s="78"/>
      <c r="DJ37" s="77"/>
      <c r="DK37" s="78"/>
      <c r="DL37" s="77"/>
      <c r="DM37" s="78"/>
      <c r="DN37" s="77"/>
      <c r="DO37" s="78"/>
      <c r="DP37" s="77"/>
      <c r="DQ37" s="78"/>
      <c r="DR37" s="77"/>
      <c r="DS37" s="78"/>
      <c r="DT37" s="77"/>
      <c r="DU37" s="78"/>
      <c r="DV37" s="77"/>
      <c r="DW37" s="78"/>
      <c r="DX37" s="77"/>
      <c r="DY37" s="78"/>
      <c r="DZ37" s="77"/>
      <c r="EA37" s="78"/>
      <c r="EB37" s="77"/>
      <c r="EC37" s="78"/>
      <c r="ED37" s="77"/>
      <c r="EE37" s="78"/>
      <c r="EF37" s="77"/>
      <c r="EG37" s="78"/>
      <c r="EH37" s="77"/>
      <c r="EI37" s="78"/>
      <c r="EJ37" s="77"/>
      <c r="EK37" s="78"/>
      <c r="EL37" s="77"/>
      <c r="EM37" s="78"/>
      <c r="EN37" s="77"/>
      <c r="EO37" s="78"/>
      <c r="EP37" s="77"/>
      <c r="EQ37" s="78"/>
      <c r="ER37" s="77"/>
      <c r="ES37" s="78"/>
      <c r="ET37" s="77"/>
      <c r="EU37" s="78"/>
      <c r="EV37" s="77"/>
      <c r="EW37" s="78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  <c r="IW37"/>
      <c r="IX37"/>
      <c r="IY37"/>
      <c r="IZ37"/>
      <c r="JA37"/>
      <c r="JB37"/>
      <c r="JC37"/>
      <c r="JD37"/>
      <c r="JE37"/>
      <c r="JF37"/>
      <c r="JG37"/>
      <c r="JH37"/>
      <c r="JI37"/>
      <c r="JJ37"/>
      <c r="JK37"/>
      <c r="JL37"/>
      <c r="JM37"/>
      <c r="JN37"/>
      <c r="JO37"/>
      <c r="JP37"/>
      <c r="JQ37"/>
      <c r="JR37"/>
      <c r="JS37"/>
      <c r="JT37"/>
      <c r="JU37"/>
      <c r="JV37"/>
      <c r="JW37"/>
      <c r="JX37"/>
      <c r="JY37"/>
      <c r="JZ37"/>
      <c r="KA37"/>
      <c r="KB37"/>
      <c r="KC37"/>
      <c r="KD37"/>
      <c r="KE37"/>
      <c r="KF37"/>
      <c r="KG37"/>
      <c r="KH37"/>
      <c r="KI37"/>
      <c r="KJ37"/>
      <c r="KK37"/>
      <c r="KL37"/>
      <c r="KM37"/>
      <c r="KN37"/>
      <c r="KO37"/>
      <c r="KP37"/>
      <c r="KQ37"/>
      <c r="KR37"/>
      <c r="KS37"/>
      <c r="KT37"/>
      <c r="KU37"/>
      <c r="KV37"/>
      <c r="KW37"/>
      <c r="KX37"/>
      <c r="KY37"/>
      <c r="KZ37"/>
      <c r="LA37"/>
      <c r="LB37"/>
      <c r="LC37"/>
      <c r="LD37"/>
      <c r="LE37"/>
      <c r="LF37"/>
      <c r="LG37"/>
      <c r="LH37"/>
      <c r="LI37"/>
      <c r="LJ37"/>
      <c r="LK37"/>
      <c r="LL37"/>
      <c r="LM37"/>
      <c r="LN37"/>
      <c r="LO37"/>
      <c r="LP37"/>
      <c r="LQ37"/>
      <c r="LR37"/>
      <c r="LS37"/>
      <c r="LT37"/>
      <c r="LU37"/>
      <c r="LV37"/>
      <c r="LW37"/>
      <c r="LX37"/>
      <c r="LY37"/>
      <c r="LZ37"/>
      <c r="MA37"/>
      <c r="MB37"/>
      <c r="MC37"/>
      <c r="MD37"/>
      <c r="ME37"/>
      <c r="MF37"/>
      <c r="MG37"/>
      <c r="MH37"/>
      <c r="MI37"/>
      <c r="MJ37"/>
      <c r="MK37"/>
      <c r="ML37"/>
    </row>
    <row r="38" spans="1:350" s="233" customFormat="1" ht="15" customHeight="1" x14ac:dyDescent="0.3">
      <c r="A38" s="77">
        <f>_xlfn.XLOOKUP(DADOS!$B$3,DADOS!$D$2:$DI$2,DADOS!$D38:$DI38,"",0)</f>
        <v>0</v>
      </c>
      <c r="B38" s="78">
        <f>_xlfn.XLOOKUP(DADOS!$B$3,DADOS!$E$112:$AS$112,DADOS!$E146:$AS146,"",0)</f>
        <v>0</v>
      </c>
      <c r="C38" s="287" t="s">
        <v>253</v>
      </c>
      <c r="D38" s="280"/>
      <c r="E38" s="78" cm="1">
        <f t="array" ref="E38">_xlfn.XLOOKUP(D$2,$D$112:$BF$112,$D146:BF146,0,0)</f>
        <v>0</v>
      </c>
      <c r="F38" s="280"/>
      <c r="G38" s="78">
        <f t="shared" si="47"/>
        <v>0</v>
      </c>
      <c r="H38" s="280"/>
      <c r="I38" s="78">
        <f t="shared" si="48"/>
        <v>0</v>
      </c>
      <c r="J38" s="280">
        <v>0</v>
      </c>
      <c r="K38" s="78">
        <f t="shared" si="49"/>
        <v>0</v>
      </c>
      <c r="L38" s="280"/>
      <c r="M38" s="78">
        <f t="shared" si="49"/>
        <v>0.02</v>
      </c>
      <c r="N38" s="280"/>
      <c r="O38" s="78">
        <f t="shared" si="50"/>
        <v>0</v>
      </c>
      <c r="P38" s="280"/>
      <c r="Q38" s="78">
        <f t="shared" si="51"/>
        <v>0.02</v>
      </c>
      <c r="R38" s="280"/>
      <c r="S38" s="78">
        <f t="shared" si="52"/>
        <v>0.03</v>
      </c>
      <c r="T38" s="280"/>
      <c r="U38" s="78">
        <f t="shared" si="53"/>
        <v>0.04</v>
      </c>
      <c r="V38" s="280"/>
      <c r="W38" s="78">
        <f t="shared" si="54"/>
        <v>0.1</v>
      </c>
      <c r="X38" s="280"/>
      <c r="Y38" s="78"/>
      <c r="Z38" s="280"/>
      <c r="AA38" s="78"/>
      <c r="AB38" s="280"/>
      <c r="AC38" s="78"/>
      <c r="AD38" s="280"/>
      <c r="AE38" s="78"/>
      <c r="AF38" s="280"/>
      <c r="AG38" s="78"/>
      <c r="AH38" s="280"/>
      <c r="AI38" s="78"/>
      <c r="AJ38" s="280"/>
      <c r="AK38" s="78"/>
      <c r="AL38" s="280"/>
      <c r="AM38" s="78"/>
      <c r="AN38" s="280"/>
      <c r="AO38" s="78"/>
      <c r="AP38" s="280"/>
      <c r="AQ38" s="78"/>
      <c r="AR38" s="280"/>
      <c r="AS38" s="78"/>
      <c r="AT38" s="280"/>
      <c r="AU38" s="78"/>
      <c r="AV38" s="280"/>
      <c r="AW38" s="78"/>
      <c r="AX38" s="280"/>
      <c r="AY38" s="78"/>
      <c r="AZ38" s="280"/>
      <c r="BA38" s="78"/>
      <c r="BB38" s="280"/>
      <c r="BC38" s="78"/>
      <c r="BD38" s="280"/>
      <c r="BE38" s="78"/>
      <c r="BF38" s="280"/>
      <c r="BG38" s="78"/>
      <c r="BH38" s="280"/>
      <c r="BI38" s="78"/>
      <c r="BJ38" s="280"/>
      <c r="BK38" s="78"/>
      <c r="BL38" s="280"/>
      <c r="BM38" s="78"/>
      <c r="BN38" s="280"/>
      <c r="BO38" s="78"/>
      <c r="BP38" s="280"/>
      <c r="BQ38" s="78"/>
      <c r="BR38" s="280"/>
      <c r="BS38" s="78"/>
      <c r="BT38" s="280"/>
      <c r="BU38" s="78"/>
      <c r="BV38" s="280"/>
      <c r="BW38" s="78"/>
      <c r="BX38" s="280"/>
      <c r="BY38" s="78"/>
      <c r="BZ38" s="280"/>
      <c r="CA38" s="78"/>
      <c r="CB38" s="280"/>
      <c r="CC38" s="78"/>
      <c r="CD38" s="280"/>
      <c r="CE38" s="78"/>
      <c r="CF38" s="280"/>
      <c r="CG38" s="78"/>
      <c r="CH38" s="280"/>
      <c r="CI38" s="78"/>
      <c r="CJ38" s="280"/>
      <c r="CK38" s="78"/>
      <c r="CL38" s="280"/>
      <c r="CM38" s="78"/>
      <c r="CN38" s="280"/>
      <c r="CO38" s="78"/>
      <c r="CP38" s="77"/>
      <c r="CQ38" s="78"/>
      <c r="CR38" s="77"/>
      <c r="CS38" s="78"/>
      <c r="CT38" s="77"/>
      <c r="CU38" s="78"/>
      <c r="CV38" s="77"/>
      <c r="CW38" s="78"/>
      <c r="CX38" s="77"/>
      <c r="CY38" s="78"/>
      <c r="CZ38" s="77"/>
      <c r="DA38" s="78"/>
      <c r="DB38" s="77"/>
      <c r="DC38" s="78"/>
      <c r="DD38" s="77"/>
      <c r="DE38" s="78"/>
      <c r="DF38" s="77"/>
      <c r="DG38" s="78"/>
      <c r="DH38" s="77"/>
      <c r="DI38" s="78"/>
      <c r="DJ38" s="77"/>
      <c r="DK38" s="78"/>
      <c r="DL38" s="77"/>
      <c r="DM38" s="78"/>
      <c r="DN38" s="77"/>
      <c r="DO38" s="78"/>
      <c r="DP38" s="77"/>
      <c r="DQ38" s="78"/>
      <c r="DR38" s="77"/>
      <c r="DS38" s="78"/>
      <c r="DT38" s="77"/>
      <c r="DU38" s="78"/>
      <c r="DV38" s="77"/>
      <c r="DW38" s="78"/>
      <c r="DX38" s="77"/>
      <c r="DY38" s="78"/>
      <c r="DZ38" s="77"/>
      <c r="EA38" s="78"/>
      <c r="EB38" s="77"/>
      <c r="EC38" s="78"/>
      <c r="ED38" s="77"/>
      <c r="EE38" s="78"/>
      <c r="EF38" s="77"/>
      <c r="EG38" s="78"/>
      <c r="EH38" s="77"/>
      <c r="EI38" s="78"/>
      <c r="EJ38" s="77"/>
      <c r="EK38" s="78"/>
      <c r="EL38" s="77"/>
      <c r="EM38" s="78"/>
      <c r="EN38" s="77"/>
      <c r="EO38" s="78"/>
      <c r="EP38" s="77"/>
      <c r="EQ38" s="78"/>
      <c r="ER38" s="77"/>
      <c r="ES38" s="78"/>
      <c r="ET38" s="77"/>
      <c r="EU38" s="78"/>
      <c r="EV38" s="77"/>
      <c r="EW38" s="7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  <c r="IW38"/>
      <c r="IX38"/>
      <c r="IY38"/>
      <c r="IZ38"/>
      <c r="JA38"/>
      <c r="JB38"/>
      <c r="JC38"/>
      <c r="JD38"/>
      <c r="JE38"/>
      <c r="JF38"/>
      <c r="JG38"/>
      <c r="JH38"/>
      <c r="JI38"/>
      <c r="JJ38"/>
      <c r="JK38"/>
      <c r="JL38"/>
      <c r="JM38"/>
      <c r="JN38"/>
      <c r="JO38"/>
      <c r="JP38"/>
      <c r="JQ38"/>
      <c r="JR38"/>
      <c r="JS38"/>
      <c r="JT38"/>
      <c r="JU38"/>
      <c r="JV38"/>
      <c r="JW38"/>
      <c r="JX38"/>
      <c r="JY38"/>
      <c r="JZ38"/>
      <c r="KA38"/>
      <c r="KB38"/>
      <c r="KC38"/>
      <c r="KD38"/>
      <c r="KE38"/>
      <c r="KF38"/>
      <c r="KG38"/>
      <c r="KH38"/>
      <c r="KI38"/>
      <c r="KJ38"/>
      <c r="KK38"/>
      <c r="KL38"/>
      <c r="KM38"/>
      <c r="KN38"/>
      <c r="KO38"/>
      <c r="KP38"/>
      <c r="KQ38"/>
      <c r="KR38"/>
      <c r="KS38"/>
      <c r="KT38"/>
      <c r="KU38"/>
      <c r="KV38"/>
      <c r="KW38"/>
      <c r="KX38"/>
      <c r="KY38"/>
      <c r="KZ38"/>
      <c r="LA38"/>
      <c r="LB38"/>
      <c r="LC38"/>
      <c r="LD38"/>
      <c r="LE38"/>
      <c r="LF38"/>
      <c r="LG38"/>
      <c r="LH38"/>
      <c r="LI38"/>
      <c r="LJ38"/>
      <c r="LK38"/>
      <c r="LL38"/>
      <c r="LM38"/>
      <c r="LN38"/>
      <c r="LO38"/>
      <c r="LP38"/>
      <c r="LQ38"/>
      <c r="LR38"/>
      <c r="LS38"/>
      <c r="LT38"/>
      <c r="LU38"/>
      <c r="LV38"/>
      <c r="LW38"/>
      <c r="LX38"/>
      <c r="LY38"/>
      <c r="LZ38"/>
      <c r="MA38"/>
      <c r="MB38"/>
      <c r="MC38"/>
      <c r="MD38"/>
      <c r="ME38"/>
      <c r="MF38"/>
      <c r="MG38"/>
      <c r="MH38"/>
      <c r="MI38"/>
      <c r="MJ38"/>
      <c r="MK38"/>
      <c r="ML38"/>
    </row>
    <row r="39" spans="1:350" s="233" customFormat="1" ht="15" customHeight="1" x14ac:dyDescent="0.3">
      <c r="A39" s="77">
        <f>_xlfn.XLOOKUP(DADOS!$B$3,DADOS!$D$2:$DI$2,DADOS!$D39:$DI39,"",0)</f>
        <v>0</v>
      </c>
      <c r="B39" s="78">
        <f>_xlfn.XLOOKUP(DADOS!$B$3,DADOS!$E$112:$AS$112,DADOS!$E147:$AS147,"",0)</f>
        <v>0</v>
      </c>
      <c r="C39" s="295" t="s">
        <v>237</v>
      </c>
      <c r="D39" s="280"/>
      <c r="E39" s="78" cm="1">
        <f t="array" ref="E39">_xlfn.XLOOKUP(D$2,$D$112:$BF$112,$D147:BF147,0,0)</f>
        <v>0</v>
      </c>
      <c r="F39" s="280"/>
      <c r="G39" s="78">
        <f t="shared" si="47"/>
        <v>0</v>
      </c>
      <c r="H39" s="280"/>
      <c r="I39" s="78">
        <f t="shared" si="48"/>
        <v>0</v>
      </c>
      <c r="J39" s="280">
        <v>0</v>
      </c>
      <c r="K39" s="78">
        <f t="shared" si="49"/>
        <v>0</v>
      </c>
      <c r="L39" s="280"/>
      <c r="M39" s="78">
        <f t="shared" si="49"/>
        <v>0</v>
      </c>
      <c r="N39" s="280"/>
      <c r="O39" s="78">
        <f t="shared" si="50"/>
        <v>0</v>
      </c>
      <c r="P39" s="280"/>
      <c r="Q39" s="78">
        <f t="shared" si="51"/>
        <v>0</v>
      </c>
      <c r="R39" s="280"/>
      <c r="S39" s="78">
        <f t="shared" si="52"/>
        <v>0</v>
      </c>
      <c r="T39" s="280"/>
      <c r="U39" s="78">
        <f t="shared" si="53"/>
        <v>0.02</v>
      </c>
      <c r="V39" s="280"/>
      <c r="W39" s="78">
        <f t="shared" si="54"/>
        <v>0.81</v>
      </c>
      <c r="X39" s="280"/>
      <c r="Y39" s="78"/>
      <c r="Z39" s="280"/>
      <c r="AA39" s="78"/>
      <c r="AB39" s="280"/>
      <c r="AC39" s="78"/>
      <c r="AD39" s="280"/>
      <c r="AE39" s="78"/>
      <c r="AF39" s="280"/>
      <c r="AG39" s="78"/>
      <c r="AH39" s="280"/>
      <c r="AI39" s="78"/>
      <c r="AJ39" s="280"/>
      <c r="AK39" s="78"/>
      <c r="AL39" s="280"/>
      <c r="AM39" s="78"/>
      <c r="AN39" s="280"/>
      <c r="AO39" s="78"/>
      <c r="AP39" s="280"/>
      <c r="AQ39" s="78"/>
      <c r="AR39" s="280"/>
      <c r="AS39" s="78"/>
      <c r="AT39" s="280"/>
      <c r="AU39" s="78"/>
      <c r="AV39" s="280"/>
      <c r="AW39" s="78"/>
      <c r="AX39" s="280"/>
      <c r="AY39" s="78"/>
      <c r="AZ39" s="280"/>
      <c r="BA39" s="78"/>
      <c r="BB39" s="280"/>
      <c r="BC39" s="78"/>
      <c r="BD39" s="280"/>
      <c r="BE39" s="78"/>
      <c r="BF39" s="280"/>
      <c r="BG39" s="78"/>
      <c r="BH39" s="280"/>
      <c r="BI39" s="78"/>
      <c r="BJ39" s="280"/>
      <c r="BK39" s="78"/>
      <c r="BL39" s="280"/>
      <c r="BM39" s="78"/>
      <c r="BN39" s="280"/>
      <c r="BO39" s="78"/>
      <c r="BP39" s="280"/>
      <c r="BQ39" s="78"/>
      <c r="BR39" s="280"/>
      <c r="BS39" s="78"/>
      <c r="BT39" s="280"/>
      <c r="BU39" s="78"/>
      <c r="BV39" s="280"/>
      <c r="BW39" s="78"/>
      <c r="BX39" s="280"/>
      <c r="BY39" s="78"/>
      <c r="BZ39" s="280"/>
      <c r="CA39" s="78"/>
      <c r="CB39" s="280"/>
      <c r="CC39" s="78"/>
      <c r="CD39" s="280"/>
      <c r="CE39" s="78"/>
      <c r="CF39" s="280"/>
      <c r="CG39" s="78"/>
      <c r="CH39" s="280"/>
      <c r="CI39" s="78"/>
      <c r="CJ39" s="280"/>
      <c r="CK39" s="78"/>
      <c r="CL39" s="280"/>
      <c r="CM39" s="78"/>
      <c r="CN39" s="280"/>
      <c r="CO39" s="78"/>
      <c r="CP39" s="77"/>
      <c r="CQ39" s="78"/>
      <c r="CR39" s="77"/>
      <c r="CS39" s="78"/>
      <c r="CT39" s="77"/>
      <c r="CU39" s="78"/>
      <c r="CV39" s="77"/>
      <c r="CW39" s="78"/>
      <c r="CX39" s="77"/>
      <c r="CY39" s="78"/>
      <c r="CZ39" s="77"/>
      <c r="DA39" s="78"/>
      <c r="DB39" s="77"/>
      <c r="DC39" s="78"/>
      <c r="DD39" s="77"/>
      <c r="DE39" s="78"/>
      <c r="DF39" s="77"/>
      <c r="DG39" s="78"/>
      <c r="DH39" s="77"/>
      <c r="DI39" s="78"/>
      <c r="DJ39" s="77"/>
      <c r="DK39" s="78"/>
      <c r="DL39" s="77"/>
      <c r="DM39" s="78"/>
      <c r="DN39" s="77"/>
      <c r="DO39" s="78"/>
      <c r="DP39" s="77"/>
      <c r="DQ39" s="78"/>
      <c r="DR39" s="77"/>
      <c r="DS39" s="78"/>
      <c r="DT39" s="77"/>
      <c r="DU39" s="78"/>
      <c r="DV39" s="77"/>
      <c r="DW39" s="78"/>
      <c r="DX39" s="77"/>
      <c r="DY39" s="78"/>
      <c r="DZ39" s="77"/>
      <c r="EA39" s="78"/>
      <c r="EB39" s="77"/>
      <c r="EC39" s="78"/>
      <c r="ED39" s="77"/>
      <c r="EE39" s="78"/>
      <c r="EF39" s="77"/>
      <c r="EG39" s="78"/>
      <c r="EH39" s="77"/>
      <c r="EI39" s="78"/>
      <c r="EJ39" s="77"/>
      <c r="EK39" s="78"/>
      <c r="EL39" s="77"/>
      <c r="EM39" s="78"/>
      <c r="EN39" s="77"/>
      <c r="EO39" s="78"/>
      <c r="EP39" s="77"/>
      <c r="EQ39" s="78"/>
      <c r="ER39" s="77"/>
      <c r="ES39" s="78"/>
      <c r="ET39" s="77"/>
      <c r="EU39" s="78"/>
      <c r="EV39" s="77"/>
      <c r="EW39" s="78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  <c r="II39"/>
      <c r="IJ39"/>
      <c r="IK39"/>
      <c r="IL39"/>
      <c r="IM39"/>
      <c r="IN39"/>
      <c r="IO39"/>
      <c r="IP39"/>
      <c r="IQ39"/>
      <c r="IR39"/>
      <c r="IS39"/>
      <c r="IT39"/>
      <c r="IU39"/>
      <c r="IV39"/>
      <c r="IW39"/>
      <c r="IX39"/>
      <c r="IY39"/>
      <c r="IZ39"/>
      <c r="JA39"/>
      <c r="JB39"/>
      <c r="JC39"/>
      <c r="JD39"/>
      <c r="JE39"/>
      <c r="JF39"/>
      <c r="JG39"/>
      <c r="JH39"/>
      <c r="JI39"/>
      <c r="JJ39"/>
      <c r="JK39"/>
      <c r="JL39"/>
      <c r="JM39"/>
      <c r="JN39"/>
      <c r="JO39"/>
      <c r="JP39"/>
      <c r="JQ39"/>
      <c r="JR39"/>
      <c r="JS39"/>
      <c r="JT39"/>
      <c r="JU39"/>
      <c r="JV39"/>
      <c r="JW39"/>
      <c r="JX39"/>
      <c r="JY39"/>
      <c r="JZ39"/>
      <c r="KA39"/>
      <c r="KB39"/>
      <c r="KC39"/>
      <c r="KD39"/>
      <c r="KE39"/>
      <c r="KF39"/>
      <c r="KG39"/>
      <c r="KH39"/>
      <c r="KI39"/>
      <c r="KJ39"/>
      <c r="KK39"/>
      <c r="KL39"/>
      <c r="KM39"/>
      <c r="KN39"/>
      <c r="KO39"/>
      <c r="KP39"/>
      <c r="KQ39"/>
      <c r="KR39"/>
      <c r="KS39"/>
      <c r="KT39"/>
      <c r="KU39"/>
      <c r="KV39"/>
      <c r="KW39"/>
      <c r="KX39"/>
      <c r="KY39"/>
      <c r="KZ39"/>
      <c r="LA39"/>
      <c r="LB39"/>
      <c r="LC39"/>
      <c r="LD39"/>
      <c r="LE39"/>
      <c r="LF39"/>
      <c r="LG39"/>
      <c r="LH39"/>
      <c r="LI39"/>
      <c r="LJ39"/>
      <c r="LK39"/>
      <c r="LL39"/>
      <c r="LM39"/>
      <c r="LN39"/>
      <c r="LO39"/>
      <c r="LP39"/>
      <c r="LQ39"/>
      <c r="LR39"/>
      <c r="LS39"/>
      <c r="LT39"/>
      <c r="LU39"/>
      <c r="LV39"/>
      <c r="LW39"/>
      <c r="LX39"/>
      <c r="LY39"/>
      <c r="LZ39"/>
      <c r="MA39"/>
      <c r="MB39"/>
      <c r="MC39"/>
      <c r="MD39"/>
      <c r="ME39"/>
      <c r="MF39"/>
      <c r="MG39"/>
      <c r="MH39"/>
      <c r="MI39"/>
      <c r="MJ39"/>
      <c r="MK39"/>
      <c r="ML39"/>
    </row>
    <row r="40" spans="1:350" s="233" customFormat="1" ht="15" customHeight="1" x14ac:dyDescent="0.3">
      <c r="A40" s="77">
        <f>_xlfn.XLOOKUP(DADOS!$B$3,DADOS!$D$2:$DI$2,DADOS!$D40:$DI40,"",0)</f>
        <v>0</v>
      </c>
      <c r="B40" s="78">
        <f>_xlfn.XLOOKUP(DADOS!$B$3,DADOS!$E$112:$AS$112,DADOS!$E148:$AS148,"",0)</f>
        <v>0</v>
      </c>
      <c r="C40" s="295" t="s">
        <v>254</v>
      </c>
      <c r="D40" s="280"/>
      <c r="E40" s="78" cm="1">
        <f t="array" ref="E40">_xlfn.XLOOKUP(D$2,$D$112:$BF$112,$D148:BF148,0,0)</f>
        <v>0</v>
      </c>
      <c r="F40" s="280"/>
      <c r="G40" s="78">
        <f t="shared" si="47"/>
        <v>0</v>
      </c>
      <c r="H40" s="280"/>
      <c r="I40" s="78">
        <f t="shared" si="48"/>
        <v>0</v>
      </c>
      <c r="J40" s="280">
        <v>0</v>
      </c>
      <c r="K40" s="78">
        <f t="shared" si="49"/>
        <v>0</v>
      </c>
      <c r="L40" s="280"/>
      <c r="M40" s="78">
        <f t="shared" si="49"/>
        <v>0</v>
      </c>
      <c r="N40" s="280"/>
      <c r="O40" s="78">
        <f t="shared" si="50"/>
        <v>0</v>
      </c>
      <c r="P40" s="280"/>
      <c r="Q40" s="78">
        <f t="shared" si="51"/>
        <v>0</v>
      </c>
      <c r="R40" s="280"/>
      <c r="S40" s="78">
        <f t="shared" si="52"/>
        <v>0</v>
      </c>
      <c r="T40" s="280"/>
      <c r="U40" s="78">
        <f t="shared" si="53"/>
        <v>0</v>
      </c>
      <c r="V40" s="280"/>
      <c r="W40" s="78">
        <f t="shared" si="54"/>
        <v>0.31</v>
      </c>
      <c r="X40" s="280"/>
      <c r="Y40" s="78"/>
      <c r="Z40" s="280"/>
      <c r="AA40" s="78"/>
      <c r="AB40" s="280"/>
      <c r="AC40" s="78"/>
      <c r="AD40" s="280"/>
      <c r="AE40" s="78"/>
      <c r="AF40" s="280"/>
      <c r="AG40" s="78"/>
      <c r="AH40" s="280"/>
      <c r="AI40" s="78"/>
      <c r="AJ40" s="280"/>
      <c r="AK40" s="78"/>
      <c r="AL40" s="280"/>
      <c r="AM40" s="78"/>
      <c r="AN40" s="280"/>
      <c r="AO40" s="78"/>
      <c r="AP40" s="280"/>
      <c r="AQ40" s="78"/>
      <c r="AR40" s="280"/>
      <c r="AS40" s="78"/>
      <c r="AT40" s="280"/>
      <c r="AU40" s="78"/>
      <c r="AV40" s="280"/>
      <c r="AW40" s="78"/>
      <c r="AX40" s="280"/>
      <c r="AY40" s="78"/>
      <c r="AZ40" s="280"/>
      <c r="BA40" s="78"/>
      <c r="BB40" s="280"/>
      <c r="BC40" s="78"/>
      <c r="BD40" s="280"/>
      <c r="BE40" s="78"/>
      <c r="BF40" s="280"/>
      <c r="BG40" s="78"/>
      <c r="BH40" s="280"/>
      <c r="BI40" s="78"/>
      <c r="BJ40" s="280"/>
      <c r="BK40" s="78"/>
      <c r="BL40" s="280"/>
      <c r="BM40" s="78"/>
      <c r="BN40" s="280"/>
      <c r="BO40" s="78"/>
      <c r="BP40" s="280"/>
      <c r="BQ40" s="78"/>
      <c r="BR40" s="280"/>
      <c r="BS40" s="78"/>
      <c r="BT40" s="280"/>
      <c r="BU40" s="78"/>
      <c r="BV40" s="280"/>
      <c r="BW40" s="78"/>
      <c r="BX40" s="280"/>
      <c r="BY40" s="78"/>
      <c r="BZ40" s="280"/>
      <c r="CA40" s="78"/>
      <c r="CB40" s="280"/>
      <c r="CC40" s="78"/>
      <c r="CD40" s="280"/>
      <c r="CE40" s="78"/>
      <c r="CF40" s="280"/>
      <c r="CG40" s="78"/>
      <c r="CH40" s="280"/>
      <c r="CI40" s="78"/>
      <c r="CJ40" s="280"/>
      <c r="CK40" s="78"/>
      <c r="CL40" s="280"/>
      <c r="CM40" s="78"/>
      <c r="CN40" s="280"/>
      <c r="CO40" s="78"/>
      <c r="CP40" s="77"/>
      <c r="CQ40" s="78"/>
      <c r="CR40" s="77"/>
      <c r="CS40" s="78"/>
      <c r="CT40" s="77"/>
      <c r="CU40" s="78"/>
      <c r="CV40" s="77"/>
      <c r="CW40" s="78"/>
      <c r="CX40" s="77"/>
      <c r="CY40" s="78"/>
      <c r="CZ40" s="77"/>
      <c r="DA40" s="78"/>
      <c r="DB40" s="77"/>
      <c r="DC40" s="78"/>
      <c r="DD40" s="77"/>
      <c r="DE40" s="78"/>
      <c r="DF40" s="77"/>
      <c r="DG40" s="78"/>
      <c r="DH40" s="77"/>
      <c r="DI40" s="78"/>
      <c r="DJ40" s="77"/>
      <c r="DK40" s="78"/>
      <c r="DL40" s="77"/>
      <c r="DM40" s="78"/>
      <c r="DN40" s="77"/>
      <c r="DO40" s="78"/>
      <c r="DP40" s="77"/>
      <c r="DQ40" s="78"/>
      <c r="DR40" s="77"/>
      <c r="DS40" s="78"/>
      <c r="DT40" s="77"/>
      <c r="DU40" s="78"/>
      <c r="DV40" s="77"/>
      <c r="DW40" s="78"/>
      <c r="DX40" s="77"/>
      <c r="DY40" s="78"/>
      <c r="DZ40" s="77"/>
      <c r="EA40" s="78"/>
      <c r="EB40" s="77"/>
      <c r="EC40" s="78"/>
      <c r="ED40" s="77"/>
      <c r="EE40" s="78"/>
      <c r="EF40" s="77"/>
      <c r="EG40" s="78"/>
      <c r="EH40" s="77"/>
      <c r="EI40" s="78"/>
      <c r="EJ40" s="77"/>
      <c r="EK40" s="78"/>
      <c r="EL40" s="77"/>
      <c r="EM40" s="78"/>
      <c r="EN40" s="77"/>
      <c r="EO40" s="78"/>
      <c r="EP40" s="77"/>
      <c r="EQ40" s="78"/>
      <c r="ER40" s="77"/>
      <c r="ES40" s="78"/>
      <c r="ET40" s="77"/>
      <c r="EU40" s="78"/>
      <c r="EV40" s="77"/>
      <c r="EW40" s="78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  <c r="II40"/>
      <c r="IJ40"/>
      <c r="IK40"/>
      <c r="IL40"/>
      <c r="IM40"/>
      <c r="IN40"/>
      <c r="IO40"/>
      <c r="IP40"/>
      <c r="IQ40"/>
      <c r="IR40"/>
      <c r="IS40"/>
      <c r="IT40"/>
      <c r="IU40"/>
      <c r="IV40"/>
      <c r="IW40"/>
      <c r="IX40"/>
      <c r="IY40"/>
      <c r="IZ40"/>
      <c r="JA40"/>
      <c r="JB40"/>
      <c r="JC40"/>
      <c r="JD40"/>
      <c r="JE40"/>
      <c r="JF40"/>
      <c r="JG40"/>
      <c r="JH40"/>
      <c r="JI40"/>
      <c r="JJ40"/>
      <c r="JK40"/>
      <c r="JL40"/>
      <c r="JM40"/>
      <c r="JN40"/>
      <c r="JO40"/>
      <c r="JP40"/>
      <c r="JQ40"/>
      <c r="JR40"/>
      <c r="JS40"/>
      <c r="JT40"/>
      <c r="JU40"/>
      <c r="JV40"/>
      <c r="JW40"/>
      <c r="JX40"/>
      <c r="JY40"/>
      <c r="JZ40"/>
      <c r="KA40"/>
      <c r="KB40"/>
      <c r="KC40"/>
      <c r="KD40"/>
      <c r="KE40"/>
      <c r="KF40"/>
      <c r="KG40"/>
      <c r="KH40"/>
      <c r="KI40"/>
      <c r="KJ40"/>
      <c r="KK40"/>
      <c r="KL40"/>
      <c r="KM40"/>
      <c r="KN40"/>
      <c r="KO40"/>
      <c r="KP40"/>
      <c r="KQ40"/>
      <c r="KR40"/>
      <c r="KS40"/>
      <c r="KT40"/>
      <c r="KU40"/>
      <c r="KV40"/>
      <c r="KW40"/>
      <c r="KX40"/>
      <c r="KY40"/>
      <c r="KZ40"/>
      <c r="LA40"/>
      <c r="LB40"/>
      <c r="LC40"/>
      <c r="LD40"/>
      <c r="LE40"/>
      <c r="LF40"/>
      <c r="LG40"/>
      <c r="LH40"/>
      <c r="LI40"/>
      <c r="LJ40"/>
      <c r="LK40"/>
      <c r="LL40"/>
      <c r="LM40"/>
      <c r="LN40"/>
      <c r="LO40"/>
      <c r="LP40"/>
      <c r="LQ40"/>
      <c r="LR40"/>
      <c r="LS40"/>
      <c r="LT40"/>
      <c r="LU40"/>
      <c r="LV40"/>
      <c r="LW40"/>
      <c r="LX40"/>
      <c r="LY40"/>
      <c r="LZ40"/>
      <c r="MA40"/>
      <c r="MB40"/>
      <c r="MC40"/>
      <c r="MD40"/>
      <c r="ME40"/>
      <c r="MF40"/>
      <c r="MG40"/>
      <c r="MH40"/>
      <c r="MI40"/>
      <c r="MJ40"/>
      <c r="MK40"/>
      <c r="ML40"/>
    </row>
    <row r="41" spans="1:350" s="233" customFormat="1" ht="15" customHeight="1" x14ac:dyDescent="0.3">
      <c r="A41" s="77">
        <f>_xlfn.XLOOKUP(DADOS!$B$3,DADOS!$D$2:$DI$2,DADOS!$D41:$DI41,"",0)</f>
        <v>0</v>
      </c>
      <c r="B41" s="78">
        <f>_xlfn.XLOOKUP(DADOS!$B$3,DADOS!$E$112:$AS$112,DADOS!$E149:$AS149,"",0)</f>
        <v>0</v>
      </c>
      <c r="C41" s="295" t="s">
        <v>255</v>
      </c>
      <c r="D41" s="280"/>
      <c r="E41" s="78" cm="1">
        <f t="array" ref="E41">_xlfn.XLOOKUP(D$2,$D$112:$BF$112,$D149:BF149,0,0)</f>
        <v>0</v>
      </c>
      <c r="F41" s="280"/>
      <c r="G41" s="78">
        <f t="shared" si="47"/>
        <v>0</v>
      </c>
      <c r="H41" s="280"/>
      <c r="I41" s="78">
        <f t="shared" si="48"/>
        <v>0</v>
      </c>
      <c r="J41" s="280">
        <v>0</v>
      </c>
      <c r="K41" s="78">
        <f t="shared" si="49"/>
        <v>0</v>
      </c>
      <c r="L41" s="280"/>
      <c r="M41" s="78">
        <f t="shared" si="49"/>
        <v>0</v>
      </c>
      <c r="N41" s="280"/>
      <c r="O41" s="78">
        <f t="shared" si="50"/>
        <v>0</v>
      </c>
      <c r="P41" s="280"/>
      <c r="Q41" s="78">
        <f t="shared" si="51"/>
        <v>0</v>
      </c>
      <c r="R41" s="280"/>
      <c r="S41" s="78">
        <f t="shared" si="52"/>
        <v>0</v>
      </c>
      <c r="T41" s="280"/>
      <c r="U41" s="78">
        <f t="shared" si="53"/>
        <v>0</v>
      </c>
      <c r="V41" s="280"/>
      <c r="W41" s="78">
        <f t="shared" si="54"/>
        <v>0</v>
      </c>
      <c r="X41" s="280"/>
      <c r="Y41" s="78"/>
      <c r="Z41" s="280"/>
      <c r="AA41" s="78"/>
      <c r="AB41" s="280"/>
      <c r="AC41" s="78"/>
      <c r="AD41" s="280"/>
      <c r="AE41" s="78"/>
      <c r="AF41" s="280"/>
      <c r="AG41" s="78"/>
      <c r="AH41" s="280"/>
      <c r="AI41" s="78"/>
      <c r="AJ41" s="280"/>
      <c r="AK41" s="78"/>
      <c r="AL41" s="280"/>
      <c r="AM41" s="78"/>
      <c r="AN41" s="280"/>
      <c r="AO41" s="78"/>
      <c r="AP41" s="280"/>
      <c r="AQ41" s="78"/>
      <c r="AR41" s="280"/>
      <c r="AS41" s="78"/>
      <c r="AT41" s="280"/>
      <c r="AU41" s="78"/>
      <c r="AV41" s="280"/>
      <c r="AW41" s="78"/>
      <c r="AX41" s="280"/>
      <c r="AY41" s="78"/>
      <c r="AZ41" s="280"/>
      <c r="BA41" s="78"/>
      <c r="BB41" s="280"/>
      <c r="BC41" s="78"/>
      <c r="BD41" s="280"/>
      <c r="BE41" s="78"/>
      <c r="BF41" s="280"/>
      <c r="BG41" s="78"/>
      <c r="BH41" s="280"/>
      <c r="BI41" s="78"/>
      <c r="BJ41" s="280"/>
      <c r="BK41" s="78"/>
      <c r="BL41" s="280"/>
      <c r="BM41" s="78"/>
      <c r="BN41" s="280"/>
      <c r="BO41" s="78"/>
      <c r="BP41" s="280"/>
      <c r="BQ41" s="78"/>
      <c r="BR41" s="280"/>
      <c r="BS41" s="78"/>
      <c r="BT41" s="280"/>
      <c r="BU41" s="78"/>
      <c r="BV41" s="280"/>
      <c r="BW41" s="78"/>
      <c r="BX41" s="280"/>
      <c r="BY41" s="78"/>
      <c r="BZ41" s="280"/>
      <c r="CA41" s="78"/>
      <c r="CB41" s="280"/>
      <c r="CC41" s="78"/>
      <c r="CD41" s="280"/>
      <c r="CE41" s="78"/>
      <c r="CF41" s="280"/>
      <c r="CG41" s="78"/>
      <c r="CH41" s="280"/>
      <c r="CI41" s="78"/>
      <c r="CJ41" s="280"/>
      <c r="CK41" s="78"/>
      <c r="CL41" s="280"/>
      <c r="CM41" s="78"/>
      <c r="CN41" s="280"/>
      <c r="CO41" s="78"/>
      <c r="CP41" s="77"/>
      <c r="CQ41" s="78"/>
      <c r="CR41" s="77"/>
      <c r="CS41" s="78"/>
      <c r="CT41" s="77"/>
      <c r="CU41" s="78"/>
      <c r="CV41" s="77"/>
      <c r="CW41" s="78"/>
      <c r="CX41" s="77"/>
      <c r="CY41" s="78"/>
      <c r="CZ41" s="77"/>
      <c r="DA41" s="78"/>
      <c r="DB41" s="77"/>
      <c r="DC41" s="78"/>
      <c r="DD41" s="77"/>
      <c r="DE41" s="78"/>
      <c r="DF41" s="77"/>
      <c r="DG41" s="78"/>
      <c r="DH41" s="77"/>
      <c r="DI41" s="78"/>
      <c r="DJ41" s="77"/>
      <c r="DK41" s="78"/>
      <c r="DL41" s="77"/>
      <c r="DM41" s="78"/>
      <c r="DN41" s="77"/>
      <c r="DO41" s="78"/>
      <c r="DP41" s="77"/>
      <c r="DQ41" s="78"/>
      <c r="DR41" s="77"/>
      <c r="DS41" s="78"/>
      <c r="DT41" s="77"/>
      <c r="DU41" s="78"/>
      <c r="DV41" s="77"/>
      <c r="DW41" s="78"/>
      <c r="DX41" s="77"/>
      <c r="DY41" s="78"/>
      <c r="DZ41" s="77"/>
      <c r="EA41" s="78"/>
      <c r="EB41" s="77"/>
      <c r="EC41" s="78"/>
      <c r="ED41" s="77"/>
      <c r="EE41" s="78"/>
      <c r="EF41" s="77"/>
      <c r="EG41" s="78"/>
      <c r="EH41" s="77"/>
      <c r="EI41" s="78"/>
      <c r="EJ41" s="77"/>
      <c r="EK41" s="78"/>
      <c r="EL41" s="77"/>
      <c r="EM41" s="78"/>
      <c r="EN41" s="77"/>
      <c r="EO41" s="78"/>
      <c r="EP41" s="77"/>
      <c r="EQ41" s="78"/>
      <c r="ER41" s="77"/>
      <c r="ES41" s="78"/>
      <c r="ET41" s="77"/>
      <c r="EU41" s="78"/>
      <c r="EV41" s="77"/>
      <c r="EW41" s="78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  <c r="HN41"/>
      <c r="HO41"/>
      <c r="HP41"/>
      <c r="HQ41"/>
      <c r="HR41"/>
      <c r="HS41"/>
      <c r="HT41"/>
      <c r="HU41"/>
      <c r="HV41"/>
      <c r="HW41"/>
      <c r="HX41"/>
      <c r="HY41"/>
      <c r="HZ41"/>
      <c r="IA41"/>
      <c r="IB41"/>
      <c r="IC41"/>
      <c r="ID41"/>
      <c r="IE41"/>
      <c r="IF41"/>
      <c r="IG41"/>
      <c r="IH41"/>
      <c r="II41"/>
      <c r="IJ41"/>
      <c r="IK41"/>
      <c r="IL41"/>
      <c r="IM41"/>
      <c r="IN41"/>
      <c r="IO41"/>
      <c r="IP41"/>
      <c r="IQ41"/>
      <c r="IR41"/>
      <c r="IS41"/>
      <c r="IT41"/>
      <c r="IU41"/>
      <c r="IV41"/>
      <c r="IW41"/>
      <c r="IX41"/>
      <c r="IY41"/>
      <c r="IZ41"/>
      <c r="JA41"/>
      <c r="JB41"/>
      <c r="JC41"/>
      <c r="JD41"/>
      <c r="JE41"/>
      <c r="JF41"/>
      <c r="JG41"/>
      <c r="JH41"/>
      <c r="JI41"/>
      <c r="JJ41"/>
      <c r="JK41"/>
      <c r="JL41"/>
      <c r="JM41"/>
      <c r="JN41"/>
      <c r="JO41"/>
      <c r="JP41"/>
      <c r="JQ41"/>
      <c r="JR41"/>
      <c r="JS41"/>
      <c r="JT41"/>
      <c r="JU41"/>
      <c r="JV41"/>
      <c r="JW41"/>
      <c r="JX41"/>
      <c r="JY41"/>
      <c r="JZ41"/>
      <c r="KA41"/>
      <c r="KB41"/>
      <c r="KC41"/>
      <c r="KD41"/>
      <c r="KE41"/>
      <c r="KF41"/>
      <c r="KG41"/>
      <c r="KH41"/>
      <c r="KI41"/>
      <c r="KJ41"/>
      <c r="KK41"/>
      <c r="KL41"/>
      <c r="KM41"/>
      <c r="KN41"/>
      <c r="KO41"/>
      <c r="KP41"/>
      <c r="KQ41"/>
      <c r="KR41"/>
      <c r="KS41"/>
      <c r="KT41"/>
      <c r="KU41"/>
      <c r="KV41"/>
      <c r="KW41"/>
      <c r="KX41"/>
      <c r="KY41"/>
      <c r="KZ41"/>
      <c r="LA41"/>
      <c r="LB41"/>
      <c r="LC41"/>
      <c r="LD41"/>
      <c r="LE41"/>
      <c r="LF41"/>
      <c r="LG41"/>
      <c r="LH41"/>
      <c r="LI41"/>
      <c r="LJ41"/>
      <c r="LK41"/>
      <c r="LL41"/>
      <c r="LM41"/>
      <c r="LN41"/>
      <c r="LO41"/>
      <c r="LP41"/>
      <c r="LQ41"/>
      <c r="LR41"/>
      <c r="LS41"/>
      <c r="LT41"/>
      <c r="LU41"/>
      <c r="LV41"/>
      <c r="LW41"/>
      <c r="LX41"/>
      <c r="LY41"/>
      <c r="LZ41"/>
      <c r="MA41"/>
      <c r="MB41"/>
      <c r="MC41"/>
      <c r="MD41"/>
      <c r="ME41"/>
      <c r="MF41"/>
      <c r="MG41"/>
      <c r="MH41"/>
      <c r="MI41"/>
      <c r="MJ41"/>
      <c r="MK41"/>
      <c r="ML41"/>
    </row>
    <row r="42" spans="1:350" s="233" customFormat="1" ht="15" customHeight="1" x14ac:dyDescent="0.3">
      <c r="A42" s="77">
        <f>_xlfn.XLOOKUP(DADOS!$B$3,DADOS!$D$2:$DI$2,DADOS!$D42:$DI42,"",0)</f>
        <v>0</v>
      </c>
      <c r="B42" s="78">
        <f>_xlfn.XLOOKUP(DADOS!$B$3,DADOS!$E$112:$AS$112,DADOS!$E150:$AS150,"",0)</f>
        <v>0</v>
      </c>
      <c r="C42" s="295" t="s">
        <v>252</v>
      </c>
      <c r="D42" s="280"/>
      <c r="E42" s="78" cm="1">
        <f t="array" ref="E42">_xlfn.XLOOKUP(D$2,$D$112:$BF$112,$D150:BF150,0,0)</f>
        <v>0</v>
      </c>
      <c r="F42" s="280"/>
      <c r="G42" s="78">
        <f t="shared" si="47"/>
        <v>0</v>
      </c>
      <c r="H42" s="280"/>
      <c r="I42" s="78">
        <f t="shared" si="48"/>
        <v>0</v>
      </c>
      <c r="J42" s="280">
        <v>0</v>
      </c>
      <c r="K42" s="78">
        <f t="shared" si="49"/>
        <v>0</v>
      </c>
      <c r="L42" s="280"/>
      <c r="M42" s="78">
        <f t="shared" si="49"/>
        <v>0.67</v>
      </c>
      <c r="N42" s="280"/>
      <c r="O42" s="78">
        <f t="shared" si="50"/>
        <v>0.04</v>
      </c>
      <c r="P42" s="280"/>
      <c r="Q42" s="78">
        <f t="shared" si="51"/>
        <v>0.67</v>
      </c>
      <c r="R42" s="280"/>
      <c r="S42" s="78">
        <f t="shared" si="52"/>
        <v>0.95</v>
      </c>
      <c r="T42" s="280"/>
      <c r="U42" s="78">
        <f t="shared" si="53"/>
        <v>1</v>
      </c>
      <c r="V42" s="280"/>
      <c r="W42" s="78">
        <f t="shared" si="54"/>
        <v>1</v>
      </c>
      <c r="X42" s="280"/>
      <c r="Y42" s="78"/>
      <c r="Z42" s="280"/>
      <c r="AA42" s="78"/>
      <c r="AB42" s="280"/>
      <c r="AC42" s="78"/>
      <c r="AD42" s="280"/>
      <c r="AE42" s="78"/>
      <c r="AF42" s="280"/>
      <c r="AG42" s="78"/>
      <c r="AH42" s="280"/>
      <c r="AI42" s="78"/>
      <c r="AJ42" s="280"/>
      <c r="AK42" s="78"/>
      <c r="AL42" s="280"/>
      <c r="AM42" s="78"/>
      <c r="AN42" s="280"/>
      <c r="AO42" s="78"/>
      <c r="AP42" s="280"/>
      <c r="AQ42" s="78"/>
      <c r="AR42" s="280"/>
      <c r="AS42" s="78"/>
      <c r="AT42" s="280"/>
      <c r="AU42" s="78"/>
      <c r="AV42" s="280"/>
      <c r="AW42" s="78"/>
      <c r="AX42" s="280"/>
      <c r="AY42" s="78"/>
      <c r="AZ42" s="280"/>
      <c r="BA42" s="78"/>
      <c r="BB42" s="280"/>
      <c r="BC42" s="78"/>
      <c r="BD42" s="280"/>
      <c r="BE42" s="78"/>
      <c r="BF42" s="280"/>
      <c r="BG42" s="78"/>
      <c r="BH42" s="280"/>
      <c r="BI42" s="78"/>
      <c r="BJ42" s="280"/>
      <c r="BK42" s="78"/>
      <c r="BL42" s="280"/>
      <c r="BM42" s="78"/>
      <c r="BN42" s="280"/>
      <c r="BO42" s="78"/>
      <c r="BP42" s="280"/>
      <c r="BQ42" s="78"/>
      <c r="BR42" s="280"/>
      <c r="BS42" s="78"/>
      <c r="BT42" s="280"/>
      <c r="BU42" s="78"/>
      <c r="BV42" s="280"/>
      <c r="BW42" s="78"/>
      <c r="BX42" s="280"/>
      <c r="BY42" s="78"/>
      <c r="BZ42" s="280"/>
      <c r="CA42" s="78"/>
      <c r="CB42" s="280"/>
      <c r="CC42" s="78"/>
      <c r="CD42" s="280"/>
      <c r="CE42" s="78"/>
      <c r="CF42" s="280"/>
      <c r="CG42" s="78"/>
      <c r="CH42" s="280"/>
      <c r="CI42" s="78"/>
      <c r="CJ42" s="280"/>
      <c r="CK42" s="78"/>
      <c r="CL42" s="280"/>
      <c r="CM42" s="78"/>
      <c r="CN42" s="280"/>
      <c r="CO42" s="78"/>
      <c r="CP42" s="77"/>
      <c r="CQ42" s="78"/>
      <c r="CR42" s="77"/>
      <c r="CS42" s="78"/>
      <c r="CT42" s="77"/>
      <c r="CU42" s="78"/>
      <c r="CV42" s="77"/>
      <c r="CW42" s="78"/>
      <c r="CX42" s="77"/>
      <c r="CY42" s="78"/>
      <c r="CZ42" s="77"/>
      <c r="DA42" s="78"/>
      <c r="DB42" s="77"/>
      <c r="DC42" s="78"/>
      <c r="DD42" s="77"/>
      <c r="DE42" s="78"/>
      <c r="DF42" s="77"/>
      <c r="DG42" s="78"/>
      <c r="DH42" s="77"/>
      <c r="DI42" s="78"/>
      <c r="DJ42" s="77"/>
      <c r="DK42" s="78"/>
      <c r="DL42" s="77"/>
      <c r="DM42" s="78"/>
      <c r="DN42" s="77"/>
      <c r="DO42" s="78"/>
      <c r="DP42" s="77"/>
      <c r="DQ42" s="78"/>
      <c r="DR42" s="77"/>
      <c r="DS42" s="78"/>
      <c r="DT42" s="77"/>
      <c r="DU42" s="78"/>
      <c r="DV42" s="77"/>
      <c r="DW42" s="78"/>
      <c r="DX42" s="77"/>
      <c r="DY42" s="78"/>
      <c r="DZ42" s="77"/>
      <c r="EA42" s="78"/>
      <c r="EB42" s="77"/>
      <c r="EC42" s="78"/>
      <c r="ED42" s="77"/>
      <c r="EE42" s="78"/>
      <c r="EF42" s="77"/>
      <c r="EG42" s="78"/>
      <c r="EH42" s="77"/>
      <c r="EI42" s="78"/>
      <c r="EJ42" s="77"/>
      <c r="EK42" s="78"/>
      <c r="EL42" s="77"/>
      <c r="EM42" s="78"/>
      <c r="EN42" s="77"/>
      <c r="EO42" s="78"/>
      <c r="EP42" s="77"/>
      <c r="EQ42" s="78"/>
      <c r="ER42" s="77"/>
      <c r="ES42" s="78"/>
      <c r="ET42" s="77"/>
      <c r="EU42" s="78"/>
      <c r="EV42" s="77"/>
      <c r="EW42" s="78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/>
      <c r="HE42"/>
      <c r="HF42"/>
      <c r="HG42"/>
      <c r="HH42"/>
      <c r="HI42"/>
      <c r="HJ42"/>
      <c r="HK42"/>
      <c r="HL42"/>
      <c r="HM42"/>
      <c r="HN42"/>
      <c r="HO42"/>
      <c r="HP42"/>
      <c r="HQ42"/>
      <c r="HR42"/>
      <c r="HS42"/>
      <c r="HT42"/>
      <c r="HU42"/>
      <c r="HV42"/>
      <c r="HW42"/>
      <c r="HX42"/>
      <c r="HY42"/>
      <c r="HZ42"/>
      <c r="IA42"/>
      <c r="IB42"/>
      <c r="IC42"/>
      <c r="ID42"/>
      <c r="IE42"/>
      <c r="IF42"/>
      <c r="IG42"/>
      <c r="IH42"/>
      <c r="II42"/>
      <c r="IJ42"/>
      <c r="IK42"/>
      <c r="IL42"/>
      <c r="IM42"/>
      <c r="IN42"/>
      <c r="IO42"/>
      <c r="IP42"/>
      <c r="IQ42"/>
      <c r="IR42"/>
      <c r="IS42"/>
      <c r="IT42"/>
      <c r="IU42"/>
      <c r="IV42"/>
      <c r="IW42"/>
      <c r="IX42"/>
      <c r="IY42"/>
      <c r="IZ42"/>
      <c r="JA42"/>
      <c r="JB42"/>
      <c r="JC42"/>
      <c r="JD42"/>
      <c r="JE42"/>
      <c r="JF42"/>
      <c r="JG42"/>
      <c r="JH42"/>
      <c r="JI42"/>
      <c r="JJ42"/>
      <c r="JK42"/>
      <c r="JL42"/>
      <c r="JM42"/>
      <c r="JN42"/>
      <c r="JO42"/>
      <c r="JP42"/>
      <c r="JQ42"/>
      <c r="JR42"/>
      <c r="JS42"/>
      <c r="JT42"/>
      <c r="JU42"/>
      <c r="JV42"/>
      <c r="JW42"/>
      <c r="JX42"/>
      <c r="JY42"/>
      <c r="JZ42"/>
      <c r="KA42"/>
      <c r="KB42"/>
      <c r="KC42"/>
      <c r="KD42"/>
      <c r="KE42"/>
      <c r="KF42"/>
      <c r="KG42"/>
      <c r="KH42"/>
      <c r="KI42"/>
      <c r="KJ42"/>
      <c r="KK42"/>
      <c r="KL42"/>
      <c r="KM42"/>
      <c r="KN42"/>
      <c r="KO42"/>
      <c r="KP42"/>
      <c r="KQ42"/>
      <c r="KR42"/>
      <c r="KS42"/>
      <c r="KT42"/>
      <c r="KU42"/>
      <c r="KV42"/>
      <c r="KW42"/>
      <c r="KX42"/>
      <c r="KY42"/>
      <c r="KZ42"/>
      <c r="LA42"/>
      <c r="LB42"/>
      <c r="LC42"/>
      <c r="LD42"/>
      <c r="LE42"/>
      <c r="LF42"/>
      <c r="LG42"/>
      <c r="LH42"/>
      <c r="LI42"/>
      <c r="LJ42"/>
      <c r="LK42"/>
      <c r="LL42"/>
      <c r="LM42"/>
      <c r="LN42"/>
      <c r="LO42"/>
      <c r="LP42"/>
      <c r="LQ42"/>
      <c r="LR42"/>
      <c r="LS42"/>
      <c r="LT42"/>
      <c r="LU42"/>
      <c r="LV42"/>
      <c r="LW42"/>
      <c r="LX42"/>
      <c r="LY42"/>
      <c r="LZ42"/>
      <c r="MA42"/>
      <c r="MB42"/>
      <c r="MC42"/>
      <c r="MD42"/>
      <c r="ME42"/>
      <c r="MF42"/>
      <c r="MG42"/>
      <c r="MH42"/>
      <c r="MI42"/>
      <c r="MJ42"/>
      <c r="MK42"/>
      <c r="ML42"/>
    </row>
    <row r="43" spans="1:350" s="233" customFormat="1" ht="15" customHeight="1" x14ac:dyDescent="0.3">
      <c r="A43" s="77">
        <f>_xlfn.XLOOKUP(DADOS!$B$3,DADOS!$D$2:$DI$2,DADOS!$D43:$DI43,"",0)</f>
        <v>0</v>
      </c>
      <c r="B43" s="78">
        <f>_xlfn.XLOOKUP(DADOS!$B$3,DADOS!$E$112:$AS$112,DADOS!$E151:$AS151,"",0)</f>
        <v>0</v>
      </c>
      <c r="C43" s="295" t="s">
        <v>241</v>
      </c>
      <c r="D43" s="280"/>
      <c r="E43" s="78" cm="1">
        <f t="array" ref="E43">_xlfn.XLOOKUP(D$2,$D$112:$BF$112,$D151:BF151,0,0)</f>
        <v>0</v>
      </c>
      <c r="F43" s="280"/>
      <c r="G43" s="78">
        <f t="shared" si="47"/>
        <v>0</v>
      </c>
      <c r="H43" s="280"/>
      <c r="I43" s="78">
        <f t="shared" si="48"/>
        <v>0</v>
      </c>
      <c r="J43" s="280">
        <v>0</v>
      </c>
      <c r="K43" s="78">
        <f t="shared" si="49"/>
        <v>0</v>
      </c>
      <c r="L43" s="280"/>
      <c r="M43" s="78">
        <f t="shared" si="49"/>
        <v>0</v>
      </c>
      <c r="N43" s="280"/>
      <c r="O43" s="78">
        <f t="shared" si="50"/>
        <v>0</v>
      </c>
      <c r="P43" s="280"/>
      <c r="Q43" s="78">
        <f t="shared" si="51"/>
        <v>0</v>
      </c>
      <c r="R43" s="280"/>
      <c r="S43" s="78">
        <f t="shared" si="52"/>
        <v>0</v>
      </c>
      <c r="T43" s="280"/>
      <c r="U43" s="78">
        <f t="shared" si="53"/>
        <v>0</v>
      </c>
      <c r="V43" s="280"/>
      <c r="W43" s="78">
        <f t="shared" si="54"/>
        <v>0</v>
      </c>
      <c r="X43" s="280"/>
      <c r="Y43" s="78"/>
      <c r="Z43" s="280"/>
      <c r="AA43" s="78"/>
      <c r="AB43" s="280"/>
      <c r="AC43" s="78"/>
      <c r="AD43" s="280"/>
      <c r="AE43" s="78"/>
      <c r="AF43" s="280"/>
      <c r="AG43" s="78"/>
      <c r="AH43" s="280"/>
      <c r="AI43" s="78"/>
      <c r="AJ43" s="280"/>
      <c r="AK43" s="78"/>
      <c r="AL43" s="280"/>
      <c r="AM43" s="78"/>
      <c r="AN43" s="280"/>
      <c r="AO43" s="78"/>
      <c r="AP43" s="280"/>
      <c r="AQ43" s="78"/>
      <c r="AR43" s="280"/>
      <c r="AS43" s="78"/>
      <c r="AT43" s="280"/>
      <c r="AU43" s="78"/>
      <c r="AV43" s="280"/>
      <c r="AW43" s="78"/>
      <c r="AX43" s="280"/>
      <c r="AY43" s="78"/>
      <c r="AZ43" s="280"/>
      <c r="BA43" s="78"/>
      <c r="BB43" s="280"/>
      <c r="BC43" s="78"/>
      <c r="BD43" s="280"/>
      <c r="BE43" s="78"/>
      <c r="BF43" s="280"/>
      <c r="BG43" s="78"/>
      <c r="BH43" s="280"/>
      <c r="BI43" s="78"/>
      <c r="BJ43" s="280"/>
      <c r="BK43" s="78"/>
      <c r="BL43" s="280"/>
      <c r="BM43" s="78"/>
      <c r="BN43" s="280"/>
      <c r="BO43" s="78"/>
      <c r="BP43" s="280"/>
      <c r="BQ43" s="78"/>
      <c r="BR43" s="280"/>
      <c r="BS43" s="78"/>
      <c r="BT43" s="280"/>
      <c r="BU43" s="78"/>
      <c r="BV43" s="280"/>
      <c r="BW43" s="78"/>
      <c r="BX43" s="280"/>
      <c r="BY43" s="78"/>
      <c r="BZ43" s="280"/>
      <c r="CA43" s="78"/>
      <c r="CB43" s="280"/>
      <c r="CC43" s="78"/>
      <c r="CD43" s="280"/>
      <c r="CE43" s="78"/>
      <c r="CF43" s="280"/>
      <c r="CG43" s="78"/>
      <c r="CH43" s="280"/>
      <c r="CI43" s="78"/>
      <c r="CJ43" s="280"/>
      <c r="CK43" s="78"/>
      <c r="CL43" s="280"/>
      <c r="CM43" s="78"/>
      <c r="CN43" s="280"/>
      <c r="CO43" s="78"/>
      <c r="CP43" s="77"/>
      <c r="CQ43" s="78"/>
      <c r="CR43" s="77"/>
      <c r="CS43" s="78"/>
      <c r="CT43" s="77"/>
      <c r="CU43" s="78"/>
      <c r="CV43" s="77"/>
      <c r="CW43" s="78"/>
      <c r="CX43" s="77"/>
      <c r="CY43" s="78"/>
      <c r="CZ43" s="77"/>
      <c r="DA43" s="78"/>
      <c r="DB43" s="77"/>
      <c r="DC43" s="78"/>
      <c r="DD43" s="77"/>
      <c r="DE43" s="78"/>
      <c r="DF43" s="77"/>
      <c r="DG43" s="78"/>
      <c r="DH43" s="77"/>
      <c r="DI43" s="78"/>
      <c r="DJ43" s="77"/>
      <c r="DK43" s="78"/>
      <c r="DL43" s="77"/>
      <c r="DM43" s="78"/>
      <c r="DN43" s="77"/>
      <c r="DO43" s="78"/>
      <c r="DP43" s="77"/>
      <c r="DQ43" s="78"/>
      <c r="DR43" s="77"/>
      <c r="DS43" s="78"/>
      <c r="DT43" s="77"/>
      <c r="DU43" s="78"/>
      <c r="DV43" s="77"/>
      <c r="DW43" s="78"/>
      <c r="DX43" s="77"/>
      <c r="DY43" s="78"/>
      <c r="DZ43" s="77"/>
      <c r="EA43" s="78"/>
      <c r="EB43" s="77"/>
      <c r="EC43" s="78"/>
      <c r="ED43" s="77"/>
      <c r="EE43" s="78"/>
      <c r="EF43" s="77"/>
      <c r="EG43" s="78"/>
      <c r="EH43" s="77"/>
      <c r="EI43" s="78"/>
      <c r="EJ43" s="77"/>
      <c r="EK43" s="78"/>
      <c r="EL43" s="77"/>
      <c r="EM43" s="78"/>
      <c r="EN43" s="77"/>
      <c r="EO43" s="78"/>
      <c r="EP43" s="77"/>
      <c r="EQ43" s="78"/>
      <c r="ER43" s="77"/>
      <c r="ES43" s="78"/>
      <c r="ET43" s="77"/>
      <c r="EU43" s="78"/>
      <c r="EV43" s="77"/>
      <c r="EW43" s="78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  <c r="HN43"/>
      <c r="HO43"/>
      <c r="HP43"/>
      <c r="HQ43"/>
      <c r="HR43"/>
      <c r="HS43"/>
      <c r="HT43"/>
      <c r="HU43"/>
      <c r="HV43"/>
      <c r="HW43"/>
      <c r="HX43"/>
      <c r="HY43"/>
      <c r="HZ43"/>
      <c r="IA43"/>
      <c r="IB43"/>
      <c r="IC43"/>
      <c r="ID43"/>
      <c r="IE43"/>
      <c r="IF43"/>
      <c r="IG43"/>
      <c r="IH43"/>
      <c r="II43"/>
      <c r="IJ43"/>
      <c r="IK43"/>
      <c r="IL43"/>
      <c r="IM43"/>
      <c r="IN43"/>
      <c r="IO43"/>
      <c r="IP43"/>
      <c r="IQ43"/>
      <c r="IR43"/>
      <c r="IS43"/>
      <c r="IT43"/>
      <c r="IU43"/>
      <c r="IV43"/>
      <c r="IW43"/>
      <c r="IX43"/>
      <c r="IY43"/>
      <c r="IZ43"/>
      <c r="JA43"/>
      <c r="JB43"/>
      <c r="JC43"/>
      <c r="JD43"/>
      <c r="JE43"/>
      <c r="JF43"/>
      <c r="JG43"/>
      <c r="JH43"/>
      <c r="JI43"/>
      <c r="JJ43"/>
      <c r="JK43"/>
      <c r="JL43"/>
      <c r="JM43"/>
      <c r="JN43"/>
      <c r="JO43"/>
      <c r="JP43"/>
      <c r="JQ43"/>
      <c r="JR43"/>
      <c r="JS43"/>
      <c r="JT43"/>
      <c r="JU43"/>
      <c r="JV43"/>
      <c r="JW43"/>
      <c r="JX43"/>
      <c r="JY43"/>
      <c r="JZ43"/>
      <c r="KA43"/>
      <c r="KB43"/>
      <c r="KC43"/>
      <c r="KD43"/>
      <c r="KE43"/>
      <c r="KF43"/>
      <c r="KG43"/>
      <c r="KH43"/>
      <c r="KI43"/>
      <c r="KJ43"/>
      <c r="KK43"/>
      <c r="KL43"/>
      <c r="KM43"/>
      <c r="KN43"/>
      <c r="KO43"/>
      <c r="KP43"/>
      <c r="KQ43"/>
      <c r="KR43"/>
      <c r="KS43"/>
      <c r="KT43"/>
      <c r="KU43"/>
      <c r="KV43"/>
      <c r="KW43"/>
      <c r="KX43"/>
      <c r="KY43"/>
      <c r="KZ43"/>
      <c r="LA43"/>
      <c r="LB43"/>
      <c r="LC43"/>
      <c r="LD43"/>
      <c r="LE43"/>
      <c r="LF43"/>
      <c r="LG43"/>
      <c r="LH43"/>
      <c r="LI43"/>
      <c r="LJ43"/>
      <c r="LK43"/>
      <c r="LL43"/>
      <c r="LM43"/>
      <c r="LN43"/>
      <c r="LO43"/>
      <c r="LP43"/>
      <c r="LQ43"/>
      <c r="LR43"/>
      <c r="LS43"/>
      <c r="LT43"/>
      <c r="LU43"/>
      <c r="LV43"/>
      <c r="LW43"/>
      <c r="LX43"/>
      <c r="LY43"/>
      <c r="LZ43"/>
      <c r="MA43"/>
      <c r="MB43"/>
      <c r="MC43"/>
      <c r="MD43"/>
      <c r="ME43"/>
      <c r="MF43"/>
      <c r="MG43"/>
      <c r="MH43"/>
      <c r="MI43"/>
      <c r="MJ43"/>
      <c r="MK43"/>
      <c r="ML43"/>
    </row>
    <row r="44" spans="1:350" s="233" customFormat="1" ht="15" customHeight="1" x14ac:dyDescent="0.3">
      <c r="A44" s="77">
        <f>_xlfn.XLOOKUP(DADOS!$B$3,DADOS!$D$2:$DI$2,DADOS!$D44:$DI44,"",0)</f>
        <v>0</v>
      </c>
      <c r="B44" s="78">
        <f>_xlfn.XLOOKUP(DADOS!$B$3,DADOS!$E$112:$AS$112,DADOS!$E152:$AS152,"",0)</f>
        <v>0</v>
      </c>
      <c r="C44" s="295" t="s">
        <v>242</v>
      </c>
      <c r="D44" s="280"/>
      <c r="E44" s="78" cm="1">
        <f t="array" ref="E44">_xlfn.XLOOKUP(D$2,$D$112:$BF$112,$D152:BF152,0,0)</f>
        <v>0</v>
      </c>
      <c r="F44" s="280"/>
      <c r="G44" s="78">
        <f t="shared" si="47"/>
        <v>0</v>
      </c>
      <c r="H44" s="280"/>
      <c r="I44" s="78">
        <f t="shared" si="48"/>
        <v>0</v>
      </c>
      <c r="J44" s="280">
        <v>0</v>
      </c>
      <c r="K44" s="78">
        <f t="shared" si="49"/>
        <v>0</v>
      </c>
      <c r="L44" s="280"/>
      <c r="M44" s="78">
        <f t="shared" si="49"/>
        <v>0</v>
      </c>
      <c r="N44" s="280"/>
      <c r="O44" s="78">
        <f t="shared" si="50"/>
        <v>0</v>
      </c>
      <c r="P44" s="280"/>
      <c r="Q44" s="78">
        <f t="shared" si="51"/>
        <v>0</v>
      </c>
      <c r="R44" s="280"/>
      <c r="S44" s="78">
        <f t="shared" si="52"/>
        <v>0</v>
      </c>
      <c r="T44" s="280"/>
      <c r="U44" s="78">
        <f t="shared" si="53"/>
        <v>0</v>
      </c>
      <c r="V44" s="280"/>
      <c r="W44" s="78">
        <f t="shared" si="54"/>
        <v>0</v>
      </c>
      <c r="X44" s="280"/>
      <c r="Y44" s="78"/>
      <c r="Z44" s="280"/>
      <c r="AA44" s="78"/>
      <c r="AB44" s="280"/>
      <c r="AC44" s="78"/>
      <c r="AD44" s="280"/>
      <c r="AE44" s="78"/>
      <c r="AF44" s="280"/>
      <c r="AG44" s="78"/>
      <c r="AH44" s="280"/>
      <c r="AI44" s="78"/>
      <c r="AJ44" s="280"/>
      <c r="AK44" s="78"/>
      <c r="AL44" s="280"/>
      <c r="AM44" s="78"/>
      <c r="AN44" s="280"/>
      <c r="AO44" s="78"/>
      <c r="AP44" s="280"/>
      <c r="AQ44" s="78"/>
      <c r="AR44" s="280"/>
      <c r="AS44" s="78"/>
      <c r="AT44" s="280"/>
      <c r="AU44" s="78"/>
      <c r="AV44" s="280"/>
      <c r="AW44" s="78"/>
      <c r="AX44" s="280"/>
      <c r="AY44" s="78"/>
      <c r="AZ44" s="280"/>
      <c r="BA44" s="78"/>
      <c r="BB44" s="280"/>
      <c r="BC44" s="78"/>
      <c r="BD44" s="280"/>
      <c r="BE44" s="78"/>
      <c r="BF44" s="280"/>
      <c r="BG44" s="78"/>
      <c r="BH44" s="280"/>
      <c r="BI44" s="78"/>
      <c r="BJ44" s="280"/>
      <c r="BK44" s="78"/>
      <c r="BL44" s="280"/>
      <c r="BM44" s="78"/>
      <c r="BN44" s="280"/>
      <c r="BO44" s="78"/>
      <c r="BP44" s="280"/>
      <c r="BQ44" s="78"/>
      <c r="BR44" s="280"/>
      <c r="BS44" s="78"/>
      <c r="BT44" s="280"/>
      <c r="BU44" s="78"/>
      <c r="BV44" s="280"/>
      <c r="BW44" s="78"/>
      <c r="BX44" s="280"/>
      <c r="BY44" s="78"/>
      <c r="BZ44" s="280"/>
      <c r="CA44" s="78"/>
      <c r="CB44" s="280"/>
      <c r="CC44" s="78"/>
      <c r="CD44" s="280"/>
      <c r="CE44" s="78"/>
      <c r="CF44" s="280"/>
      <c r="CG44" s="78"/>
      <c r="CH44" s="280"/>
      <c r="CI44" s="78"/>
      <c r="CJ44" s="280"/>
      <c r="CK44" s="78"/>
      <c r="CL44" s="280"/>
      <c r="CM44" s="78"/>
      <c r="CN44" s="280"/>
      <c r="CO44" s="78"/>
      <c r="CP44" s="77"/>
      <c r="CQ44" s="78"/>
      <c r="CR44" s="77"/>
      <c r="CS44" s="78"/>
      <c r="CT44" s="77"/>
      <c r="CU44" s="78"/>
      <c r="CV44" s="77"/>
      <c r="CW44" s="78"/>
      <c r="CX44" s="77"/>
      <c r="CY44" s="78"/>
      <c r="CZ44" s="77"/>
      <c r="DA44" s="78"/>
      <c r="DB44" s="77"/>
      <c r="DC44" s="78"/>
      <c r="DD44" s="77"/>
      <c r="DE44" s="78"/>
      <c r="DF44" s="77"/>
      <c r="DG44" s="78"/>
      <c r="DH44" s="77"/>
      <c r="DI44" s="78"/>
      <c r="DJ44" s="77"/>
      <c r="DK44" s="78"/>
      <c r="DL44" s="77"/>
      <c r="DM44" s="78"/>
      <c r="DN44" s="77"/>
      <c r="DO44" s="78"/>
      <c r="DP44" s="77"/>
      <c r="DQ44" s="78"/>
      <c r="DR44" s="77"/>
      <c r="DS44" s="78"/>
      <c r="DT44" s="77"/>
      <c r="DU44" s="78"/>
      <c r="DV44" s="77"/>
      <c r="DW44" s="78"/>
      <c r="DX44" s="77"/>
      <c r="DY44" s="78"/>
      <c r="DZ44" s="77"/>
      <c r="EA44" s="78"/>
      <c r="EB44" s="77"/>
      <c r="EC44" s="78"/>
      <c r="ED44" s="77"/>
      <c r="EE44" s="78"/>
      <c r="EF44" s="77"/>
      <c r="EG44" s="78"/>
      <c r="EH44" s="77"/>
      <c r="EI44" s="78"/>
      <c r="EJ44" s="77"/>
      <c r="EK44" s="78"/>
      <c r="EL44" s="77"/>
      <c r="EM44" s="78"/>
      <c r="EN44" s="77"/>
      <c r="EO44" s="78"/>
      <c r="EP44" s="77"/>
      <c r="EQ44" s="78"/>
      <c r="ER44" s="77"/>
      <c r="ES44" s="78"/>
      <c r="ET44" s="77"/>
      <c r="EU44" s="78"/>
      <c r="EV44" s="77"/>
      <c r="EW44" s="78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/>
      <c r="HD44"/>
      <c r="HE44"/>
      <c r="HF44"/>
      <c r="HG44"/>
      <c r="HH44"/>
      <c r="HI44"/>
      <c r="HJ44"/>
      <c r="HK44"/>
      <c r="HL44"/>
      <c r="HM44"/>
      <c r="HN44"/>
      <c r="HO44"/>
      <c r="HP44"/>
      <c r="HQ44"/>
      <c r="HR44"/>
      <c r="HS44"/>
      <c r="HT44"/>
      <c r="HU44"/>
      <c r="HV44"/>
      <c r="HW44"/>
      <c r="HX44"/>
      <c r="HY44"/>
      <c r="HZ44"/>
      <c r="IA44"/>
      <c r="IB44"/>
      <c r="IC44"/>
      <c r="ID44"/>
      <c r="IE44"/>
      <c r="IF44"/>
      <c r="IG44"/>
      <c r="IH44"/>
      <c r="II44"/>
      <c r="IJ44"/>
      <c r="IK44"/>
      <c r="IL44"/>
      <c r="IM44"/>
      <c r="IN44"/>
      <c r="IO44"/>
      <c r="IP44"/>
      <c r="IQ44"/>
      <c r="IR44"/>
      <c r="IS44"/>
      <c r="IT44"/>
      <c r="IU44"/>
      <c r="IV44"/>
      <c r="IW44"/>
      <c r="IX44"/>
      <c r="IY44"/>
      <c r="IZ44"/>
      <c r="JA44"/>
      <c r="JB44"/>
      <c r="JC44"/>
      <c r="JD44"/>
      <c r="JE44"/>
      <c r="JF44"/>
      <c r="JG44"/>
      <c r="JH44"/>
      <c r="JI44"/>
      <c r="JJ44"/>
      <c r="JK44"/>
      <c r="JL44"/>
      <c r="JM44"/>
      <c r="JN44"/>
      <c r="JO44"/>
      <c r="JP44"/>
      <c r="JQ44"/>
      <c r="JR44"/>
      <c r="JS44"/>
      <c r="JT44"/>
      <c r="JU44"/>
      <c r="JV44"/>
      <c r="JW44"/>
      <c r="JX44"/>
      <c r="JY44"/>
      <c r="JZ44"/>
      <c r="KA44"/>
      <c r="KB44"/>
      <c r="KC44"/>
      <c r="KD44"/>
      <c r="KE44"/>
      <c r="KF44"/>
      <c r="KG44"/>
      <c r="KH44"/>
      <c r="KI44"/>
      <c r="KJ44"/>
      <c r="KK44"/>
      <c r="KL44"/>
      <c r="KM44"/>
      <c r="KN44"/>
      <c r="KO44"/>
      <c r="KP44"/>
      <c r="KQ44"/>
      <c r="KR44"/>
      <c r="KS44"/>
      <c r="KT44"/>
      <c r="KU44"/>
      <c r="KV44"/>
      <c r="KW44"/>
      <c r="KX44"/>
      <c r="KY44"/>
      <c r="KZ44"/>
      <c r="LA44"/>
      <c r="LB44"/>
      <c r="LC44"/>
      <c r="LD44"/>
      <c r="LE44"/>
      <c r="LF44"/>
      <c r="LG44"/>
      <c r="LH44"/>
      <c r="LI44"/>
      <c r="LJ44"/>
      <c r="LK44"/>
      <c r="LL44"/>
      <c r="LM44"/>
      <c r="LN44"/>
      <c r="LO44"/>
      <c r="LP44"/>
      <c r="LQ44"/>
      <c r="LR44"/>
      <c r="LS44"/>
      <c r="LT44"/>
      <c r="LU44"/>
      <c r="LV44"/>
      <c r="LW44"/>
      <c r="LX44"/>
      <c r="LY44"/>
      <c r="LZ44"/>
      <c r="MA44"/>
      <c r="MB44"/>
      <c r="MC44"/>
      <c r="MD44"/>
      <c r="ME44"/>
      <c r="MF44"/>
      <c r="MG44"/>
      <c r="MH44"/>
      <c r="MI44"/>
      <c r="MJ44"/>
      <c r="MK44"/>
      <c r="ML44"/>
    </row>
    <row r="45" spans="1:350" s="233" customFormat="1" ht="15" customHeight="1" x14ac:dyDescent="0.3">
      <c r="A45" s="77">
        <f>_xlfn.XLOOKUP(DADOS!$B$3,DADOS!$D$2:$DI$2,DADOS!$D45:$DI45,"",0)</f>
        <v>0</v>
      </c>
      <c r="B45" s="78">
        <f>_xlfn.XLOOKUP(DADOS!$B$3,DADOS!$E$112:$AS$112,DADOS!$E153:$AS153,"",0)</f>
        <v>0</v>
      </c>
      <c r="C45" s="295" t="s">
        <v>243</v>
      </c>
      <c r="D45" s="280"/>
      <c r="E45" s="78" cm="1">
        <f t="array" ref="E45">_xlfn.XLOOKUP(D$2,$D$112:$BF$112,$D153:BF153,0,0)</f>
        <v>0</v>
      </c>
      <c r="F45" s="280"/>
      <c r="G45" s="78">
        <f t="shared" si="47"/>
        <v>0</v>
      </c>
      <c r="H45" s="280"/>
      <c r="I45" s="78">
        <f t="shared" si="48"/>
        <v>0</v>
      </c>
      <c r="J45" s="280">
        <v>0</v>
      </c>
      <c r="K45" s="78">
        <f t="shared" si="49"/>
        <v>0</v>
      </c>
      <c r="L45" s="280"/>
      <c r="M45" s="78">
        <f t="shared" si="49"/>
        <v>0</v>
      </c>
      <c r="N45" s="280"/>
      <c r="O45" s="78">
        <f t="shared" si="50"/>
        <v>0</v>
      </c>
      <c r="P45" s="280"/>
      <c r="Q45" s="78">
        <f t="shared" si="51"/>
        <v>0</v>
      </c>
      <c r="R45" s="280"/>
      <c r="S45" s="78">
        <f t="shared" si="52"/>
        <v>0</v>
      </c>
      <c r="T45" s="280"/>
      <c r="U45" s="78">
        <f t="shared" si="53"/>
        <v>0</v>
      </c>
      <c r="V45" s="280"/>
      <c r="W45" s="78">
        <f t="shared" si="54"/>
        <v>0</v>
      </c>
      <c r="X45" s="280"/>
      <c r="Y45" s="78"/>
      <c r="Z45" s="280"/>
      <c r="AA45" s="78"/>
      <c r="AB45" s="280"/>
      <c r="AC45" s="78"/>
      <c r="AD45" s="280"/>
      <c r="AE45" s="78"/>
      <c r="AF45" s="280"/>
      <c r="AG45" s="78"/>
      <c r="AH45" s="280"/>
      <c r="AI45" s="78"/>
      <c r="AJ45" s="280"/>
      <c r="AK45" s="78"/>
      <c r="AL45" s="280"/>
      <c r="AM45" s="78"/>
      <c r="AN45" s="280"/>
      <c r="AO45" s="78"/>
      <c r="AP45" s="280"/>
      <c r="AQ45" s="78"/>
      <c r="AR45" s="280"/>
      <c r="AS45" s="78"/>
      <c r="AT45" s="280"/>
      <c r="AU45" s="78"/>
      <c r="AV45" s="280"/>
      <c r="AW45" s="78"/>
      <c r="AX45" s="280"/>
      <c r="AY45" s="78"/>
      <c r="AZ45" s="280"/>
      <c r="BA45" s="78"/>
      <c r="BB45" s="280"/>
      <c r="BC45" s="78"/>
      <c r="BD45" s="280"/>
      <c r="BE45" s="78"/>
      <c r="BF45" s="280"/>
      <c r="BG45" s="78"/>
      <c r="BH45" s="280"/>
      <c r="BI45" s="78"/>
      <c r="BJ45" s="280"/>
      <c r="BK45" s="78"/>
      <c r="BL45" s="280"/>
      <c r="BM45" s="78"/>
      <c r="BN45" s="280"/>
      <c r="BO45" s="78"/>
      <c r="BP45" s="280"/>
      <c r="BQ45" s="78"/>
      <c r="BR45" s="280"/>
      <c r="BS45" s="78"/>
      <c r="BT45" s="280"/>
      <c r="BU45" s="78"/>
      <c r="BV45" s="280"/>
      <c r="BW45" s="78"/>
      <c r="BX45" s="280"/>
      <c r="BY45" s="78"/>
      <c r="BZ45" s="280"/>
      <c r="CA45" s="78"/>
      <c r="CB45" s="280"/>
      <c r="CC45" s="78"/>
      <c r="CD45" s="280"/>
      <c r="CE45" s="78"/>
      <c r="CF45" s="280"/>
      <c r="CG45" s="78"/>
      <c r="CH45" s="280"/>
      <c r="CI45" s="78"/>
      <c r="CJ45" s="280"/>
      <c r="CK45" s="78"/>
      <c r="CL45" s="280"/>
      <c r="CM45" s="78"/>
      <c r="CN45" s="280"/>
      <c r="CO45" s="78"/>
      <c r="CP45" s="77"/>
      <c r="CQ45" s="78"/>
      <c r="CR45" s="77"/>
      <c r="CS45" s="78"/>
      <c r="CT45" s="77"/>
      <c r="CU45" s="78"/>
      <c r="CV45" s="77"/>
      <c r="CW45" s="78"/>
      <c r="CX45" s="77"/>
      <c r="CY45" s="78"/>
      <c r="CZ45" s="77"/>
      <c r="DA45" s="78"/>
      <c r="DB45" s="77"/>
      <c r="DC45" s="78"/>
      <c r="DD45" s="77"/>
      <c r="DE45" s="78"/>
      <c r="DF45" s="77"/>
      <c r="DG45" s="78"/>
      <c r="DH45" s="77"/>
      <c r="DI45" s="78"/>
      <c r="DJ45" s="77"/>
      <c r="DK45" s="78"/>
      <c r="DL45" s="77"/>
      <c r="DM45" s="78"/>
      <c r="DN45" s="77"/>
      <c r="DO45" s="78"/>
      <c r="DP45" s="77"/>
      <c r="DQ45" s="78"/>
      <c r="DR45" s="77"/>
      <c r="DS45" s="78"/>
      <c r="DT45" s="77"/>
      <c r="DU45" s="78"/>
      <c r="DV45" s="77"/>
      <c r="DW45" s="78"/>
      <c r="DX45" s="77"/>
      <c r="DY45" s="78"/>
      <c r="DZ45" s="77"/>
      <c r="EA45" s="78"/>
      <c r="EB45" s="77"/>
      <c r="EC45" s="78"/>
      <c r="ED45" s="77"/>
      <c r="EE45" s="78"/>
      <c r="EF45" s="77"/>
      <c r="EG45" s="78"/>
      <c r="EH45" s="77"/>
      <c r="EI45" s="78"/>
      <c r="EJ45" s="77"/>
      <c r="EK45" s="78"/>
      <c r="EL45" s="77"/>
      <c r="EM45" s="78"/>
      <c r="EN45" s="77"/>
      <c r="EO45" s="78"/>
      <c r="EP45" s="77"/>
      <c r="EQ45" s="78"/>
      <c r="ER45" s="77"/>
      <c r="ES45" s="78"/>
      <c r="ET45" s="77"/>
      <c r="EU45" s="78"/>
      <c r="EV45" s="77"/>
      <c r="EW45" s="78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/>
      <c r="IW45"/>
      <c r="IX45"/>
      <c r="IY45"/>
      <c r="IZ45"/>
      <c r="JA45"/>
      <c r="JB45"/>
      <c r="JC45"/>
      <c r="JD45"/>
      <c r="JE45"/>
      <c r="JF45"/>
      <c r="JG45"/>
      <c r="JH45"/>
      <c r="JI45"/>
      <c r="JJ45"/>
      <c r="JK45"/>
      <c r="JL45"/>
      <c r="JM45"/>
      <c r="JN45"/>
      <c r="JO45"/>
      <c r="JP45"/>
      <c r="JQ45"/>
      <c r="JR45"/>
      <c r="JS45"/>
      <c r="JT45"/>
      <c r="JU45"/>
      <c r="JV45"/>
      <c r="JW45"/>
      <c r="JX45"/>
      <c r="JY45"/>
      <c r="JZ45"/>
      <c r="KA45"/>
      <c r="KB45"/>
      <c r="KC45"/>
      <c r="KD45"/>
      <c r="KE45"/>
      <c r="KF45"/>
      <c r="KG45"/>
      <c r="KH45"/>
      <c r="KI45"/>
      <c r="KJ45"/>
      <c r="KK45"/>
      <c r="KL45"/>
      <c r="KM45"/>
      <c r="KN45"/>
      <c r="KO45"/>
      <c r="KP45"/>
      <c r="KQ45"/>
      <c r="KR45"/>
      <c r="KS45"/>
      <c r="KT45"/>
      <c r="KU45"/>
      <c r="KV45"/>
      <c r="KW45"/>
      <c r="KX45"/>
      <c r="KY45"/>
      <c r="KZ45"/>
      <c r="LA45"/>
      <c r="LB45"/>
      <c r="LC45"/>
      <c r="LD45"/>
      <c r="LE45"/>
      <c r="LF45"/>
      <c r="LG45"/>
      <c r="LH45"/>
      <c r="LI45"/>
      <c r="LJ45"/>
      <c r="LK45"/>
      <c r="LL45"/>
      <c r="LM45"/>
      <c r="LN45"/>
      <c r="LO45"/>
      <c r="LP45"/>
      <c r="LQ45"/>
      <c r="LR45"/>
      <c r="LS45"/>
      <c r="LT45"/>
      <c r="LU45"/>
      <c r="LV45"/>
      <c r="LW45"/>
      <c r="LX45"/>
      <c r="LY45"/>
      <c r="LZ45"/>
      <c r="MA45"/>
      <c r="MB45"/>
      <c r="MC45"/>
      <c r="MD45"/>
      <c r="ME45"/>
      <c r="MF45"/>
      <c r="MG45"/>
      <c r="MH45"/>
      <c r="MI45"/>
      <c r="MJ45"/>
      <c r="MK45"/>
      <c r="ML45"/>
    </row>
    <row r="46" spans="1:350" s="233" customFormat="1" ht="15" customHeight="1" x14ac:dyDescent="0.3">
      <c r="A46" s="77">
        <f>_xlfn.XLOOKUP(DADOS!$B$3,DADOS!$D$2:$DI$2,DADOS!$D46:$DI46,"",0)</f>
        <v>0</v>
      </c>
      <c r="B46" s="78">
        <f>_xlfn.XLOOKUP(DADOS!$B$3,DADOS!$E$112:$AS$112,DADOS!$E154:$AS154,"",0)</f>
        <v>0</v>
      </c>
      <c r="C46" s="295" t="s">
        <v>272</v>
      </c>
      <c r="D46" s="280"/>
      <c r="E46" s="78" cm="1">
        <f t="array" ref="E46">_xlfn.XLOOKUP(D$2,$D$112:$BF$112,$D154:BF154,0,0)</f>
        <v>0</v>
      </c>
      <c r="F46" s="280"/>
      <c r="G46" s="78">
        <f t="shared" si="47"/>
        <v>0</v>
      </c>
      <c r="H46" s="280"/>
      <c r="I46" s="78">
        <f t="shared" si="48"/>
        <v>0</v>
      </c>
      <c r="J46" s="280">
        <v>0</v>
      </c>
      <c r="K46" s="78">
        <f t="shared" si="49"/>
        <v>0</v>
      </c>
      <c r="L46" s="280"/>
      <c r="M46" s="78">
        <f t="shared" si="49"/>
        <v>0</v>
      </c>
      <c r="N46" s="280"/>
      <c r="O46" s="78">
        <f t="shared" si="50"/>
        <v>0</v>
      </c>
      <c r="P46" s="280"/>
      <c r="Q46" s="78">
        <f t="shared" si="51"/>
        <v>0</v>
      </c>
      <c r="R46" s="280"/>
      <c r="S46" s="78">
        <f t="shared" si="52"/>
        <v>0</v>
      </c>
      <c r="T46" s="280"/>
      <c r="U46" s="78">
        <f t="shared" si="53"/>
        <v>0</v>
      </c>
      <c r="V46" s="280"/>
      <c r="W46" s="78">
        <f t="shared" si="54"/>
        <v>0</v>
      </c>
      <c r="X46" s="280"/>
      <c r="Y46" s="78"/>
      <c r="Z46" s="280"/>
      <c r="AA46" s="78"/>
      <c r="AB46" s="280"/>
      <c r="AC46" s="78"/>
      <c r="AD46" s="280"/>
      <c r="AE46" s="78"/>
      <c r="AF46" s="280"/>
      <c r="AG46" s="78"/>
      <c r="AH46" s="280"/>
      <c r="AI46" s="78"/>
      <c r="AJ46" s="280"/>
      <c r="AK46" s="78"/>
      <c r="AL46" s="280"/>
      <c r="AM46" s="78"/>
      <c r="AN46" s="280"/>
      <c r="AO46" s="78"/>
      <c r="AP46" s="280"/>
      <c r="AQ46" s="78"/>
      <c r="AR46" s="280"/>
      <c r="AS46" s="78"/>
      <c r="AT46" s="280"/>
      <c r="AU46" s="78"/>
      <c r="AV46" s="280"/>
      <c r="AW46" s="78"/>
      <c r="AX46" s="280"/>
      <c r="AY46" s="78"/>
      <c r="AZ46" s="280"/>
      <c r="BA46" s="78"/>
      <c r="BB46" s="280"/>
      <c r="BC46" s="78"/>
      <c r="BD46" s="280"/>
      <c r="BE46" s="78"/>
      <c r="BF46" s="280"/>
      <c r="BG46" s="78"/>
      <c r="BH46" s="280"/>
      <c r="BI46" s="78"/>
      <c r="BJ46" s="280"/>
      <c r="BK46" s="78"/>
      <c r="BL46" s="280"/>
      <c r="BM46" s="78"/>
      <c r="BN46" s="280"/>
      <c r="BO46" s="78"/>
      <c r="BP46" s="280"/>
      <c r="BQ46" s="78"/>
      <c r="BR46" s="280"/>
      <c r="BS46" s="78"/>
      <c r="BT46" s="280"/>
      <c r="BU46" s="78"/>
      <c r="BV46" s="280"/>
      <c r="BW46" s="78"/>
      <c r="BX46" s="280"/>
      <c r="BY46" s="78"/>
      <c r="BZ46" s="280"/>
      <c r="CA46" s="78"/>
      <c r="CB46" s="280"/>
      <c r="CC46" s="78"/>
      <c r="CD46" s="280"/>
      <c r="CE46" s="78"/>
      <c r="CF46" s="280"/>
      <c r="CG46" s="78"/>
      <c r="CH46" s="280"/>
      <c r="CI46" s="78"/>
      <c r="CJ46" s="280"/>
      <c r="CK46" s="78"/>
      <c r="CL46" s="280"/>
      <c r="CM46" s="78"/>
      <c r="CN46" s="280"/>
      <c r="CO46" s="78"/>
      <c r="CP46" s="77"/>
      <c r="CQ46" s="78"/>
      <c r="CR46" s="77"/>
      <c r="CS46" s="78"/>
      <c r="CT46" s="77"/>
      <c r="CU46" s="78"/>
      <c r="CV46" s="77"/>
      <c r="CW46" s="78"/>
      <c r="CX46" s="77"/>
      <c r="CY46" s="78"/>
      <c r="CZ46" s="77"/>
      <c r="DA46" s="78"/>
      <c r="DB46" s="77"/>
      <c r="DC46" s="78"/>
      <c r="DD46" s="77"/>
      <c r="DE46" s="78"/>
      <c r="DF46" s="77"/>
      <c r="DG46" s="78"/>
      <c r="DH46" s="77"/>
      <c r="DI46" s="78"/>
      <c r="DJ46" s="77"/>
      <c r="DK46" s="78"/>
      <c r="DL46" s="77"/>
      <c r="DM46" s="78"/>
      <c r="DN46" s="77"/>
      <c r="DO46" s="78"/>
      <c r="DP46" s="77"/>
      <c r="DQ46" s="78"/>
      <c r="DR46" s="77"/>
      <c r="DS46" s="78"/>
      <c r="DT46" s="77"/>
      <c r="DU46" s="78"/>
      <c r="DV46" s="77"/>
      <c r="DW46" s="78"/>
      <c r="DX46" s="77"/>
      <c r="DY46" s="78"/>
      <c r="DZ46" s="77"/>
      <c r="EA46" s="78"/>
      <c r="EB46" s="77"/>
      <c r="EC46" s="78"/>
      <c r="ED46" s="77"/>
      <c r="EE46" s="78"/>
      <c r="EF46" s="77"/>
      <c r="EG46" s="78"/>
      <c r="EH46" s="77"/>
      <c r="EI46" s="78"/>
      <c r="EJ46" s="77"/>
      <c r="EK46" s="78"/>
      <c r="EL46" s="77"/>
      <c r="EM46" s="78"/>
      <c r="EN46" s="77"/>
      <c r="EO46" s="78"/>
      <c r="EP46" s="77"/>
      <c r="EQ46" s="78"/>
      <c r="ER46" s="77"/>
      <c r="ES46" s="78"/>
      <c r="ET46" s="77"/>
      <c r="EU46" s="78"/>
      <c r="EV46" s="77"/>
      <c r="EW46" s="78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  <c r="IW46"/>
      <c r="IX46"/>
      <c r="IY46"/>
      <c r="IZ46"/>
      <c r="JA46"/>
      <c r="JB46"/>
      <c r="JC46"/>
      <c r="JD46"/>
      <c r="JE46"/>
      <c r="JF46"/>
      <c r="JG46"/>
      <c r="JH46"/>
      <c r="JI46"/>
      <c r="JJ46"/>
      <c r="JK46"/>
      <c r="JL46"/>
      <c r="JM46"/>
      <c r="JN46"/>
      <c r="JO46"/>
      <c r="JP46"/>
      <c r="JQ46"/>
      <c r="JR46"/>
      <c r="JS46"/>
      <c r="JT46"/>
      <c r="JU46"/>
      <c r="JV46"/>
      <c r="JW46"/>
      <c r="JX46"/>
      <c r="JY46"/>
      <c r="JZ46"/>
      <c r="KA46"/>
      <c r="KB46"/>
      <c r="KC46"/>
      <c r="KD46"/>
      <c r="KE46"/>
      <c r="KF46"/>
      <c r="KG46"/>
      <c r="KH46"/>
      <c r="KI46"/>
      <c r="KJ46"/>
      <c r="KK46"/>
      <c r="KL46"/>
      <c r="KM46"/>
      <c r="KN46"/>
      <c r="KO46"/>
      <c r="KP46"/>
      <c r="KQ46"/>
      <c r="KR46"/>
      <c r="KS46"/>
      <c r="KT46"/>
      <c r="KU46"/>
      <c r="KV46"/>
      <c r="KW46"/>
      <c r="KX46"/>
      <c r="KY46"/>
      <c r="KZ46"/>
      <c r="LA46"/>
      <c r="LB46"/>
      <c r="LC46"/>
      <c r="LD46"/>
      <c r="LE46"/>
      <c r="LF46"/>
      <c r="LG46"/>
      <c r="LH46"/>
      <c r="LI46"/>
      <c r="LJ46"/>
      <c r="LK46"/>
      <c r="LL46"/>
      <c r="LM46"/>
      <c r="LN46"/>
      <c r="LO46"/>
      <c r="LP46"/>
      <c r="LQ46"/>
      <c r="LR46"/>
      <c r="LS46"/>
      <c r="LT46"/>
      <c r="LU46"/>
      <c r="LV46"/>
      <c r="LW46"/>
      <c r="LX46"/>
      <c r="LY46"/>
      <c r="LZ46"/>
      <c r="MA46"/>
      <c r="MB46"/>
      <c r="MC46"/>
      <c r="MD46"/>
      <c r="ME46"/>
      <c r="MF46"/>
      <c r="MG46"/>
      <c r="MH46"/>
      <c r="MI46"/>
      <c r="MJ46"/>
      <c r="MK46"/>
      <c r="ML46"/>
    </row>
    <row r="47" spans="1:350" s="233" customFormat="1" ht="15" customHeight="1" x14ac:dyDescent="0.3">
      <c r="A47" s="77">
        <f>_xlfn.XLOOKUP(DADOS!$B$3,DADOS!$D$2:$DI$2,DADOS!$D47:$DI47,"",0)</f>
        <v>0</v>
      </c>
      <c r="B47" s="78">
        <f>_xlfn.XLOOKUP(DADOS!$B$3,DADOS!$E$112:$AS$112,DADOS!$E155:$AS155,"",0)</f>
        <v>0</v>
      </c>
      <c r="C47" s="295" t="s">
        <v>273</v>
      </c>
      <c r="D47" s="280"/>
      <c r="E47" s="78" cm="1">
        <f t="array" ref="E47">_xlfn.XLOOKUP(D$2,$D$112:$BF$112,$D155:BF155,0,0)</f>
        <v>0</v>
      </c>
      <c r="F47" s="280"/>
      <c r="G47" s="78">
        <f t="shared" si="47"/>
        <v>0</v>
      </c>
      <c r="H47" s="280"/>
      <c r="I47" s="78">
        <f t="shared" si="48"/>
        <v>0</v>
      </c>
      <c r="J47" s="280">
        <v>0</v>
      </c>
      <c r="K47" s="78">
        <f t="shared" si="49"/>
        <v>0</v>
      </c>
      <c r="L47" s="280"/>
      <c r="M47" s="78">
        <f t="shared" si="49"/>
        <v>0</v>
      </c>
      <c r="N47" s="280"/>
      <c r="O47" s="78">
        <f t="shared" si="50"/>
        <v>0</v>
      </c>
      <c r="P47" s="280"/>
      <c r="Q47" s="78">
        <f t="shared" si="51"/>
        <v>0</v>
      </c>
      <c r="R47" s="280"/>
      <c r="S47" s="78">
        <f t="shared" si="52"/>
        <v>0</v>
      </c>
      <c r="T47" s="280"/>
      <c r="U47" s="78">
        <f t="shared" si="53"/>
        <v>0</v>
      </c>
      <c r="V47" s="280"/>
      <c r="W47" s="78">
        <f t="shared" si="54"/>
        <v>0</v>
      </c>
      <c r="X47" s="280"/>
      <c r="Y47" s="78"/>
      <c r="Z47" s="280"/>
      <c r="AA47" s="78"/>
      <c r="AB47" s="280"/>
      <c r="AC47" s="78"/>
      <c r="AD47" s="280"/>
      <c r="AE47" s="78"/>
      <c r="AF47" s="280"/>
      <c r="AG47" s="78"/>
      <c r="AH47" s="280"/>
      <c r="AI47" s="78"/>
      <c r="AJ47" s="280"/>
      <c r="AK47" s="78"/>
      <c r="AL47" s="280"/>
      <c r="AM47" s="78"/>
      <c r="AN47" s="280"/>
      <c r="AO47" s="78"/>
      <c r="AP47" s="280"/>
      <c r="AQ47" s="78"/>
      <c r="AR47" s="280"/>
      <c r="AS47" s="78"/>
      <c r="AT47" s="280"/>
      <c r="AU47" s="78"/>
      <c r="AV47" s="280"/>
      <c r="AW47" s="78"/>
      <c r="AX47" s="280"/>
      <c r="AY47" s="78"/>
      <c r="AZ47" s="280"/>
      <c r="BA47" s="78"/>
      <c r="BB47" s="280"/>
      <c r="BC47" s="78"/>
      <c r="BD47" s="280"/>
      <c r="BE47" s="78"/>
      <c r="BF47" s="280"/>
      <c r="BG47" s="78"/>
      <c r="BH47" s="280"/>
      <c r="BI47" s="78"/>
      <c r="BJ47" s="280"/>
      <c r="BK47" s="78"/>
      <c r="BL47" s="280"/>
      <c r="BM47" s="78"/>
      <c r="BN47" s="280"/>
      <c r="BO47" s="78"/>
      <c r="BP47" s="280"/>
      <c r="BQ47" s="78"/>
      <c r="BR47" s="280"/>
      <c r="BS47" s="78"/>
      <c r="BT47" s="280"/>
      <c r="BU47" s="78"/>
      <c r="BV47" s="280"/>
      <c r="BW47" s="78"/>
      <c r="BX47" s="280"/>
      <c r="BY47" s="78"/>
      <c r="BZ47" s="280"/>
      <c r="CA47" s="78"/>
      <c r="CB47" s="280"/>
      <c r="CC47" s="78"/>
      <c r="CD47" s="280"/>
      <c r="CE47" s="78"/>
      <c r="CF47" s="280"/>
      <c r="CG47" s="78"/>
      <c r="CH47" s="280"/>
      <c r="CI47" s="78"/>
      <c r="CJ47" s="280"/>
      <c r="CK47" s="78"/>
      <c r="CL47" s="280"/>
      <c r="CM47" s="78"/>
      <c r="CN47" s="280"/>
      <c r="CO47" s="78"/>
      <c r="CP47" s="77"/>
      <c r="CQ47" s="78"/>
      <c r="CR47" s="77"/>
      <c r="CS47" s="78"/>
      <c r="CT47" s="77"/>
      <c r="CU47" s="78"/>
      <c r="CV47" s="77"/>
      <c r="CW47" s="78"/>
      <c r="CX47" s="77"/>
      <c r="CY47" s="78"/>
      <c r="CZ47" s="77"/>
      <c r="DA47" s="78"/>
      <c r="DB47" s="77"/>
      <c r="DC47" s="78"/>
      <c r="DD47" s="77"/>
      <c r="DE47" s="78"/>
      <c r="DF47" s="77"/>
      <c r="DG47" s="78"/>
      <c r="DH47" s="77"/>
      <c r="DI47" s="78"/>
      <c r="DJ47" s="77"/>
      <c r="DK47" s="78"/>
      <c r="DL47" s="77"/>
      <c r="DM47" s="78"/>
      <c r="DN47" s="77"/>
      <c r="DO47" s="78"/>
      <c r="DP47" s="77"/>
      <c r="DQ47" s="78"/>
      <c r="DR47" s="77"/>
      <c r="DS47" s="78"/>
      <c r="DT47" s="77"/>
      <c r="DU47" s="78"/>
      <c r="DV47" s="77"/>
      <c r="DW47" s="78"/>
      <c r="DX47" s="77"/>
      <c r="DY47" s="78"/>
      <c r="DZ47" s="77"/>
      <c r="EA47" s="78"/>
      <c r="EB47" s="77"/>
      <c r="EC47" s="78"/>
      <c r="ED47" s="77"/>
      <c r="EE47" s="78"/>
      <c r="EF47" s="77"/>
      <c r="EG47" s="78"/>
      <c r="EH47" s="77"/>
      <c r="EI47" s="78"/>
      <c r="EJ47" s="77"/>
      <c r="EK47" s="78"/>
      <c r="EL47" s="77"/>
      <c r="EM47" s="78"/>
      <c r="EN47" s="77"/>
      <c r="EO47" s="78"/>
      <c r="EP47" s="77"/>
      <c r="EQ47" s="78"/>
      <c r="ER47" s="77"/>
      <c r="ES47" s="78"/>
      <c r="ET47" s="77"/>
      <c r="EU47" s="78"/>
      <c r="EV47" s="77"/>
      <c r="EW47" s="78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/>
      <c r="HR47"/>
      <c r="HS47"/>
      <c r="HT47"/>
      <c r="HU47"/>
      <c r="HV47"/>
      <c r="HW47"/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/>
      <c r="IQ47"/>
      <c r="IR47"/>
      <c r="IS47"/>
      <c r="IT47"/>
      <c r="IU47"/>
      <c r="IV47"/>
      <c r="IW47"/>
      <c r="IX47"/>
      <c r="IY47"/>
      <c r="IZ47"/>
      <c r="JA47"/>
      <c r="JB47"/>
      <c r="JC47"/>
      <c r="JD47"/>
      <c r="JE47"/>
      <c r="JF47"/>
      <c r="JG47"/>
      <c r="JH47"/>
      <c r="JI47"/>
      <c r="JJ47"/>
      <c r="JK47"/>
      <c r="JL47"/>
      <c r="JM47"/>
      <c r="JN47"/>
      <c r="JO47"/>
      <c r="JP47"/>
      <c r="JQ47"/>
      <c r="JR47"/>
      <c r="JS47"/>
      <c r="JT47"/>
      <c r="JU47"/>
      <c r="JV47"/>
      <c r="JW47"/>
      <c r="JX47"/>
      <c r="JY47"/>
      <c r="JZ47"/>
      <c r="KA47"/>
      <c r="KB47"/>
      <c r="KC47"/>
      <c r="KD47"/>
      <c r="KE47"/>
      <c r="KF47"/>
      <c r="KG47"/>
      <c r="KH47"/>
      <c r="KI47"/>
      <c r="KJ47"/>
      <c r="KK47"/>
      <c r="KL47"/>
      <c r="KM47"/>
      <c r="KN47"/>
      <c r="KO47"/>
      <c r="KP47"/>
      <c r="KQ47"/>
      <c r="KR47"/>
      <c r="KS47"/>
      <c r="KT47"/>
      <c r="KU47"/>
      <c r="KV47"/>
      <c r="KW47"/>
      <c r="KX47"/>
      <c r="KY47"/>
      <c r="KZ47"/>
      <c r="LA47"/>
      <c r="LB47"/>
      <c r="LC47"/>
      <c r="LD47"/>
      <c r="LE47"/>
      <c r="LF47"/>
      <c r="LG47"/>
      <c r="LH47"/>
      <c r="LI47"/>
      <c r="LJ47"/>
      <c r="LK47"/>
      <c r="LL47"/>
      <c r="LM47"/>
      <c r="LN47"/>
      <c r="LO47"/>
      <c r="LP47"/>
      <c r="LQ47"/>
      <c r="LR47"/>
      <c r="LS47"/>
      <c r="LT47"/>
      <c r="LU47"/>
      <c r="LV47"/>
      <c r="LW47"/>
      <c r="LX47"/>
      <c r="LY47"/>
      <c r="LZ47"/>
      <c r="MA47"/>
      <c r="MB47"/>
      <c r="MC47"/>
      <c r="MD47"/>
      <c r="ME47"/>
      <c r="MF47"/>
      <c r="MG47"/>
      <c r="MH47"/>
      <c r="MI47"/>
      <c r="MJ47"/>
      <c r="MK47"/>
      <c r="ML47"/>
    </row>
    <row r="48" spans="1:350" s="233" customFormat="1" ht="15" customHeight="1" x14ac:dyDescent="0.3">
      <c r="A48" s="77">
        <f>_xlfn.XLOOKUP(DADOS!$B$3,DADOS!$D$2:$DI$2,DADOS!$D48:$DI48,"",0)</f>
        <v>0</v>
      </c>
      <c r="B48" s="78">
        <f>_xlfn.XLOOKUP(DADOS!$B$3,DADOS!$E$112:$AS$112,DADOS!$E156:$AS156,"",0)</f>
        <v>0</v>
      </c>
      <c r="C48" s="295" t="s">
        <v>246</v>
      </c>
      <c r="D48" s="280"/>
      <c r="E48" s="78" cm="1">
        <f t="array" ref="E48">_xlfn.XLOOKUP(D$2,$D$112:$BF$112,$D156:BF156,0,0)</f>
        <v>0</v>
      </c>
      <c r="F48" s="280"/>
      <c r="G48" s="78">
        <f t="shared" si="47"/>
        <v>0</v>
      </c>
      <c r="H48" s="280"/>
      <c r="I48" s="78">
        <f t="shared" si="48"/>
        <v>0</v>
      </c>
      <c r="J48" s="280">
        <v>0</v>
      </c>
      <c r="K48" s="78">
        <f t="shared" si="49"/>
        <v>0</v>
      </c>
      <c r="L48" s="280"/>
      <c r="M48" s="78">
        <f t="shared" si="49"/>
        <v>0</v>
      </c>
      <c r="N48" s="280"/>
      <c r="O48" s="78">
        <f t="shared" si="50"/>
        <v>0</v>
      </c>
      <c r="P48" s="280"/>
      <c r="Q48" s="78">
        <f t="shared" si="51"/>
        <v>0</v>
      </c>
      <c r="R48" s="280"/>
      <c r="S48" s="78">
        <f t="shared" si="52"/>
        <v>0</v>
      </c>
      <c r="T48" s="280"/>
      <c r="U48" s="78">
        <f t="shared" si="53"/>
        <v>0</v>
      </c>
      <c r="V48" s="280"/>
      <c r="W48" s="78">
        <f t="shared" si="54"/>
        <v>0</v>
      </c>
      <c r="X48" s="280"/>
      <c r="Y48" s="78"/>
      <c r="Z48" s="280"/>
      <c r="AA48" s="78"/>
      <c r="AB48" s="280"/>
      <c r="AC48" s="78"/>
      <c r="AD48" s="280"/>
      <c r="AE48" s="78"/>
      <c r="AF48" s="280"/>
      <c r="AG48" s="78"/>
      <c r="AH48" s="280"/>
      <c r="AI48" s="78"/>
      <c r="AJ48" s="280"/>
      <c r="AK48" s="78"/>
      <c r="AL48" s="280"/>
      <c r="AM48" s="78"/>
      <c r="AN48" s="280"/>
      <c r="AO48" s="78"/>
      <c r="AP48" s="280"/>
      <c r="AQ48" s="78"/>
      <c r="AR48" s="280"/>
      <c r="AS48" s="78"/>
      <c r="AT48" s="280"/>
      <c r="AU48" s="78"/>
      <c r="AV48" s="280"/>
      <c r="AW48" s="78"/>
      <c r="AX48" s="280"/>
      <c r="AY48" s="78"/>
      <c r="AZ48" s="280"/>
      <c r="BA48" s="78"/>
      <c r="BB48" s="280"/>
      <c r="BC48" s="78"/>
      <c r="BD48" s="280"/>
      <c r="BE48" s="78"/>
      <c r="BF48" s="280"/>
      <c r="BG48" s="78"/>
      <c r="BH48" s="280"/>
      <c r="BI48" s="78"/>
      <c r="BJ48" s="280"/>
      <c r="BK48" s="78"/>
      <c r="BL48" s="280"/>
      <c r="BM48" s="78"/>
      <c r="BN48" s="280"/>
      <c r="BO48" s="78"/>
      <c r="BP48" s="280"/>
      <c r="BQ48" s="78"/>
      <c r="BR48" s="280"/>
      <c r="BS48" s="78"/>
      <c r="BT48" s="280"/>
      <c r="BU48" s="78"/>
      <c r="BV48" s="280"/>
      <c r="BW48" s="78"/>
      <c r="BX48" s="280"/>
      <c r="BY48" s="78"/>
      <c r="BZ48" s="280"/>
      <c r="CA48" s="78"/>
      <c r="CB48" s="280"/>
      <c r="CC48" s="78"/>
      <c r="CD48" s="280"/>
      <c r="CE48" s="78"/>
      <c r="CF48" s="280"/>
      <c r="CG48" s="78"/>
      <c r="CH48" s="280"/>
      <c r="CI48" s="78"/>
      <c r="CJ48" s="280"/>
      <c r="CK48" s="78"/>
      <c r="CL48" s="280"/>
      <c r="CM48" s="78"/>
      <c r="CN48" s="280"/>
      <c r="CO48" s="78"/>
      <c r="CP48" s="77"/>
      <c r="CQ48" s="78"/>
      <c r="CR48" s="77"/>
      <c r="CS48" s="78"/>
      <c r="CT48" s="77"/>
      <c r="CU48" s="78"/>
      <c r="CV48" s="77"/>
      <c r="CW48" s="78"/>
      <c r="CX48" s="77"/>
      <c r="CY48" s="78"/>
      <c r="CZ48" s="77"/>
      <c r="DA48" s="78"/>
      <c r="DB48" s="77"/>
      <c r="DC48" s="78"/>
      <c r="DD48" s="77"/>
      <c r="DE48" s="78"/>
      <c r="DF48" s="77"/>
      <c r="DG48" s="78"/>
      <c r="DH48" s="77"/>
      <c r="DI48" s="78"/>
      <c r="DJ48" s="77"/>
      <c r="DK48" s="78"/>
      <c r="DL48" s="77"/>
      <c r="DM48" s="78"/>
      <c r="DN48" s="77"/>
      <c r="DO48" s="78"/>
      <c r="DP48" s="77"/>
      <c r="DQ48" s="78"/>
      <c r="DR48" s="77"/>
      <c r="DS48" s="78"/>
      <c r="DT48" s="77"/>
      <c r="DU48" s="78"/>
      <c r="DV48" s="77"/>
      <c r="DW48" s="78"/>
      <c r="DX48" s="77"/>
      <c r="DY48" s="78"/>
      <c r="DZ48" s="77"/>
      <c r="EA48" s="78"/>
      <c r="EB48" s="77"/>
      <c r="EC48" s="78"/>
      <c r="ED48" s="77"/>
      <c r="EE48" s="78"/>
      <c r="EF48" s="77"/>
      <c r="EG48" s="78"/>
      <c r="EH48" s="77"/>
      <c r="EI48" s="78"/>
      <c r="EJ48" s="77"/>
      <c r="EK48" s="78"/>
      <c r="EL48" s="77"/>
      <c r="EM48" s="78"/>
      <c r="EN48" s="77"/>
      <c r="EO48" s="78"/>
      <c r="EP48" s="77"/>
      <c r="EQ48" s="78"/>
      <c r="ER48" s="77"/>
      <c r="ES48" s="78"/>
      <c r="ET48" s="77"/>
      <c r="EU48" s="78"/>
      <c r="EV48" s="77"/>
      <c r="EW48" s="7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/>
      <c r="IQ48"/>
      <c r="IR48"/>
      <c r="IS48"/>
      <c r="IT48"/>
      <c r="IU48"/>
      <c r="IV48"/>
      <c r="IW48"/>
      <c r="IX48"/>
      <c r="IY48"/>
      <c r="IZ48"/>
      <c r="JA48"/>
      <c r="JB48"/>
      <c r="JC48"/>
      <c r="JD48"/>
      <c r="JE48"/>
      <c r="JF48"/>
      <c r="JG48"/>
      <c r="JH48"/>
      <c r="JI48"/>
      <c r="JJ48"/>
      <c r="JK48"/>
      <c r="JL48"/>
      <c r="JM48"/>
      <c r="JN48"/>
      <c r="JO48"/>
      <c r="JP48"/>
      <c r="JQ48"/>
      <c r="JR48"/>
      <c r="JS48"/>
      <c r="JT48"/>
      <c r="JU48"/>
      <c r="JV48"/>
      <c r="JW48"/>
      <c r="JX48"/>
      <c r="JY48"/>
      <c r="JZ48"/>
      <c r="KA48"/>
      <c r="KB48"/>
      <c r="KC48"/>
      <c r="KD48"/>
      <c r="KE48"/>
      <c r="KF48"/>
      <c r="KG48"/>
      <c r="KH48"/>
      <c r="KI48"/>
      <c r="KJ48"/>
      <c r="KK48"/>
      <c r="KL48"/>
      <c r="KM48"/>
      <c r="KN48"/>
      <c r="KO48"/>
      <c r="KP48"/>
      <c r="KQ48"/>
      <c r="KR48"/>
      <c r="KS48"/>
      <c r="KT48"/>
      <c r="KU48"/>
      <c r="KV48"/>
      <c r="KW48"/>
      <c r="KX48"/>
      <c r="KY48"/>
      <c r="KZ48"/>
      <c r="LA48"/>
      <c r="LB48"/>
      <c r="LC48"/>
      <c r="LD48"/>
      <c r="LE48"/>
      <c r="LF48"/>
      <c r="LG48"/>
      <c r="LH48"/>
      <c r="LI48"/>
      <c r="LJ48"/>
      <c r="LK48"/>
      <c r="LL48"/>
      <c r="LM48"/>
      <c r="LN48"/>
      <c r="LO48"/>
      <c r="LP48"/>
      <c r="LQ48"/>
      <c r="LR48"/>
      <c r="LS48"/>
      <c r="LT48"/>
      <c r="LU48"/>
      <c r="LV48"/>
      <c r="LW48"/>
      <c r="LX48"/>
      <c r="LY48"/>
      <c r="LZ48"/>
      <c r="MA48"/>
      <c r="MB48"/>
      <c r="MC48"/>
      <c r="MD48"/>
      <c r="ME48"/>
      <c r="MF48"/>
      <c r="MG48"/>
      <c r="MH48"/>
      <c r="MI48"/>
      <c r="MJ48"/>
      <c r="MK48"/>
      <c r="ML48"/>
    </row>
    <row r="49" spans="1:350" s="233" customFormat="1" ht="15" customHeight="1" x14ac:dyDescent="0.3">
      <c r="A49" s="77">
        <f>_xlfn.XLOOKUP(DADOS!$B$3,DADOS!$D$2:$DI$2,DADOS!$D49:$DI49,"",0)</f>
        <v>0</v>
      </c>
      <c r="B49" s="78">
        <f>_xlfn.XLOOKUP(DADOS!$B$3,DADOS!$E$112:$AS$112,DADOS!$E157:$AS157,"",0)</f>
        <v>0</v>
      </c>
      <c r="C49" s="295" t="s">
        <v>247</v>
      </c>
      <c r="D49" s="280"/>
      <c r="E49" s="78" cm="1">
        <f t="array" ref="E49">_xlfn.XLOOKUP(D$2,$D$112:$BF$112,$D157:BF157,0,0)</f>
        <v>0</v>
      </c>
      <c r="F49" s="280"/>
      <c r="G49" s="78">
        <f t="shared" si="47"/>
        <v>0</v>
      </c>
      <c r="H49" s="280"/>
      <c r="I49" s="78">
        <f t="shared" si="48"/>
        <v>0</v>
      </c>
      <c r="J49" s="280">
        <v>0</v>
      </c>
      <c r="K49" s="78">
        <f t="shared" si="49"/>
        <v>0</v>
      </c>
      <c r="L49" s="280"/>
      <c r="M49" s="78">
        <f t="shared" si="49"/>
        <v>0</v>
      </c>
      <c r="N49" s="280"/>
      <c r="O49" s="78">
        <f t="shared" si="50"/>
        <v>0</v>
      </c>
      <c r="P49" s="280"/>
      <c r="Q49" s="78">
        <f t="shared" si="51"/>
        <v>0</v>
      </c>
      <c r="R49" s="280"/>
      <c r="S49" s="78">
        <f t="shared" si="52"/>
        <v>0</v>
      </c>
      <c r="T49" s="280"/>
      <c r="U49" s="78">
        <f t="shared" si="53"/>
        <v>0</v>
      </c>
      <c r="V49" s="280"/>
      <c r="W49" s="78">
        <f t="shared" si="54"/>
        <v>0</v>
      </c>
      <c r="X49" s="280"/>
      <c r="Y49" s="78"/>
      <c r="Z49" s="280"/>
      <c r="AA49" s="78"/>
      <c r="AB49" s="280"/>
      <c r="AC49" s="78"/>
      <c r="AD49" s="280"/>
      <c r="AE49" s="78"/>
      <c r="AF49" s="280"/>
      <c r="AG49" s="78"/>
      <c r="AH49" s="280"/>
      <c r="AI49" s="78"/>
      <c r="AJ49" s="280"/>
      <c r="AK49" s="78"/>
      <c r="AL49" s="280"/>
      <c r="AM49" s="78"/>
      <c r="AN49" s="280"/>
      <c r="AO49" s="78"/>
      <c r="AP49" s="280"/>
      <c r="AQ49" s="78"/>
      <c r="AR49" s="280"/>
      <c r="AS49" s="78"/>
      <c r="AT49" s="280"/>
      <c r="AU49" s="78"/>
      <c r="AV49" s="280"/>
      <c r="AW49" s="78"/>
      <c r="AX49" s="280"/>
      <c r="AY49" s="78"/>
      <c r="AZ49" s="280"/>
      <c r="BA49" s="78"/>
      <c r="BB49" s="280"/>
      <c r="BC49" s="78"/>
      <c r="BD49" s="280"/>
      <c r="BE49" s="78"/>
      <c r="BF49" s="280"/>
      <c r="BG49" s="78"/>
      <c r="BH49" s="280"/>
      <c r="BI49" s="78"/>
      <c r="BJ49" s="280"/>
      <c r="BK49" s="78"/>
      <c r="BL49" s="280"/>
      <c r="BM49" s="78"/>
      <c r="BN49" s="280"/>
      <c r="BO49" s="78"/>
      <c r="BP49" s="280"/>
      <c r="BQ49" s="78"/>
      <c r="BR49" s="280"/>
      <c r="BS49" s="78"/>
      <c r="BT49" s="280"/>
      <c r="BU49" s="78"/>
      <c r="BV49" s="280"/>
      <c r="BW49" s="78"/>
      <c r="BX49" s="280"/>
      <c r="BY49" s="78"/>
      <c r="BZ49" s="280"/>
      <c r="CA49" s="78"/>
      <c r="CB49" s="280"/>
      <c r="CC49" s="78"/>
      <c r="CD49" s="280"/>
      <c r="CE49" s="78"/>
      <c r="CF49" s="280"/>
      <c r="CG49" s="78"/>
      <c r="CH49" s="280"/>
      <c r="CI49" s="78"/>
      <c r="CJ49" s="280"/>
      <c r="CK49" s="78"/>
      <c r="CL49" s="280"/>
      <c r="CM49" s="78"/>
      <c r="CN49" s="280"/>
      <c r="CO49" s="78"/>
      <c r="CP49" s="77"/>
      <c r="CQ49" s="78"/>
      <c r="CR49" s="77"/>
      <c r="CS49" s="78"/>
      <c r="CT49" s="77"/>
      <c r="CU49" s="78"/>
      <c r="CV49" s="77"/>
      <c r="CW49" s="78"/>
      <c r="CX49" s="77"/>
      <c r="CY49" s="78"/>
      <c r="CZ49" s="77"/>
      <c r="DA49" s="78"/>
      <c r="DB49" s="77"/>
      <c r="DC49" s="78"/>
      <c r="DD49" s="77"/>
      <c r="DE49" s="78"/>
      <c r="DF49" s="77"/>
      <c r="DG49" s="78"/>
      <c r="DH49" s="77"/>
      <c r="DI49" s="78"/>
      <c r="DJ49" s="77"/>
      <c r="DK49" s="78"/>
      <c r="DL49" s="77"/>
      <c r="DM49" s="78"/>
      <c r="DN49" s="77"/>
      <c r="DO49" s="78"/>
      <c r="DP49" s="77"/>
      <c r="DQ49" s="78"/>
      <c r="DR49" s="77"/>
      <c r="DS49" s="78"/>
      <c r="DT49" s="77"/>
      <c r="DU49" s="78"/>
      <c r="DV49" s="77"/>
      <c r="DW49" s="78"/>
      <c r="DX49" s="77"/>
      <c r="DY49" s="78"/>
      <c r="DZ49" s="77"/>
      <c r="EA49" s="78"/>
      <c r="EB49" s="77"/>
      <c r="EC49" s="78"/>
      <c r="ED49" s="77"/>
      <c r="EE49" s="78"/>
      <c r="EF49" s="77"/>
      <c r="EG49" s="78"/>
      <c r="EH49" s="77"/>
      <c r="EI49" s="78"/>
      <c r="EJ49" s="77"/>
      <c r="EK49" s="78"/>
      <c r="EL49" s="77"/>
      <c r="EM49" s="78"/>
      <c r="EN49" s="77"/>
      <c r="EO49" s="78"/>
      <c r="EP49" s="77"/>
      <c r="EQ49" s="78"/>
      <c r="ER49" s="77"/>
      <c r="ES49" s="78"/>
      <c r="ET49" s="77"/>
      <c r="EU49" s="78"/>
      <c r="EV49" s="77"/>
      <c r="EW49" s="78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  <c r="GL49"/>
      <c r="GM49"/>
      <c r="GN49"/>
      <c r="GO49"/>
      <c r="GP49"/>
      <c r="GQ49"/>
      <c r="GR49"/>
      <c r="GS49"/>
      <c r="GT49"/>
      <c r="GU49"/>
      <c r="GV49"/>
      <c r="GW49"/>
      <c r="GX49"/>
      <c r="GY49"/>
      <c r="GZ49"/>
      <c r="HA49"/>
      <c r="HB49"/>
      <c r="HC49"/>
      <c r="HD49"/>
      <c r="HE49"/>
      <c r="HF49"/>
      <c r="HG49"/>
      <c r="HH49"/>
      <c r="HI49"/>
      <c r="HJ49"/>
      <c r="HK49"/>
      <c r="HL49"/>
      <c r="HM49"/>
      <c r="HN49"/>
      <c r="HO49"/>
      <c r="HP49"/>
      <c r="HQ49"/>
      <c r="HR49"/>
      <c r="HS49"/>
      <c r="HT49"/>
      <c r="HU49"/>
      <c r="HV49"/>
      <c r="HW49"/>
      <c r="HX49"/>
      <c r="HY49"/>
      <c r="HZ49"/>
      <c r="IA49"/>
      <c r="IB49"/>
      <c r="IC49"/>
      <c r="ID49"/>
      <c r="IE49"/>
      <c r="IF49"/>
      <c r="IG49"/>
      <c r="IH49"/>
      <c r="II49"/>
      <c r="IJ49"/>
      <c r="IK49"/>
      <c r="IL49"/>
      <c r="IM49"/>
      <c r="IN49"/>
      <c r="IO49"/>
      <c r="IP49"/>
      <c r="IQ49"/>
      <c r="IR49"/>
      <c r="IS49"/>
      <c r="IT49"/>
      <c r="IU49"/>
      <c r="IV49"/>
      <c r="IW49"/>
      <c r="IX49"/>
      <c r="IY49"/>
      <c r="IZ49"/>
      <c r="JA49"/>
      <c r="JB49"/>
      <c r="JC49"/>
      <c r="JD49"/>
      <c r="JE49"/>
      <c r="JF49"/>
      <c r="JG49"/>
      <c r="JH49"/>
      <c r="JI49"/>
      <c r="JJ49"/>
      <c r="JK49"/>
      <c r="JL49"/>
      <c r="JM49"/>
      <c r="JN49"/>
      <c r="JO49"/>
      <c r="JP49"/>
      <c r="JQ49"/>
      <c r="JR49"/>
      <c r="JS49"/>
      <c r="JT49"/>
      <c r="JU49"/>
      <c r="JV49"/>
      <c r="JW49"/>
      <c r="JX49"/>
      <c r="JY49"/>
      <c r="JZ49"/>
      <c r="KA49"/>
      <c r="KB49"/>
      <c r="KC49"/>
      <c r="KD49"/>
      <c r="KE49"/>
      <c r="KF49"/>
      <c r="KG49"/>
      <c r="KH49"/>
      <c r="KI49"/>
      <c r="KJ49"/>
      <c r="KK49"/>
      <c r="KL49"/>
      <c r="KM49"/>
      <c r="KN49"/>
      <c r="KO49"/>
      <c r="KP49"/>
      <c r="KQ49"/>
      <c r="KR49"/>
      <c r="KS49"/>
      <c r="KT49"/>
      <c r="KU49"/>
      <c r="KV49"/>
      <c r="KW49"/>
      <c r="KX49"/>
      <c r="KY49"/>
      <c r="KZ49"/>
      <c r="LA49"/>
      <c r="LB49"/>
      <c r="LC49"/>
      <c r="LD49"/>
      <c r="LE49"/>
      <c r="LF49"/>
      <c r="LG49"/>
      <c r="LH49"/>
      <c r="LI49"/>
      <c r="LJ49"/>
      <c r="LK49"/>
      <c r="LL49"/>
      <c r="LM49"/>
      <c r="LN49"/>
      <c r="LO49"/>
      <c r="LP49"/>
      <c r="LQ49"/>
      <c r="LR49"/>
      <c r="LS49"/>
      <c r="LT49"/>
      <c r="LU49"/>
      <c r="LV49"/>
      <c r="LW49"/>
      <c r="LX49"/>
      <c r="LY49"/>
      <c r="LZ49"/>
      <c r="MA49"/>
      <c r="MB49"/>
      <c r="MC49"/>
      <c r="MD49"/>
      <c r="ME49"/>
      <c r="MF49"/>
      <c r="MG49"/>
      <c r="MH49"/>
      <c r="MI49"/>
      <c r="MJ49"/>
      <c r="MK49"/>
      <c r="ML49"/>
    </row>
    <row r="50" spans="1:350" s="233" customFormat="1" ht="15" customHeight="1" x14ac:dyDescent="0.3">
      <c r="A50" s="77">
        <f>_xlfn.XLOOKUP(DADOS!$B$3,DADOS!$D$2:$DI$2,DADOS!$D50:$DI50,"",0)</f>
        <v>0</v>
      </c>
      <c r="B50" s="78">
        <f>_xlfn.XLOOKUP(DADOS!$B$3,DADOS!$E$112:$AS$112,DADOS!$E158:$AS158,"",0)</f>
        <v>0</v>
      </c>
      <c r="C50" s="295" t="s">
        <v>248</v>
      </c>
      <c r="D50" s="280"/>
      <c r="E50" s="78" cm="1">
        <f t="array" ref="E50">_xlfn.XLOOKUP(D$2,$D$112:$BF$112,$D158:BF158,0,0)</f>
        <v>0</v>
      </c>
      <c r="F50" s="280"/>
      <c r="G50" s="78">
        <f t="shared" si="47"/>
        <v>0</v>
      </c>
      <c r="H50" s="280"/>
      <c r="I50" s="78">
        <f t="shared" si="48"/>
        <v>0</v>
      </c>
      <c r="J50" s="280">
        <v>0</v>
      </c>
      <c r="K50" s="78">
        <f t="shared" si="49"/>
        <v>0</v>
      </c>
      <c r="L50" s="280"/>
      <c r="M50" s="78">
        <f t="shared" si="49"/>
        <v>0</v>
      </c>
      <c r="N50" s="280"/>
      <c r="O50" s="78">
        <f t="shared" si="50"/>
        <v>0</v>
      </c>
      <c r="P50" s="280"/>
      <c r="Q50" s="78">
        <f t="shared" si="51"/>
        <v>0</v>
      </c>
      <c r="R50" s="280"/>
      <c r="S50" s="78">
        <f t="shared" si="52"/>
        <v>0</v>
      </c>
      <c r="T50" s="280"/>
      <c r="U50" s="78">
        <f t="shared" si="53"/>
        <v>0</v>
      </c>
      <c r="V50" s="280"/>
      <c r="W50" s="78">
        <f t="shared" si="54"/>
        <v>0</v>
      </c>
      <c r="X50" s="280"/>
      <c r="Y50" s="78"/>
      <c r="Z50" s="280"/>
      <c r="AA50" s="78"/>
      <c r="AB50" s="280"/>
      <c r="AC50" s="78"/>
      <c r="AD50" s="280"/>
      <c r="AE50" s="78"/>
      <c r="AF50" s="280"/>
      <c r="AG50" s="78"/>
      <c r="AH50" s="280"/>
      <c r="AI50" s="78"/>
      <c r="AJ50" s="280"/>
      <c r="AK50" s="78"/>
      <c r="AL50" s="280"/>
      <c r="AM50" s="78"/>
      <c r="AN50" s="280"/>
      <c r="AO50" s="78"/>
      <c r="AP50" s="280"/>
      <c r="AQ50" s="78"/>
      <c r="AR50" s="280"/>
      <c r="AS50" s="78"/>
      <c r="AT50" s="280"/>
      <c r="AU50" s="78"/>
      <c r="AV50" s="280"/>
      <c r="AW50" s="78"/>
      <c r="AX50" s="280"/>
      <c r="AY50" s="78"/>
      <c r="AZ50" s="280"/>
      <c r="BA50" s="78"/>
      <c r="BB50" s="280"/>
      <c r="BC50" s="78"/>
      <c r="BD50" s="280"/>
      <c r="BE50" s="78"/>
      <c r="BF50" s="280"/>
      <c r="BG50" s="78"/>
      <c r="BH50" s="280"/>
      <c r="BI50" s="78"/>
      <c r="BJ50" s="280"/>
      <c r="BK50" s="78"/>
      <c r="BL50" s="280"/>
      <c r="BM50" s="78"/>
      <c r="BN50" s="280"/>
      <c r="BO50" s="78"/>
      <c r="BP50" s="280"/>
      <c r="BQ50" s="78"/>
      <c r="BR50" s="280"/>
      <c r="BS50" s="78"/>
      <c r="BT50" s="280"/>
      <c r="BU50" s="78"/>
      <c r="BV50" s="280"/>
      <c r="BW50" s="78"/>
      <c r="BX50" s="280"/>
      <c r="BY50" s="78"/>
      <c r="BZ50" s="280"/>
      <c r="CA50" s="78"/>
      <c r="CB50" s="280"/>
      <c r="CC50" s="78"/>
      <c r="CD50" s="280"/>
      <c r="CE50" s="78"/>
      <c r="CF50" s="280"/>
      <c r="CG50" s="78"/>
      <c r="CH50" s="280"/>
      <c r="CI50" s="78"/>
      <c r="CJ50" s="280"/>
      <c r="CK50" s="78"/>
      <c r="CL50" s="280"/>
      <c r="CM50" s="78"/>
      <c r="CN50" s="280"/>
      <c r="CO50" s="78"/>
      <c r="CP50" s="77"/>
      <c r="CQ50" s="78"/>
      <c r="CR50" s="77"/>
      <c r="CS50" s="78"/>
      <c r="CT50" s="77"/>
      <c r="CU50" s="78"/>
      <c r="CV50" s="77"/>
      <c r="CW50" s="78"/>
      <c r="CX50" s="77"/>
      <c r="CY50" s="78"/>
      <c r="CZ50" s="77"/>
      <c r="DA50" s="78"/>
      <c r="DB50" s="77"/>
      <c r="DC50" s="78"/>
      <c r="DD50" s="77"/>
      <c r="DE50" s="78"/>
      <c r="DF50" s="77"/>
      <c r="DG50" s="78"/>
      <c r="DH50" s="77"/>
      <c r="DI50" s="78"/>
      <c r="DJ50" s="77"/>
      <c r="DK50" s="78"/>
      <c r="DL50" s="77"/>
      <c r="DM50" s="78"/>
      <c r="DN50" s="77"/>
      <c r="DO50" s="78"/>
      <c r="DP50" s="77"/>
      <c r="DQ50" s="78"/>
      <c r="DR50" s="77"/>
      <c r="DS50" s="78"/>
      <c r="DT50" s="77"/>
      <c r="DU50" s="78"/>
      <c r="DV50" s="77"/>
      <c r="DW50" s="78"/>
      <c r="DX50" s="77"/>
      <c r="DY50" s="78"/>
      <c r="DZ50" s="77"/>
      <c r="EA50" s="78"/>
      <c r="EB50" s="77"/>
      <c r="EC50" s="78"/>
      <c r="ED50" s="77"/>
      <c r="EE50" s="78"/>
      <c r="EF50" s="77"/>
      <c r="EG50" s="78"/>
      <c r="EH50" s="77"/>
      <c r="EI50" s="78"/>
      <c r="EJ50" s="77"/>
      <c r="EK50" s="78"/>
      <c r="EL50" s="77"/>
      <c r="EM50" s="78"/>
      <c r="EN50" s="77"/>
      <c r="EO50" s="78"/>
      <c r="EP50" s="77"/>
      <c r="EQ50" s="78"/>
      <c r="ER50" s="77"/>
      <c r="ES50" s="78"/>
      <c r="ET50" s="77"/>
      <c r="EU50" s="78"/>
      <c r="EV50" s="77"/>
      <c r="EW50" s="78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  <c r="IW50"/>
      <c r="IX50"/>
      <c r="IY50"/>
      <c r="IZ50"/>
      <c r="JA50"/>
      <c r="JB50"/>
      <c r="JC50"/>
      <c r="JD50"/>
      <c r="JE50"/>
      <c r="JF50"/>
      <c r="JG50"/>
      <c r="JH50"/>
      <c r="JI50"/>
      <c r="JJ50"/>
      <c r="JK50"/>
      <c r="JL50"/>
      <c r="JM50"/>
      <c r="JN50"/>
      <c r="JO50"/>
      <c r="JP50"/>
      <c r="JQ50"/>
      <c r="JR50"/>
      <c r="JS50"/>
      <c r="JT50"/>
      <c r="JU50"/>
      <c r="JV50"/>
      <c r="JW50"/>
      <c r="JX50"/>
      <c r="JY50"/>
      <c r="JZ50"/>
      <c r="KA50"/>
      <c r="KB50"/>
      <c r="KC50"/>
      <c r="KD50"/>
      <c r="KE50"/>
      <c r="KF50"/>
      <c r="KG50"/>
      <c r="KH50"/>
      <c r="KI50"/>
      <c r="KJ50"/>
      <c r="KK50"/>
      <c r="KL50"/>
      <c r="KM50"/>
      <c r="KN50"/>
      <c r="KO50"/>
      <c r="KP50"/>
      <c r="KQ50"/>
      <c r="KR50"/>
      <c r="KS50"/>
      <c r="KT50"/>
      <c r="KU50"/>
      <c r="KV50"/>
      <c r="KW50"/>
      <c r="KX50"/>
      <c r="KY50"/>
      <c r="KZ50"/>
      <c r="LA50"/>
      <c r="LB50"/>
      <c r="LC50"/>
      <c r="LD50"/>
      <c r="LE50"/>
      <c r="LF50"/>
      <c r="LG50"/>
      <c r="LH50"/>
      <c r="LI50"/>
      <c r="LJ50"/>
      <c r="LK50"/>
      <c r="LL50"/>
      <c r="LM50"/>
      <c r="LN50"/>
      <c r="LO50"/>
      <c r="LP50"/>
      <c r="LQ50"/>
      <c r="LR50"/>
      <c r="LS50"/>
      <c r="LT50"/>
      <c r="LU50"/>
      <c r="LV50"/>
      <c r="LW50"/>
      <c r="LX50"/>
      <c r="LY50"/>
      <c r="LZ50"/>
      <c r="MA50"/>
      <c r="MB50"/>
      <c r="MC50"/>
      <c r="MD50"/>
      <c r="ME50"/>
      <c r="MF50"/>
      <c r="MG50"/>
      <c r="MH50"/>
      <c r="MI50"/>
      <c r="MJ50"/>
      <c r="MK50"/>
      <c r="ML50"/>
    </row>
    <row r="51" spans="1:350" s="233" customFormat="1" ht="15" customHeight="1" x14ac:dyDescent="0.3">
      <c r="A51" s="77">
        <f>_xlfn.XLOOKUP(DADOS!$B$3,DADOS!$D$2:$DI$2,DADOS!$D51:$DI51,"",0)</f>
        <v>0</v>
      </c>
      <c r="B51" s="78">
        <f>_xlfn.XLOOKUP(DADOS!$B$3,DADOS!$E$112:$AS$112,DADOS!$E159:$AS159,"",0)</f>
        <v>0</v>
      </c>
      <c r="C51" s="295" t="s">
        <v>249</v>
      </c>
      <c r="D51" s="280"/>
      <c r="E51" s="78" cm="1">
        <f t="array" ref="E51">_xlfn.XLOOKUP(D$2,$D$112:$BF$112,$D159:BF159,0,0)</f>
        <v>0</v>
      </c>
      <c r="F51" s="280"/>
      <c r="G51" s="78">
        <f t="shared" si="47"/>
        <v>0</v>
      </c>
      <c r="H51" s="280"/>
      <c r="I51" s="78">
        <f t="shared" si="48"/>
        <v>0</v>
      </c>
      <c r="J51" s="280">
        <v>0</v>
      </c>
      <c r="K51" s="78">
        <f t="shared" si="49"/>
        <v>0</v>
      </c>
      <c r="L51" s="280"/>
      <c r="M51" s="78">
        <f t="shared" si="49"/>
        <v>0</v>
      </c>
      <c r="N51" s="280"/>
      <c r="O51" s="78">
        <f t="shared" si="50"/>
        <v>0</v>
      </c>
      <c r="P51" s="280"/>
      <c r="Q51" s="78">
        <f t="shared" si="51"/>
        <v>0</v>
      </c>
      <c r="R51" s="280"/>
      <c r="S51" s="78">
        <f t="shared" si="52"/>
        <v>0</v>
      </c>
      <c r="T51" s="280"/>
      <c r="U51" s="78">
        <f t="shared" si="53"/>
        <v>0</v>
      </c>
      <c r="V51" s="280"/>
      <c r="W51" s="78">
        <f t="shared" si="54"/>
        <v>0</v>
      </c>
      <c r="X51" s="280"/>
      <c r="Y51" s="78"/>
      <c r="Z51" s="280"/>
      <c r="AA51" s="78"/>
      <c r="AB51" s="280"/>
      <c r="AC51" s="78"/>
      <c r="AD51" s="280"/>
      <c r="AE51" s="78"/>
      <c r="AF51" s="280"/>
      <c r="AG51" s="78"/>
      <c r="AH51" s="280"/>
      <c r="AI51" s="78"/>
      <c r="AJ51" s="280"/>
      <c r="AK51" s="78"/>
      <c r="AL51" s="280"/>
      <c r="AM51" s="78"/>
      <c r="AN51" s="280"/>
      <c r="AO51" s="78"/>
      <c r="AP51" s="280"/>
      <c r="AQ51" s="78"/>
      <c r="AR51" s="280"/>
      <c r="AS51" s="78"/>
      <c r="AT51" s="280"/>
      <c r="AU51" s="78"/>
      <c r="AV51" s="280"/>
      <c r="AW51" s="78"/>
      <c r="AX51" s="280"/>
      <c r="AY51" s="78"/>
      <c r="AZ51" s="280"/>
      <c r="BA51" s="78"/>
      <c r="BB51" s="280"/>
      <c r="BC51" s="78"/>
      <c r="BD51" s="280"/>
      <c r="BE51" s="78"/>
      <c r="BF51" s="280"/>
      <c r="BG51" s="78"/>
      <c r="BH51" s="280"/>
      <c r="BI51" s="78"/>
      <c r="BJ51" s="280"/>
      <c r="BK51" s="78"/>
      <c r="BL51" s="280"/>
      <c r="BM51" s="78"/>
      <c r="BN51" s="280"/>
      <c r="BO51" s="78"/>
      <c r="BP51" s="280"/>
      <c r="BQ51" s="78"/>
      <c r="BR51" s="280"/>
      <c r="BS51" s="78"/>
      <c r="BT51" s="280"/>
      <c r="BU51" s="78"/>
      <c r="BV51" s="280"/>
      <c r="BW51" s="78"/>
      <c r="BX51" s="280"/>
      <c r="BY51" s="78"/>
      <c r="BZ51" s="280"/>
      <c r="CA51" s="78"/>
      <c r="CB51" s="280"/>
      <c r="CC51" s="78"/>
      <c r="CD51" s="280"/>
      <c r="CE51" s="78"/>
      <c r="CF51" s="280"/>
      <c r="CG51" s="78"/>
      <c r="CH51" s="280"/>
      <c r="CI51" s="78"/>
      <c r="CJ51" s="280"/>
      <c r="CK51" s="78"/>
      <c r="CL51" s="280"/>
      <c r="CM51" s="78"/>
      <c r="CN51" s="280"/>
      <c r="CO51" s="78"/>
      <c r="CP51" s="77"/>
      <c r="CQ51" s="78"/>
      <c r="CR51" s="77"/>
      <c r="CS51" s="78"/>
      <c r="CT51" s="77"/>
      <c r="CU51" s="78"/>
      <c r="CV51" s="77"/>
      <c r="CW51" s="78"/>
      <c r="CX51" s="77"/>
      <c r="CY51" s="78"/>
      <c r="CZ51" s="77"/>
      <c r="DA51" s="78"/>
      <c r="DB51" s="77"/>
      <c r="DC51" s="78"/>
      <c r="DD51" s="77"/>
      <c r="DE51" s="78"/>
      <c r="DF51" s="77"/>
      <c r="DG51" s="78"/>
      <c r="DH51" s="77"/>
      <c r="DI51" s="78"/>
      <c r="DJ51" s="77"/>
      <c r="DK51" s="78"/>
      <c r="DL51" s="77"/>
      <c r="DM51" s="78"/>
      <c r="DN51" s="77"/>
      <c r="DO51" s="78"/>
      <c r="DP51" s="77"/>
      <c r="DQ51" s="78"/>
      <c r="DR51" s="77"/>
      <c r="DS51" s="78"/>
      <c r="DT51" s="77"/>
      <c r="DU51" s="78"/>
      <c r="DV51" s="77"/>
      <c r="DW51" s="78"/>
      <c r="DX51" s="77"/>
      <c r="DY51" s="78"/>
      <c r="DZ51" s="77"/>
      <c r="EA51" s="78"/>
      <c r="EB51" s="77"/>
      <c r="EC51" s="78"/>
      <c r="ED51" s="77"/>
      <c r="EE51" s="78"/>
      <c r="EF51" s="77"/>
      <c r="EG51" s="78"/>
      <c r="EH51" s="77"/>
      <c r="EI51" s="78"/>
      <c r="EJ51" s="77"/>
      <c r="EK51" s="78"/>
      <c r="EL51" s="77"/>
      <c r="EM51" s="78"/>
      <c r="EN51" s="77"/>
      <c r="EO51" s="78"/>
      <c r="EP51" s="77"/>
      <c r="EQ51" s="78"/>
      <c r="ER51" s="77"/>
      <c r="ES51" s="78"/>
      <c r="ET51" s="77"/>
      <c r="EU51" s="78"/>
      <c r="EV51" s="77"/>
      <c r="EW51" s="78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/>
      <c r="HN51"/>
      <c r="HO51"/>
      <c r="HP51"/>
      <c r="HQ51"/>
      <c r="HR51"/>
      <c r="HS51"/>
      <c r="HT51"/>
      <c r="HU51"/>
      <c r="HV51"/>
      <c r="HW51"/>
      <c r="HX51"/>
      <c r="HY51"/>
      <c r="HZ51"/>
      <c r="IA51"/>
      <c r="IB51"/>
      <c r="IC51"/>
      <c r="ID51"/>
      <c r="IE51"/>
      <c r="IF51"/>
      <c r="IG51"/>
      <c r="IH51"/>
      <c r="II51"/>
      <c r="IJ51"/>
      <c r="IK51"/>
      <c r="IL51"/>
      <c r="IM51"/>
      <c r="IN51"/>
      <c r="IO51"/>
      <c r="IP51"/>
      <c r="IQ51"/>
      <c r="IR51"/>
      <c r="IS51"/>
      <c r="IT51"/>
      <c r="IU51"/>
      <c r="IV51"/>
      <c r="IW51"/>
      <c r="IX51"/>
      <c r="IY51"/>
      <c r="IZ51"/>
      <c r="JA51"/>
      <c r="JB51"/>
      <c r="JC51"/>
      <c r="JD51"/>
      <c r="JE51"/>
      <c r="JF51"/>
      <c r="JG51"/>
      <c r="JH51"/>
      <c r="JI51"/>
      <c r="JJ51"/>
      <c r="JK51"/>
      <c r="JL51"/>
      <c r="JM51"/>
      <c r="JN51"/>
      <c r="JO51"/>
      <c r="JP51"/>
      <c r="JQ51"/>
      <c r="JR51"/>
      <c r="JS51"/>
      <c r="JT51"/>
      <c r="JU51"/>
      <c r="JV51"/>
      <c r="JW51"/>
      <c r="JX51"/>
      <c r="JY51"/>
      <c r="JZ51"/>
      <c r="KA51"/>
      <c r="KB51"/>
      <c r="KC51"/>
      <c r="KD51"/>
      <c r="KE51"/>
      <c r="KF51"/>
      <c r="KG51"/>
      <c r="KH51"/>
      <c r="KI51"/>
      <c r="KJ51"/>
      <c r="KK51"/>
      <c r="KL51"/>
      <c r="KM51"/>
      <c r="KN51"/>
      <c r="KO51"/>
      <c r="KP51"/>
      <c r="KQ51"/>
      <c r="KR51"/>
      <c r="KS51"/>
      <c r="KT51"/>
      <c r="KU51"/>
      <c r="KV51"/>
      <c r="KW51"/>
      <c r="KX51"/>
      <c r="KY51"/>
      <c r="KZ51"/>
      <c r="LA51"/>
      <c r="LB51"/>
      <c r="LC51"/>
      <c r="LD51"/>
      <c r="LE51"/>
      <c r="LF51"/>
      <c r="LG51"/>
      <c r="LH51"/>
      <c r="LI51"/>
      <c r="LJ51"/>
      <c r="LK51"/>
      <c r="LL51"/>
      <c r="LM51"/>
      <c r="LN51"/>
      <c r="LO51"/>
      <c r="LP51"/>
      <c r="LQ51"/>
      <c r="LR51"/>
      <c r="LS51"/>
      <c r="LT51"/>
      <c r="LU51"/>
      <c r="LV51"/>
      <c r="LW51"/>
      <c r="LX51"/>
      <c r="LY51"/>
      <c r="LZ51"/>
      <c r="MA51"/>
      <c r="MB51"/>
      <c r="MC51"/>
      <c r="MD51"/>
      <c r="ME51"/>
      <c r="MF51"/>
      <c r="MG51"/>
      <c r="MH51"/>
      <c r="MI51"/>
      <c r="MJ51"/>
      <c r="MK51"/>
      <c r="ML51"/>
    </row>
    <row r="52" spans="1:350" s="233" customFormat="1" ht="15" customHeight="1" x14ac:dyDescent="0.3">
      <c r="A52" s="77">
        <f>_xlfn.XLOOKUP(DADOS!$B$3,DADOS!$D$2:$DI$2,DADOS!$D52:$DI52,"",0)</f>
        <v>0</v>
      </c>
      <c r="B52" s="78">
        <f>_xlfn.XLOOKUP(DADOS!$B$3,DADOS!$E$112:$AS$112,DADOS!$E160:$AS160,"",0)</f>
        <v>0</v>
      </c>
      <c r="C52" s="295" t="s">
        <v>274</v>
      </c>
      <c r="D52" s="280"/>
      <c r="E52" s="78" cm="1">
        <f t="array" ref="E52">_xlfn.XLOOKUP(D$2,$D$112:$BF$112,$D160:BF160,0,0)</f>
        <v>0</v>
      </c>
      <c r="F52" s="280"/>
      <c r="G52" s="78">
        <f t="shared" si="47"/>
        <v>0</v>
      </c>
      <c r="H52" s="280"/>
      <c r="I52" s="78">
        <f t="shared" si="48"/>
        <v>0</v>
      </c>
      <c r="J52" s="280">
        <v>0</v>
      </c>
      <c r="K52" s="78">
        <f t="shared" si="49"/>
        <v>0</v>
      </c>
      <c r="L52" s="280"/>
      <c r="M52" s="78">
        <f t="shared" si="49"/>
        <v>0</v>
      </c>
      <c r="N52" s="280"/>
      <c r="O52" s="78">
        <f t="shared" si="50"/>
        <v>0</v>
      </c>
      <c r="P52" s="280"/>
      <c r="Q52" s="78">
        <f t="shared" si="51"/>
        <v>0</v>
      </c>
      <c r="R52" s="280"/>
      <c r="S52" s="78">
        <f t="shared" si="52"/>
        <v>0</v>
      </c>
      <c r="T52" s="280"/>
      <c r="U52" s="78">
        <f t="shared" si="53"/>
        <v>0</v>
      </c>
      <c r="V52" s="280"/>
      <c r="W52" s="78">
        <f t="shared" si="54"/>
        <v>0</v>
      </c>
      <c r="X52" s="280"/>
      <c r="Y52" s="78"/>
      <c r="Z52" s="280"/>
      <c r="AA52" s="78"/>
      <c r="AB52" s="280"/>
      <c r="AC52" s="78"/>
      <c r="AD52" s="280"/>
      <c r="AE52" s="78"/>
      <c r="AF52" s="280"/>
      <c r="AG52" s="78"/>
      <c r="AH52" s="280"/>
      <c r="AI52" s="78"/>
      <c r="AJ52" s="280"/>
      <c r="AK52" s="78"/>
      <c r="AL52" s="280"/>
      <c r="AM52" s="78"/>
      <c r="AN52" s="280"/>
      <c r="AO52" s="78"/>
      <c r="AP52" s="280"/>
      <c r="AQ52" s="78"/>
      <c r="AR52" s="280"/>
      <c r="AS52" s="78"/>
      <c r="AT52" s="280"/>
      <c r="AU52" s="78"/>
      <c r="AV52" s="280"/>
      <c r="AW52" s="78"/>
      <c r="AX52" s="280"/>
      <c r="AY52" s="78"/>
      <c r="AZ52" s="280"/>
      <c r="BA52" s="78"/>
      <c r="BB52" s="280"/>
      <c r="BC52" s="78"/>
      <c r="BD52" s="280"/>
      <c r="BE52" s="78"/>
      <c r="BF52" s="280"/>
      <c r="BG52" s="78"/>
      <c r="BH52" s="280"/>
      <c r="BI52" s="78"/>
      <c r="BJ52" s="280"/>
      <c r="BK52" s="78"/>
      <c r="BL52" s="280"/>
      <c r="BM52" s="78"/>
      <c r="BN52" s="280"/>
      <c r="BO52" s="78"/>
      <c r="BP52" s="280"/>
      <c r="BQ52" s="78"/>
      <c r="BR52" s="280"/>
      <c r="BS52" s="78"/>
      <c r="BT52" s="280"/>
      <c r="BU52" s="78"/>
      <c r="BV52" s="280"/>
      <c r="BW52" s="78"/>
      <c r="BX52" s="280"/>
      <c r="BY52" s="78"/>
      <c r="BZ52" s="280"/>
      <c r="CA52" s="78"/>
      <c r="CB52" s="280"/>
      <c r="CC52" s="78"/>
      <c r="CD52" s="280"/>
      <c r="CE52" s="78"/>
      <c r="CF52" s="280"/>
      <c r="CG52" s="78"/>
      <c r="CH52" s="280"/>
      <c r="CI52" s="78"/>
      <c r="CJ52" s="280"/>
      <c r="CK52" s="78"/>
      <c r="CL52" s="280"/>
      <c r="CM52" s="78"/>
      <c r="CN52" s="280"/>
      <c r="CO52" s="78"/>
      <c r="CP52" s="77"/>
      <c r="CQ52" s="78"/>
      <c r="CR52" s="77"/>
      <c r="CS52" s="78"/>
      <c r="CT52" s="77"/>
      <c r="CU52" s="78"/>
      <c r="CV52" s="77"/>
      <c r="CW52" s="78"/>
      <c r="CX52" s="77"/>
      <c r="CY52" s="78"/>
      <c r="CZ52" s="77"/>
      <c r="DA52" s="78"/>
      <c r="DB52" s="77"/>
      <c r="DC52" s="78"/>
      <c r="DD52" s="77"/>
      <c r="DE52" s="78"/>
      <c r="DF52" s="77"/>
      <c r="DG52" s="78"/>
      <c r="DH52" s="77"/>
      <c r="DI52" s="78"/>
      <c r="DJ52" s="77"/>
      <c r="DK52" s="78"/>
      <c r="DL52" s="77"/>
      <c r="DM52" s="78"/>
      <c r="DN52" s="77"/>
      <c r="DO52" s="78"/>
      <c r="DP52" s="77"/>
      <c r="DQ52" s="78"/>
      <c r="DR52" s="77"/>
      <c r="DS52" s="78"/>
      <c r="DT52" s="77"/>
      <c r="DU52" s="78"/>
      <c r="DV52" s="77"/>
      <c r="DW52" s="78"/>
      <c r="DX52" s="77"/>
      <c r="DY52" s="78"/>
      <c r="DZ52" s="77"/>
      <c r="EA52" s="78"/>
      <c r="EB52" s="77"/>
      <c r="EC52" s="78"/>
      <c r="ED52" s="77"/>
      <c r="EE52" s="78"/>
      <c r="EF52" s="77"/>
      <c r="EG52" s="78"/>
      <c r="EH52" s="77"/>
      <c r="EI52" s="78"/>
      <c r="EJ52" s="77"/>
      <c r="EK52" s="78"/>
      <c r="EL52" s="77"/>
      <c r="EM52" s="78"/>
      <c r="EN52" s="77"/>
      <c r="EO52" s="78"/>
      <c r="EP52" s="77"/>
      <c r="EQ52" s="78"/>
      <c r="ER52" s="77"/>
      <c r="ES52" s="78"/>
      <c r="ET52" s="77"/>
      <c r="EU52" s="78"/>
      <c r="EV52" s="77"/>
      <c r="EW52" s="78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/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  <c r="IW52"/>
      <c r="IX52"/>
      <c r="IY52"/>
      <c r="IZ52"/>
      <c r="JA52"/>
      <c r="JB52"/>
      <c r="JC52"/>
      <c r="JD52"/>
      <c r="JE52"/>
      <c r="JF52"/>
      <c r="JG52"/>
      <c r="JH52"/>
      <c r="JI52"/>
      <c r="JJ52"/>
      <c r="JK52"/>
      <c r="JL52"/>
      <c r="JM52"/>
      <c r="JN52"/>
      <c r="JO52"/>
      <c r="JP52"/>
      <c r="JQ52"/>
      <c r="JR52"/>
      <c r="JS52"/>
      <c r="JT52"/>
      <c r="JU52"/>
      <c r="JV52"/>
      <c r="JW52"/>
      <c r="JX52"/>
      <c r="JY52"/>
      <c r="JZ52"/>
      <c r="KA52"/>
      <c r="KB52"/>
      <c r="KC52"/>
      <c r="KD52"/>
      <c r="KE52"/>
      <c r="KF52"/>
      <c r="KG52"/>
      <c r="KH52"/>
      <c r="KI52"/>
      <c r="KJ52"/>
      <c r="KK52"/>
      <c r="KL52"/>
      <c r="KM52"/>
      <c r="KN52"/>
      <c r="KO52"/>
      <c r="KP52"/>
      <c r="KQ52"/>
      <c r="KR52"/>
      <c r="KS52"/>
      <c r="KT52"/>
      <c r="KU52"/>
      <c r="KV52"/>
      <c r="KW52"/>
      <c r="KX52"/>
      <c r="KY52"/>
      <c r="KZ52"/>
      <c r="LA52"/>
      <c r="LB52"/>
      <c r="LC52"/>
      <c r="LD52"/>
      <c r="LE52"/>
      <c r="LF52"/>
      <c r="LG52"/>
      <c r="LH52"/>
      <c r="LI52"/>
      <c r="LJ52"/>
      <c r="LK52"/>
      <c r="LL52"/>
      <c r="LM52"/>
      <c r="LN52"/>
      <c r="LO52"/>
      <c r="LP52"/>
      <c r="LQ52"/>
      <c r="LR52"/>
      <c r="LS52"/>
      <c r="LT52"/>
      <c r="LU52"/>
      <c r="LV52"/>
      <c r="LW52"/>
      <c r="LX52"/>
      <c r="LY52"/>
      <c r="LZ52"/>
      <c r="MA52"/>
      <c r="MB52"/>
      <c r="MC52"/>
      <c r="MD52"/>
      <c r="ME52"/>
      <c r="MF52"/>
      <c r="MG52"/>
      <c r="MH52"/>
      <c r="MI52"/>
      <c r="MJ52"/>
      <c r="MK52"/>
      <c r="ML52"/>
    </row>
    <row r="53" spans="1:350" s="233" customFormat="1" ht="15" customHeight="1" x14ac:dyDescent="0.3">
      <c r="A53" s="77">
        <f>_xlfn.XLOOKUP(DADOS!$B$3,DADOS!$D$2:$DI$2,DADOS!$D53:$DI53,"",0)</f>
        <v>0</v>
      </c>
      <c r="B53" s="78">
        <f>_xlfn.XLOOKUP(DADOS!$B$3,DADOS!$E$112:$AS$112,DADOS!$E161:$AS161,"",0)</f>
        <v>0</v>
      </c>
      <c r="C53" s="287" t="s">
        <v>256</v>
      </c>
      <c r="D53" s="280"/>
      <c r="E53" s="78" cm="1">
        <f t="array" ref="E53">_xlfn.XLOOKUP(D$2,$D$112:$BF$112,$D161:BF161,0,0)</f>
        <v>0</v>
      </c>
      <c r="F53" s="280"/>
      <c r="G53" s="78">
        <f t="shared" si="47"/>
        <v>0</v>
      </c>
      <c r="H53" s="280"/>
      <c r="I53" s="78">
        <f t="shared" si="48"/>
        <v>0</v>
      </c>
      <c r="J53" s="280">
        <v>0</v>
      </c>
      <c r="K53" s="78">
        <f t="shared" si="49"/>
        <v>0</v>
      </c>
      <c r="L53" s="280"/>
      <c r="M53" s="78">
        <f t="shared" si="49"/>
        <v>0</v>
      </c>
      <c r="N53" s="280"/>
      <c r="O53" s="78">
        <f t="shared" si="50"/>
        <v>0</v>
      </c>
      <c r="P53" s="280"/>
      <c r="Q53" s="78">
        <f t="shared" si="51"/>
        <v>0</v>
      </c>
      <c r="R53" s="280"/>
      <c r="S53" s="78">
        <f t="shared" si="52"/>
        <v>0</v>
      </c>
      <c r="T53" s="280"/>
      <c r="U53" s="78">
        <f t="shared" si="53"/>
        <v>0</v>
      </c>
      <c r="V53" s="280"/>
      <c r="W53" s="78">
        <f t="shared" si="54"/>
        <v>0</v>
      </c>
      <c r="X53" s="280"/>
      <c r="Y53" s="78"/>
      <c r="Z53" s="280"/>
      <c r="AA53" s="78"/>
      <c r="AB53" s="280"/>
      <c r="AC53" s="78"/>
      <c r="AD53" s="280"/>
      <c r="AE53" s="78"/>
      <c r="AF53" s="280"/>
      <c r="AG53" s="78"/>
      <c r="AH53" s="280"/>
      <c r="AI53" s="78"/>
      <c r="AJ53" s="280"/>
      <c r="AK53" s="78"/>
      <c r="AL53" s="280"/>
      <c r="AM53" s="78"/>
      <c r="AN53" s="280"/>
      <c r="AO53" s="78"/>
      <c r="AP53" s="280"/>
      <c r="AQ53" s="78"/>
      <c r="AR53" s="280"/>
      <c r="AS53" s="78"/>
      <c r="AT53" s="280"/>
      <c r="AU53" s="78"/>
      <c r="AV53" s="280"/>
      <c r="AW53" s="78"/>
      <c r="AX53" s="280"/>
      <c r="AY53" s="78"/>
      <c r="AZ53" s="280"/>
      <c r="BA53" s="78"/>
      <c r="BB53" s="280"/>
      <c r="BC53" s="78"/>
      <c r="BD53" s="280"/>
      <c r="BE53" s="78"/>
      <c r="BF53" s="280"/>
      <c r="BG53" s="78"/>
      <c r="BH53" s="280"/>
      <c r="BI53" s="78"/>
      <c r="BJ53" s="280"/>
      <c r="BK53" s="78"/>
      <c r="BL53" s="280"/>
      <c r="BM53" s="78"/>
      <c r="BN53" s="280"/>
      <c r="BO53" s="78"/>
      <c r="BP53" s="280"/>
      <c r="BQ53" s="78"/>
      <c r="BR53" s="280"/>
      <c r="BS53" s="78"/>
      <c r="BT53" s="280"/>
      <c r="BU53" s="78"/>
      <c r="BV53" s="280"/>
      <c r="BW53" s="78"/>
      <c r="BX53" s="280"/>
      <c r="BY53" s="78"/>
      <c r="BZ53" s="280"/>
      <c r="CA53" s="78"/>
      <c r="CB53" s="280"/>
      <c r="CC53" s="78"/>
      <c r="CD53" s="280"/>
      <c r="CE53" s="78"/>
      <c r="CF53" s="280"/>
      <c r="CG53" s="78"/>
      <c r="CH53" s="280"/>
      <c r="CI53" s="78"/>
      <c r="CJ53" s="280"/>
      <c r="CK53" s="78"/>
      <c r="CL53" s="280"/>
      <c r="CM53" s="78"/>
      <c r="CN53" s="280"/>
      <c r="CO53" s="78"/>
      <c r="CP53" s="77"/>
      <c r="CQ53" s="78"/>
      <c r="CR53" s="77"/>
      <c r="CS53" s="78"/>
      <c r="CT53" s="77"/>
      <c r="CU53" s="78"/>
      <c r="CV53" s="77"/>
      <c r="CW53" s="78"/>
      <c r="CX53" s="77"/>
      <c r="CY53" s="78"/>
      <c r="CZ53" s="77"/>
      <c r="DA53" s="78"/>
      <c r="DB53" s="77"/>
      <c r="DC53" s="78"/>
      <c r="DD53" s="77"/>
      <c r="DE53" s="78"/>
      <c r="DF53" s="77"/>
      <c r="DG53" s="78"/>
      <c r="DH53" s="77"/>
      <c r="DI53" s="78"/>
      <c r="DJ53" s="77"/>
      <c r="DK53" s="78"/>
      <c r="DL53" s="77"/>
      <c r="DM53" s="78"/>
      <c r="DN53" s="77"/>
      <c r="DO53" s="78"/>
      <c r="DP53" s="77"/>
      <c r="DQ53" s="78"/>
      <c r="DR53" s="77"/>
      <c r="DS53" s="78"/>
      <c r="DT53" s="77"/>
      <c r="DU53" s="78"/>
      <c r="DV53" s="77"/>
      <c r="DW53" s="78"/>
      <c r="DX53" s="77"/>
      <c r="DY53" s="78"/>
      <c r="DZ53" s="77"/>
      <c r="EA53" s="78"/>
      <c r="EB53" s="77"/>
      <c r="EC53" s="78"/>
      <c r="ED53" s="77"/>
      <c r="EE53" s="78"/>
      <c r="EF53" s="77"/>
      <c r="EG53" s="78"/>
      <c r="EH53" s="77"/>
      <c r="EI53" s="78"/>
      <c r="EJ53" s="77"/>
      <c r="EK53" s="78"/>
      <c r="EL53" s="77"/>
      <c r="EM53" s="78"/>
      <c r="EN53" s="77"/>
      <c r="EO53" s="78"/>
      <c r="EP53" s="77"/>
      <c r="EQ53" s="78"/>
      <c r="ER53" s="77"/>
      <c r="ES53" s="78"/>
      <c r="ET53" s="77"/>
      <c r="EU53" s="78"/>
      <c r="EV53" s="77"/>
      <c r="EW53" s="78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/>
      <c r="HN53"/>
      <c r="HO53"/>
      <c r="HP53"/>
      <c r="HQ53"/>
      <c r="HR53"/>
      <c r="HS53"/>
      <c r="HT53"/>
      <c r="HU53"/>
      <c r="HV53"/>
      <c r="HW53"/>
      <c r="HX53"/>
      <c r="HY53"/>
      <c r="HZ53"/>
      <c r="IA53"/>
      <c r="IB53"/>
      <c r="IC53"/>
      <c r="ID53"/>
      <c r="IE53"/>
      <c r="IF53"/>
      <c r="IG53"/>
      <c r="IH53"/>
      <c r="II53"/>
      <c r="IJ53"/>
      <c r="IK53"/>
      <c r="IL53"/>
      <c r="IM53"/>
      <c r="IN53"/>
      <c r="IO53"/>
      <c r="IP53"/>
      <c r="IQ53"/>
      <c r="IR53"/>
      <c r="IS53"/>
      <c r="IT53"/>
      <c r="IU53"/>
      <c r="IV53"/>
      <c r="IW53"/>
      <c r="IX53"/>
      <c r="IY53"/>
      <c r="IZ53"/>
      <c r="JA53"/>
      <c r="JB53"/>
      <c r="JC53"/>
      <c r="JD53"/>
      <c r="JE53"/>
      <c r="JF53"/>
      <c r="JG53"/>
      <c r="JH53"/>
      <c r="JI53"/>
      <c r="JJ53"/>
      <c r="JK53"/>
      <c r="JL53"/>
      <c r="JM53"/>
      <c r="JN53"/>
      <c r="JO53"/>
      <c r="JP53"/>
      <c r="JQ53"/>
      <c r="JR53"/>
      <c r="JS53"/>
      <c r="JT53"/>
      <c r="JU53"/>
      <c r="JV53"/>
      <c r="JW53"/>
      <c r="JX53"/>
      <c r="JY53"/>
      <c r="JZ53"/>
      <c r="KA53"/>
      <c r="KB53"/>
      <c r="KC53"/>
      <c r="KD53"/>
      <c r="KE53"/>
      <c r="KF53"/>
      <c r="KG53"/>
      <c r="KH53"/>
      <c r="KI53"/>
      <c r="KJ53"/>
      <c r="KK53"/>
      <c r="KL53"/>
      <c r="KM53"/>
      <c r="KN53"/>
      <c r="KO53"/>
      <c r="KP53"/>
      <c r="KQ53"/>
      <c r="KR53"/>
      <c r="KS53"/>
      <c r="KT53"/>
      <c r="KU53"/>
      <c r="KV53"/>
      <c r="KW53"/>
      <c r="KX53"/>
      <c r="KY53"/>
      <c r="KZ53"/>
      <c r="LA53"/>
      <c r="LB53"/>
      <c r="LC53"/>
      <c r="LD53"/>
      <c r="LE53"/>
      <c r="LF53"/>
      <c r="LG53"/>
      <c r="LH53"/>
      <c r="LI53"/>
      <c r="LJ53"/>
      <c r="LK53"/>
      <c r="LL53"/>
      <c r="LM53"/>
      <c r="LN53"/>
      <c r="LO53"/>
      <c r="LP53"/>
      <c r="LQ53"/>
      <c r="LR53"/>
      <c r="LS53"/>
      <c r="LT53"/>
      <c r="LU53"/>
      <c r="LV53"/>
      <c r="LW53"/>
      <c r="LX53"/>
      <c r="LY53"/>
      <c r="LZ53"/>
      <c r="MA53"/>
      <c r="MB53"/>
      <c r="MC53"/>
      <c r="MD53"/>
      <c r="ME53"/>
      <c r="MF53"/>
      <c r="MG53"/>
      <c r="MH53"/>
      <c r="MI53"/>
      <c r="MJ53"/>
      <c r="MK53"/>
      <c r="ML53"/>
    </row>
    <row r="54" spans="1:350" s="233" customFormat="1" ht="15" customHeight="1" x14ac:dyDescent="0.3">
      <c r="A54" s="77">
        <f>_xlfn.XLOOKUP(DADOS!$B$3,DADOS!$D$2:$DI$2,DADOS!$D54:$DI54,"",0)</f>
        <v>0</v>
      </c>
      <c r="B54" s="78">
        <f>_xlfn.XLOOKUP(DADOS!$B$3,DADOS!$E$112:$AS$112,DADOS!$E162:$AS162,"",0)</f>
        <v>0</v>
      </c>
      <c r="C54" s="295" t="s">
        <v>237</v>
      </c>
      <c r="D54" s="280"/>
      <c r="E54" s="78" cm="1">
        <f t="array" ref="E54">_xlfn.XLOOKUP(D$2,$D$112:$BF$112,$D162:BF162,0,0)</f>
        <v>0</v>
      </c>
      <c r="F54" s="280"/>
      <c r="G54" s="78">
        <f t="shared" si="47"/>
        <v>0</v>
      </c>
      <c r="H54" s="280"/>
      <c r="I54" s="78">
        <f t="shared" si="48"/>
        <v>0</v>
      </c>
      <c r="J54" s="280">
        <v>0</v>
      </c>
      <c r="K54" s="78">
        <f t="shared" si="49"/>
        <v>0</v>
      </c>
      <c r="L54" s="280"/>
      <c r="M54" s="78">
        <f t="shared" si="49"/>
        <v>0</v>
      </c>
      <c r="N54" s="280"/>
      <c r="O54" s="78">
        <f t="shared" si="50"/>
        <v>0</v>
      </c>
      <c r="P54" s="280"/>
      <c r="Q54" s="78">
        <f t="shared" si="51"/>
        <v>0</v>
      </c>
      <c r="R54" s="280"/>
      <c r="S54" s="78">
        <f t="shared" si="52"/>
        <v>0</v>
      </c>
      <c r="T54" s="280"/>
      <c r="U54" s="78">
        <f t="shared" si="53"/>
        <v>0</v>
      </c>
      <c r="V54" s="280"/>
      <c r="W54" s="78">
        <f t="shared" si="54"/>
        <v>0</v>
      </c>
      <c r="X54" s="280"/>
      <c r="Y54" s="78"/>
      <c r="Z54" s="280"/>
      <c r="AA54" s="78"/>
      <c r="AB54" s="280"/>
      <c r="AC54" s="78"/>
      <c r="AD54" s="280"/>
      <c r="AE54" s="78"/>
      <c r="AF54" s="280"/>
      <c r="AG54" s="78"/>
      <c r="AH54" s="280"/>
      <c r="AI54" s="78"/>
      <c r="AJ54" s="280"/>
      <c r="AK54" s="78"/>
      <c r="AL54" s="280"/>
      <c r="AM54" s="78"/>
      <c r="AN54" s="280"/>
      <c r="AO54" s="78"/>
      <c r="AP54" s="280"/>
      <c r="AQ54" s="78"/>
      <c r="AR54" s="280"/>
      <c r="AS54" s="78"/>
      <c r="AT54" s="280"/>
      <c r="AU54" s="78"/>
      <c r="AV54" s="280"/>
      <c r="AW54" s="78"/>
      <c r="AX54" s="280"/>
      <c r="AY54" s="78"/>
      <c r="AZ54" s="280"/>
      <c r="BA54" s="78"/>
      <c r="BB54" s="280"/>
      <c r="BC54" s="78"/>
      <c r="BD54" s="280"/>
      <c r="BE54" s="78"/>
      <c r="BF54" s="280"/>
      <c r="BG54" s="78"/>
      <c r="BH54" s="280"/>
      <c r="BI54" s="78"/>
      <c r="BJ54" s="280"/>
      <c r="BK54" s="78"/>
      <c r="BL54" s="280"/>
      <c r="BM54" s="78"/>
      <c r="BN54" s="280"/>
      <c r="BO54" s="78"/>
      <c r="BP54" s="280"/>
      <c r="BQ54" s="78"/>
      <c r="BR54" s="280"/>
      <c r="BS54" s="78"/>
      <c r="BT54" s="280"/>
      <c r="BU54" s="78"/>
      <c r="BV54" s="280"/>
      <c r="BW54" s="78"/>
      <c r="BX54" s="280"/>
      <c r="BY54" s="78"/>
      <c r="BZ54" s="280"/>
      <c r="CA54" s="78"/>
      <c r="CB54" s="280"/>
      <c r="CC54" s="78"/>
      <c r="CD54" s="280"/>
      <c r="CE54" s="78"/>
      <c r="CF54" s="280"/>
      <c r="CG54" s="78"/>
      <c r="CH54" s="280"/>
      <c r="CI54" s="78"/>
      <c r="CJ54" s="280"/>
      <c r="CK54" s="78"/>
      <c r="CL54" s="280"/>
      <c r="CM54" s="78"/>
      <c r="CN54" s="280"/>
      <c r="CO54" s="78"/>
      <c r="CP54" s="77"/>
      <c r="CQ54" s="78"/>
      <c r="CR54" s="77"/>
      <c r="CS54" s="78"/>
      <c r="CT54" s="77"/>
      <c r="CU54" s="78"/>
      <c r="CV54" s="77"/>
      <c r="CW54" s="78"/>
      <c r="CX54" s="77"/>
      <c r="CY54" s="78"/>
      <c r="CZ54" s="77"/>
      <c r="DA54" s="78"/>
      <c r="DB54" s="77"/>
      <c r="DC54" s="78"/>
      <c r="DD54" s="77"/>
      <c r="DE54" s="78"/>
      <c r="DF54" s="77"/>
      <c r="DG54" s="78"/>
      <c r="DH54" s="77"/>
      <c r="DI54" s="78"/>
      <c r="DJ54" s="77"/>
      <c r="DK54" s="78"/>
      <c r="DL54" s="77"/>
      <c r="DM54" s="78"/>
      <c r="DN54" s="77"/>
      <c r="DO54" s="78"/>
      <c r="DP54" s="77"/>
      <c r="DQ54" s="78"/>
      <c r="DR54" s="77"/>
      <c r="DS54" s="78"/>
      <c r="DT54" s="77"/>
      <c r="DU54" s="78"/>
      <c r="DV54" s="77"/>
      <c r="DW54" s="78"/>
      <c r="DX54" s="77"/>
      <c r="DY54" s="78"/>
      <c r="DZ54" s="77"/>
      <c r="EA54" s="78"/>
      <c r="EB54" s="77"/>
      <c r="EC54" s="78"/>
      <c r="ED54" s="77"/>
      <c r="EE54" s="78"/>
      <c r="EF54" s="77"/>
      <c r="EG54" s="78"/>
      <c r="EH54" s="77"/>
      <c r="EI54" s="78"/>
      <c r="EJ54" s="77"/>
      <c r="EK54" s="78"/>
      <c r="EL54" s="77"/>
      <c r="EM54" s="78"/>
      <c r="EN54" s="77"/>
      <c r="EO54" s="78"/>
      <c r="EP54" s="77"/>
      <c r="EQ54" s="78"/>
      <c r="ER54" s="77"/>
      <c r="ES54" s="78"/>
      <c r="ET54" s="77"/>
      <c r="EU54" s="78"/>
      <c r="EV54" s="77"/>
      <c r="EW54" s="78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  <c r="HN54"/>
      <c r="HO54"/>
      <c r="HP54"/>
      <c r="HQ54"/>
      <c r="HR54"/>
      <c r="HS54"/>
      <c r="HT54"/>
      <c r="HU54"/>
      <c r="HV54"/>
      <c r="HW54"/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  <c r="IV54"/>
      <c r="IW54"/>
      <c r="IX54"/>
      <c r="IY54"/>
      <c r="IZ54"/>
      <c r="JA54"/>
      <c r="JB54"/>
      <c r="JC54"/>
      <c r="JD54"/>
      <c r="JE54"/>
      <c r="JF54"/>
      <c r="JG54"/>
      <c r="JH54"/>
      <c r="JI54"/>
      <c r="JJ54"/>
      <c r="JK54"/>
      <c r="JL54"/>
      <c r="JM54"/>
      <c r="JN54"/>
      <c r="JO54"/>
      <c r="JP54"/>
      <c r="JQ54"/>
      <c r="JR54"/>
      <c r="JS54"/>
      <c r="JT54"/>
      <c r="JU54"/>
      <c r="JV54"/>
      <c r="JW54"/>
      <c r="JX54"/>
      <c r="JY54"/>
      <c r="JZ54"/>
      <c r="KA54"/>
      <c r="KB54"/>
      <c r="KC54"/>
      <c r="KD54"/>
      <c r="KE54"/>
      <c r="KF54"/>
      <c r="KG54"/>
      <c r="KH54"/>
      <c r="KI54"/>
      <c r="KJ54"/>
      <c r="KK54"/>
      <c r="KL54"/>
      <c r="KM54"/>
      <c r="KN54"/>
      <c r="KO54"/>
      <c r="KP54"/>
      <c r="KQ54"/>
      <c r="KR54"/>
      <c r="KS54"/>
      <c r="KT54"/>
      <c r="KU54"/>
      <c r="KV54"/>
      <c r="KW54"/>
      <c r="KX54"/>
      <c r="KY54"/>
      <c r="KZ54"/>
      <c r="LA54"/>
      <c r="LB54"/>
      <c r="LC54"/>
      <c r="LD54"/>
      <c r="LE54"/>
      <c r="LF54"/>
      <c r="LG54"/>
      <c r="LH54"/>
      <c r="LI54"/>
      <c r="LJ54"/>
      <c r="LK54"/>
      <c r="LL54"/>
      <c r="LM54"/>
      <c r="LN54"/>
      <c r="LO54"/>
      <c r="LP54"/>
      <c r="LQ54"/>
      <c r="LR54"/>
      <c r="LS54"/>
      <c r="LT54"/>
      <c r="LU54"/>
      <c r="LV54"/>
      <c r="LW54"/>
      <c r="LX54"/>
      <c r="LY54"/>
      <c r="LZ54"/>
      <c r="MA54"/>
      <c r="MB54"/>
      <c r="MC54"/>
      <c r="MD54"/>
      <c r="ME54"/>
      <c r="MF54"/>
      <c r="MG54"/>
      <c r="MH54"/>
      <c r="MI54"/>
      <c r="MJ54"/>
      <c r="MK54"/>
      <c r="ML54"/>
    </row>
    <row r="55" spans="1:350" s="233" customFormat="1" ht="15" customHeight="1" x14ac:dyDescent="0.3">
      <c r="A55" s="77">
        <f>_xlfn.XLOOKUP(DADOS!$B$3,DADOS!$D$2:$DI$2,DADOS!$D55:$DI55,"",0)</f>
        <v>0</v>
      </c>
      <c r="B55" s="78">
        <f>_xlfn.XLOOKUP(DADOS!$B$3,DADOS!$E$112:$AS$112,DADOS!$E163:$AS163,"",0)</f>
        <v>0</v>
      </c>
      <c r="C55" s="295" t="s">
        <v>254</v>
      </c>
      <c r="D55" s="280"/>
      <c r="E55" s="78" cm="1">
        <f t="array" ref="E55">_xlfn.XLOOKUP(D$2,$D$112:$BF$112,$D163:BF163,0,0)</f>
        <v>0</v>
      </c>
      <c r="F55" s="280"/>
      <c r="G55" s="78">
        <f t="shared" si="47"/>
        <v>0</v>
      </c>
      <c r="H55" s="280"/>
      <c r="I55" s="78">
        <f t="shared" si="48"/>
        <v>0</v>
      </c>
      <c r="J55" s="280">
        <v>0</v>
      </c>
      <c r="K55" s="78">
        <f t="shared" si="49"/>
        <v>0</v>
      </c>
      <c r="L55" s="280"/>
      <c r="M55" s="78">
        <f t="shared" si="49"/>
        <v>0</v>
      </c>
      <c r="N55" s="280"/>
      <c r="O55" s="78">
        <f t="shared" si="50"/>
        <v>0</v>
      </c>
      <c r="P55" s="280"/>
      <c r="Q55" s="78">
        <f t="shared" si="51"/>
        <v>0</v>
      </c>
      <c r="R55" s="280"/>
      <c r="S55" s="78">
        <f t="shared" si="52"/>
        <v>0</v>
      </c>
      <c r="T55" s="280"/>
      <c r="U55" s="78">
        <f t="shared" si="53"/>
        <v>0</v>
      </c>
      <c r="V55" s="280"/>
      <c r="W55" s="78">
        <f t="shared" si="54"/>
        <v>0</v>
      </c>
      <c r="X55" s="280"/>
      <c r="Y55" s="78"/>
      <c r="Z55" s="280"/>
      <c r="AA55" s="78"/>
      <c r="AB55" s="280"/>
      <c r="AC55" s="78"/>
      <c r="AD55" s="280"/>
      <c r="AE55" s="78"/>
      <c r="AF55" s="280"/>
      <c r="AG55" s="78"/>
      <c r="AH55" s="280"/>
      <c r="AI55" s="78"/>
      <c r="AJ55" s="280"/>
      <c r="AK55" s="78"/>
      <c r="AL55" s="280"/>
      <c r="AM55" s="78"/>
      <c r="AN55" s="280"/>
      <c r="AO55" s="78"/>
      <c r="AP55" s="280"/>
      <c r="AQ55" s="78"/>
      <c r="AR55" s="280"/>
      <c r="AS55" s="78"/>
      <c r="AT55" s="280"/>
      <c r="AU55" s="78"/>
      <c r="AV55" s="280"/>
      <c r="AW55" s="78"/>
      <c r="AX55" s="280"/>
      <c r="AY55" s="78"/>
      <c r="AZ55" s="280"/>
      <c r="BA55" s="78"/>
      <c r="BB55" s="280"/>
      <c r="BC55" s="78"/>
      <c r="BD55" s="280"/>
      <c r="BE55" s="78"/>
      <c r="BF55" s="280"/>
      <c r="BG55" s="78"/>
      <c r="BH55" s="280"/>
      <c r="BI55" s="78"/>
      <c r="BJ55" s="280"/>
      <c r="BK55" s="78"/>
      <c r="BL55" s="280"/>
      <c r="BM55" s="78"/>
      <c r="BN55" s="280"/>
      <c r="BO55" s="78"/>
      <c r="BP55" s="280"/>
      <c r="BQ55" s="78"/>
      <c r="BR55" s="280"/>
      <c r="BS55" s="78"/>
      <c r="BT55" s="280"/>
      <c r="BU55" s="78"/>
      <c r="BV55" s="280"/>
      <c r="BW55" s="78"/>
      <c r="BX55" s="280"/>
      <c r="BY55" s="78"/>
      <c r="BZ55" s="280"/>
      <c r="CA55" s="78"/>
      <c r="CB55" s="280"/>
      <c r="CC55" s="78"/>
      <c r="CD55" s="280"/>
      <c r="CE55" s="78"/>
      <c r="CF55" s="280"/>
      <c r="CG55" s="78"/>
      <c r="CH55" s="280"/>
      <c r="CI55" s="78"/>
      <c r="CJ55" s="280"/>
      <c r="CK55" s="78"/>
      <c r="CL55" s="280"/>
      <c r="CM55" s="78"/>
      <c r="CN55" s="280"/>
      <c r="CO55" s="78"/>
      <c r="CP55" s="77"/>
      <c r="CQ55" s="78"/>
      <c r="CR55" s="77"/>
      <c r="CS55" s="78"/>
      <c r="CT55" s="77"/>
      <c r="CU55" s="78"/>
      <c r="CV55" s="77"/>
      <c r="CW55" s="78"/>
      <c r="CX55" s="77"/>
      <c r="CY55" s="78"/>
      <c r="CZ55" s="77"/>
      <c r="DA55" s="78"/>
      <c r="DB55" s="77"/>
      <c r="DC55" s="78"/>
      <c r="DD55" s="77"/>
      <c r="DE55" s="78"/>
      <c r="DF55" s="77"/>
      <c r="DG55" s="78"/>
      <c r="DH55" s="77"/>
      <c r="DI55" s="78"/>
      <c r="DJ55" s="77"/>
      <c r="DK55" s="78"/>
      <c r="DL55" s="77"/>
      <c r="DM55" s="78"/>
      <c r="DN55" s="77"/>
      <c r="DO55" s="78"/>
      <c r="DP55" s="77"/>
      <c r="DQ55" s="78"/>
      <c r="DR55" s="77"/>
      <c r="DS55" s="78"/>
      <c r="DT55" s="77"/>
      <c r="DU55" s="78"/>
      <c r="DV55" s="77"/>
      <c r="DW55" s="78"/>
      <c r="DX55" s="77"/>
      <c r="DY55" s="78"/>
      <c r="DZ55" s="77"/>
      <c r="EA55" s="78"/>
      <c r="EB55" s="77"/>
      <c r="EC55" s="78"/>
      <c r="ED55" s="77"/>
      <c r="EE55" s="78"/>
      <c r="EF55" s="77"/>
      <c r="EG55" s="78"/>
      <c r="EH55" s="77"/>
      <c r="EI55" s="78"/>
      <c r="EJ55" s="77"/>
      <c r="EK55" s="78"/>
      <c r="EL55" s="77"/>
      <c r="EM55" s="78"/>
      <c r="EN55" s="77"/>
      <c r="EO55" s="78"/>
      <c r="EP55" s="77"/>
      <c r="EQ55" s="78"/>
      <c r="ER55" s="77"/>
      <c r="ES55" s="78"/>
      <c r="ET55" s="77"/>
      <c r="EU55" s="78"/>
      <c r="EV55" s="77"/>
      <c r="EW55" s="78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  <c r="HC55"/>
      <c r="HD55"/>
      <c r="HE55"/>
      <c r="HF55"/>
      <c r="HG55"/>
      <c r="HH55"/>
      <c r="HI55"/>
      <c r="HJ55"/>
      <c r="HK55"/>
      <c r="HL55"/>
      <c r="HM55"/>
      <c r="HN55"/>
      <c r="HO55"/>
      <c r="HP55"/>
      <c r="HQ55"/>
      <c r="HR55"/>
      <c r="HS55"/>
      <c r="HT55"/>
      <c r="HU55"/>
      <c r="HV55"/>
      <c r="HW55"/>
      <c r="HX55"/>
      <c r="HY55"/>
      <c r="HZ55"/>
      <c r="IA55"/>
      <c r="IB55"/>
      <c r="IC55"/>
      <c r="ID55"/>
      <c r="IE55"/>
      <c r="IF55"/>
      <c r="IG55"/>
      <c r="IH55"/>
      <c r="II55"/>
      <c r="IJ55"/>
      <c r="IK55"/>
      <c r="IL55"/>
      <c r="IM55"/>
      <c r="IN55"/>
      <c r="IO55"/>
      <c r="IP55"/>
      <c r="IQ55"/>
      <c r="IR55"/>
      <c r="IS55"/>
      <c r="IT55"/>
      <c r="IU55"/>
      <c r="IV55"/>
      <c r="IW55"/>
      <c r="IX55"/>
      <c r="IY55"/>
      <c r="IZ55"/>
      <c r="JA55"/>
      <c r="JB55"/>
      <c r="JC55"/>
      <c r="JD55"/>
      <c r="JE55"/>
      <c r="JF55"/>
      <c r="JG55"/>
      <c r="JH55"/>
      <c r="JI55"/>
      <c r="JJ55"/>
      <c r="JK55"/>
      <c r="JL55"/>
      <c r="JM55"/>
      <c r="JN55"/>
      <c r="JO55"/>
      <c r="JP55"/>
      <c r="JQ55"/>
      <c r="JR55"/>
      <c r="JS55"/>
      <c r="JT55"/>
      <c r="JU55"/>
      <c r="JV55"/>
      <c r="JW55"/>
      <c r="JX55"/>
      <c r="JY55"/>
      <c r="JZ55"/>
      <c r="KA55"/>
      <c r="KB55"/>
      <c r="KC55"/>
      <c r="KD55"/>
      <c r="KE55"/>
      <c r="KF55"/>
      <c r="KG55"/>
      <c r="KH55"/>
      <c r="KI55"/>
      <c r="KJ55"/>
      <c r="KK55"/>
      <c r="KL55"/>
      <c r="KM55"/>
      <c r="KN55"/>
      <c r="KO55"/>
      <c r="KP55"/>
      <c r="KQ55"/>
      <c r="KR55"/>
      <c r="KS55"/>
      <c r="KT55"/>
      <c r="KU55"/>
      <c r="KV55"/>
      <c r="KW55"/>
      <c r="KX55"/>
      <c r="KY55"/>
      <c r="KZ55"/>
      <c r="LA55"/>
      <c r="LB55"/>
      <c r="LC55"/>
      <c r="LD55"/>
      <c r="LE55"/>
      <c r="LF55"/>
      <c r="LG55"/>
      <c r="LH55"/>
      <c r="LI55"/>
      <c r="LJ55"/>
      <c r="LK55"/>
      <c r="LL55"/>
      <c r="LM55"/>
      <c r="LN55"/>
      <c r="LO55"/>
      <c r="LP55"/>
      <c r="LQ55"/>
      <c r="LR55"/>
      <c r="LS55"/>
      <c r="LT55"/>
      <c r="LU55"/>
      <c r="LV55"/>
      <c r="LW55"/>
      <c r="LX55"/>
      <c r="LY55"/>
      <c r="LZ55"/>
      <c r="MA55"/>
      <c r="MB55"/>
      <c r="MC55"/>
      <c r="MD55"/>
      <c r="ME55"/>
      <c r="MF55"/>
      <c r="MG55"/>
      <c r="MH55"/>
      <c r="MI55"/>
      <c r="MJ55"/>
      <c r="MK55"/>
      <c r="ML55"/>
    </row>
    <row r="56" spans="1:350" s="233" customFormat="1" ht="15" customHeight="1" x14ac:dyDescent="0.3">
      <c r="A56" s="77">
        <f>_xlfn.XLOOKUP(DADOS!$B$3,DADOS!$D$2:$DI$2,DADOS!$D56:$DI56,"",0)</f>
        <v>0</v>
      </c>
      <c r="B56" s="78">
        <f>_xlfn.XLOOKUP(DADOS!$B$3,DADOS!$E$112:$AS$112,DADOS!$E164:$AS164,"",0)</f>
        <v>0</v>
      </c>
      <c r="C56" s="295" t="s">
        <v>239</v>
      </c>
      <c r="D56" s="280"/>
      <c r="E56" s="78" cm="1">
        <f t="array" ref="E56">_xlfn.XLOOKUP(D$2,$D$112:$BF$112,$D164:BF164,0,0)</f>
        <v>0</v>
      </c>
      <c r="F56" s="280"/>
      <c r="G56" s="78">
        <f t="shared" si="47"/>
        <v>0</v>
      </c>
      <c r="H56" s="280"/>
      <c r="I56" s="78">
        <f t="shared" si="48"/>
        <v>0</v>
      </c>
      <c r="J56" s="280">
        <v>0</v>
      </c>
      <c r="K56" s="78">
        <f t="shared" si="49"/>
        <v>0</v>
      </c>
      <c r="L56" s="280"/>
      <c r="M56" s="78">
        <f t="shared" si="49"/>
        <v>0</v>
      </c>
      <c r="N56" s="280"/>
      <c r="O56" s="78">
        <f t="shared" si="50"/>
        <v>0</v>
      </c>
      <c r="P56" s="280"/>
      <c r="Q56" s="78">
        <f t="shared" si="51"/>
        <v>0</v>
      </c>
      <c r="R56" s="280"/>
      <c r="S56" s="78">
        <f t="shared" si="52"/>
        <v>0</v>
      </c>
      <c r="T56" s="280"/>
      <c r="U56" s="78">
        <f t="shared" si="53"/>
        <v>0</v>
      </c>
      <c r="V56" s="280"/>
      <c r="W56" s="78">
        <f t="shared" si="54"/>
        <v>0</v>
      </c>
      <c r="X56" s="280"/>
      <c r="Y56" s="78"/>
      <c r="Z56" s="280"/>
      <c r="AA56" s="78"/>
      <c r="AB56" s="280"/>
      <c r="AC56" s="78"/>
      <c r="AD56" s="280"/>
      <c r="AE56" s="78"/>
      <c r="AF56" s="280"/>
      <c r="AG56" s="78"/>
      <c r="AH56" s="280"/>
      <c r="AI56" s="78"/>
      <c r="AJ56" s="280"/>
      <c r="AK56" s="78"/>
      <c r="AL56" s="280"/>
      <c r="AM56" s="78"/>
      <c r="AN56" s="280"/>
      <c r="AO56" s="78"/>
      <c r="AP56" s="280"/>
      <c r="AQ56" s="78"/>
      <c r="AR56" s="280"/>
      <c r="AS56" s="78"/>
      <c r="AT56" s="280"/>
      <c r="AU56" s="78"/>
      <c r="AV56" s="280"/>
      <c r="AW56" s="78"/>
      <c r="AX56" s="280"/>
      <c r="AY56" s="78"/>
      <c r="AZ56" s="280"/>
      <c r="BA56" s="78"/>
      <c r="BB56" s="280"/>
      <c r="BC56" s="78"/>
      <c r="BD56" s="280"/>
      <c r="BE56" s="78"/>
      <c r="BF56" s="280"/>
      <c r="BG56" s="78"/>
      <c r="BH56" s="280"/>
      <c r="BI56" s="78"/>
      <c r="BJ56" s="280"/>
      <c r="BK56" s="78"/>
      <c r="BL56" s="280"/>
      <c r="BM56" s="78"/>
      <c r="BN56" s="280"/>
      <c r="BO56" s="78"/>
      <c r="BP56" s="280"/>
      <c r="BQ56" s="78"/>
      <c r="BR56" s="280"/>
      <c r="BS56" s="78"/>
      <c r="BT56" s="280"/>
      <c r="BU56" s="78"/>
      <c r="BV56" s="280"/>
      <c r="BW56" s="78"/>
      <c r="BX56" s="280"/>
      <c r="BY56" s="78"/>
      <c r="BZ56" s="280"/>
      <c r="CA56" s="78"/>
      <c r="CB56" s="280"/>
      <c r="CC56" s="78"/>
      <c r="CD56" s="280"/>
      <c r="CE56" s="78"/>
      <c r="CF56" s="280"/>
      <c r="CG56" s="78"/>
      <c r="CH56" s="280"/>
      <c r="CI56" s="78"/>
      <c r="CJ56" s="280"/>
      <c r="CK56" s="78"/>
      <c r="CL56" s="280"/>
      <c r="CM56" s="78"/>
      <c r="CN56" s="280"/>
      <c r="CO56" s="78"/>
      <c r="CP56" s="77"/>
      <c r="CQ56" s="78"/>
      <c r="CR56" s="77"/>
      <c r="CS56" s="78"/>
      <c r="CT56" s="77"/>
      <c r="CU56" s="78"/>
      <c r="CV56" s="77"/>
      <c r="CW56" s="78"/>
      <c r="CX56" s="77"/>
      <c r="CY56" s="78"/>
      <c r="CZ56" s="77"/>
      <c r="DA56" s="78"/>
      <c r="DB56" s="77"/>
      <c r="DC56" s="78"/>
      <c r="DD56" s="77"/>
      <c r="DE56" s="78"/>
      <c r="DF56" s="77"/>
      <c r="DG56" s="78"/>
      <c r="DH56" s="77"/>
      <c r="DI56" s="78"/>
      <c r="DJ56" s="77"/>
      <c r="DK56" s="78"/>
      <c r="DL56" s="77"/>
      <c r="DM56" s="78"/>
      <c r="DN56" s="77"/>
      <c r="DO56" s="78"/>
      <c r="DP56" s="77"/>
      <c r="DQ56" s="78"/>
      <c r="DR56" s="77"/>
      <c r="DS56" s="78"/>
      <c r="DT56" s="77"/>
      <c r="DU56" s="78"/>
      <c r="DV56" s="77"/>
      <c r="DW56" s="78"/>
      <c r="DX56" s="77"/>
      <c r="DY56" s="78"/>
      <c r="DZ56" s="77"/>
      <c r="EA56" s="78"/>
      <c r="EB56" s="77"/>
      <c r="EC56" s="78"/>
      <c r="ED56" s="77"/>
      <c r="EE56" s="78"/>
      <c r="EF56" s="77"/>
      <c r="EG56" s="78"/>
      <c r="EH56" s="77"/>
      <c r="EI56" s="78"/>
      <c r="EJ56" s="77"/>
      <c r="EK56" s="78"/>
      <c r="EL56" s="77"/>
      <c r="EM56" s="78"/>
      <c r="EN56" s="77"/>
      <c r="EO56" s="78"/>
      <c r="EP56" s="77"/>
      <c r="EQ56" s="78"/>
      <c r="ER56" s="77"/>
      <c r="ES56" s="78"/>
      <c r="ET56" s="77"/>
      <c r="EU56" s="78"/>
      <c r="EV56" s="77"/>
      <c r="EW56" s="78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/>
      <c r="FS56"/>
      <c r="FT56"/>
      <c r="FU56"/>
      <c r="FV56"/>
      <c r="FW56"/>
      <c r="FX56"/>
      <c r="FY56"/>
      <c r="FZ56"/>
      <c r="GA56"/>
      <c r="GB56"/>
      <c r="GC56"/>
      <c r="GD56"/>
      <c r="GE56"/>
      <c r="GF56"/>
      <c r="GG56"/>
      <c r="GH56"/>
      <c r="GI56"/>
      <c r="GJ56"/>
      <c r="GK56"/>
      <c r="GL56"/>
      <c r="GM56"/>
      <c r="GN56"/>
      <c r="GO56"/>
      <c r="GP56"/>
      <c r="GQ56"/>
      <c r="GR56"/>
      <c r="GS56"/>
      <c r="GT56"/>
      <c r="GU56"/>
      <c r="GV56"/>
      <c r="GW56"/>
      <c r="GX56"/>
      <c r="GY56"/>
      <c r="GZ56"/>
      <c r="HA56"/>
      <c r="HB56"/>
      <c r="HC56"/>
      <c r="HD56"/>
      <c r="HE56"/>
      <c r="HF56"/>
      <c r="HG56"/>
      <c r="HH56"/>
      <c r="HI56"/>
      <c r="HJ56"/>
      <c r="HK56"/>
      <c r="HL56"/>
      <c r="HM56"/>
      <c r="HN56"/>
      <c r="HO56"/>
      <c r="HP56"/>
      <c r="HQ56"/>
      <c r="HR56"/>
      <c r="HS56"/>
      <c r="HT56"/>
      <c r="HU56"/>
      <c r="HV56"/>
      <c r="HW56"/>
      <c r="HX56"/>
      <c r="HY56"/>
      <c r="HZ56"/>
      <c r="IA56"/>
      <c r="IB56"/>
      <c r="IC56"/>
      <c r="ID56"/>
      <c r="IE56"/>
      <c r="IF56"/>
      <c r="IG56"/>
      <c r="IH56"/>
      <c r="II56"/>
      <c r="IJ56"/>
      <c r="IK56"/>
      <c r="IL56"/>
      <c r="IM56"/>
      <c r="IN56"/>
      <c r="IO56"/>
      <c r="IP56"/>
      <c r="IQ56"/>
      <c r="IR56"/>
      <c r="IS56"/>
      <c r="IT56"/>
      <c r="IU56"/>
      <c r="IV56"/>
      <c r="IW56"/>
      <c r="IX56"/>
      <c r="IY56"/>
      <c r="IZ56"/>
      <c r="JA56"/>
      <c r="JB56"/>
      <c r="JC56"/>
      <c r="JD56"/>
      <c r="JE56"/>
      <c r="JF56"/>
      <c r="JG56"/>
      <c r="JH56"/>
      <c r="JI56"/>
      <c r="JJ56"/>
      <c r="JK56"/>
      <c r="JL56"/>
      <c r="JM56"/>
      <c r="JN56"/>
      <c r="JO56"/>
      <c r="JP56"/>
      <c r="JQ56"/>
      <c r="JR56"/>
      <c r="JS56"/>
      <c r="JT56"/>
      <c r="JU56"/>
      <c r="JV56"/>
      <c r="JW56"/>
      <c r="JX56"/>
      <c r="JY56"/>
      <c r="JZ56"/>
      <c r="KA56"/>
      <c r="KB56"/>
      <c r="KC56"/>
      <c r="KD56"/>
      <c r="KE56"/>
      <c r="KF56"/>
      <c r="KG56"/>
      <c r="KH56"/>
      <c r="KI56"/>
      <c r="KJ56"/>
      <c r="KK56"/>
      <c r="KL56"/>
      <c r="KM56"/>
      <c r="KN56"/>
      <c r="KO56"/>
      <c r="KP56"/>
      <c r="KQ56"/>
      <c r="KR56"/>
      <c r="KS56"/>
      <c r="KT56"/>
      <c r="KU56"/>
      <c r="KV56"/>
      <c r="KW56"/>
      <c r="KX56"/>
      <c r="KY56"/>
      <c r="KZ56"/>
      <c r="LA56"/>
      <c r="LB56"/>
      <c r="LC56"/>
      <c r="LD56"/>
      <c r="LE56"/>
      <c r="LF56"/>
      <c r="LG56"/>
      <c r="LH56"/>
      <c r="LI56"/>
      <c r="LJ56"/>
      <c r="LK56"/>
      <c r="LL56"/>
      <c r="LM56"/>
      <c r="LN56"/>
      <c r="LO56"/>
      <c r="LP56"/>
      <c r="LQ56"/>
      <c r="LR56"/>
      <c r="LS56"/>
      <c r="LT56"/>
      <c r="LU56"/>
      <c r="LV56"/>
      <c r="LW56"/>
      <c r="LX56"/>
      <c r="LY56"/>
      <c r="LZ56"/>
      <c r="MA56"/>
      <c r="MB56"/>
      <c r="MC56"/>
      <c r="MD56"/>
      <c r="ME56"/>
      <c r="MF56"/>
      <c r="MG56"/>
      <c r="MH56"/>
      <c r="MI56"/>
      <c r="MJ56"/>
      <c r="MK56"/>
      <c r="ML56"/>
    </row>
    <row r="57" spans="1:350" s="233" customFormat="1" ht="15" customHeight="1" x14ac:dyDescent="0.3">
      <c r="A57" s="77">
        <f>_xlfn.XLOOKUP(DADOS!$B$3,DADOS!$D$2:$DI$2,DADOS!$D57:$DI57,"",0)</f>
        <v>0</v>
      </c>
      <c r="B57" s="78">
        <f>_xlfn.XLOOKUP(DADOS!$B$3,DADOS!$E$112:$AS$112,DADOS!$E165:$AS165,"",0)</f>
        <v>0</v>
      </c>
      <c r="C57" s="295" t="s">
        <v>252</v>
      </c>
      <c r="D57" s="280"/>
      <c r="E57" s="78" cm="1">
        <f t="array" ref="E57">_xlfn.XLOOKUP(D$2,$D$112:$BF$112,$D165:BF165,0,0)</f>
        <v>0</v>
      </c>
      <c r="F57" s="280"/>
      <c r="G57" s="78">
        <f t="shared" si="47"/>
        <v>0</v>
      </c>
      <c r="H57" s="280"/>
      <c r="I57" s="78">
        <f t="shared" si="48"/>
        <v>0</v>
      </c>
      <c r="J57" s="280">
        <v>0</v>
      </c>
      <c r="K57" s="78">
        <f t="shared" si="49"/>
        <v>0</v>
      </c>
      <c r="L57" s="280"/>
      <c r="M57" s="78">
        <f t="shared" si="49"/>
        <v>0</v>
      </c>
      <c r="N57" s="280"/>
      <c r="O57" s="78">
        <f t="shared" si="50"/>
        <v>0</v>
      </c>
      <c r="P57" s="280"/>
      <c r="Q57" s="78">
        <f t="shared" si="51"/>
        <v>0</v>
      </c>
      <c r="R57" s="280"/>
      <c r="S57" s="78">
        <f t="shared" si="52"/>
        <v>0</v>
      </c>
      <c r="T57" s="280"/>
      <c r="U57" s="78">
        <f t="shared" si="53"/>
        <v>0</v>
      </c>
      <c r="V57" s="280"/>
      <c r="W57" s="78">
        <f t="shared" si="54"/>
        <v>0</v>
      </c>
      <c r="X57" s="280"/>
      <c r="Y57" s="78"/>
      <c r="Z57" s="280"/>
      <c r="AA57" s="78"/>
      <c r="AB57" s="280"/>
      <c r="AC57" s="78"/>
      <c r="AD57" s="280"/>
      <c r="AE57" s="78"/>
      <c r="AF57" s="280"/>
      <c r="AG57" s="78"/>
      <c r="AH57" s="280"/>
      <c r="AI57" s="78"/>
      <c r="AJ57" s="280"/>
      <c r="AK57" s="78"/>
      <c r="AL57" s="280"/>
      <c r="AM57" s="78"/>
      <c r="AN57" s="280"/>
      <c r="AO57" s="78"/>
      <c r="AP57" s="280"/>
      <c r="AQ57" s="78"/>
      <c r="AR57" s="280"/>
      <c r="AS57" s="78"/>
      <c r="AT57" s="280"/>
      <c r="AU57" s="78"/>
      <c r="AV57" s="280"/>
      <c r="AW57" s="78"/>
      <c r="AX57" s="280"/>
      <c r="AY57" s="78"/>
      <c r="AZ57" s="280"/>
      <c r="BA57" s="78"/>
      <c r="BB57" s="280"/>
      <c r="BC57" s="78"/>
      <c r="BD57" s="280"/>
      <c r="BE57" s="78"/>
      <c r="BF57" s="280"/>
      <c r="BG57" s="78"/>
      <c r="BH57" s="280"/>
      <c r="BI57" s="78"/>
      <c r="BJ57" s="280"/>
      <c r="BK57" s="78"/>
      <c r="BL57" s="280"/>
      <c r="BM57" s="78"/>
      <c r="BN57" s="280"/>
      <c r="BO57" s="78"/>
      <c r="BP57" s="280"/>
      <c r="BQ57" s="78"/>
      <c r="BR57" s="280"/>
      <c r="BS57" s="78"/>
      <c r="BT57" s="280"/>
      <c r="BU57" s="78"/>
      <c r="BV57" s="280"/>
      <c r="BW57" s="78"/>
      <c r="BX57" s="280"/>
      <c r="BY57" s="78"/>
      <c r="BZ57" s="280"/>
      <c r="CA57" s="78"/>
      <c r="CB57" s="280"/>
      <c r="CC57" s="78"/>
      <c r="CD57" s="280"/>
      <c r="CE57" s="78"/>
      <c r="CF57" s="280"/>
      <c r="CG57" s="78"/>
      <c r="CH57" s="280"/>
      <c r="CI57" s="78"/>
      <c r="CJ57" s="280"/>
      <c r="CK57" s="78"/>
      <c r="CL57" s="280"/>
      <c r="CM57" s="78"/>
      <c r="CN57" s="280"/>
      <c r="CO57" s="78"/>
      <c r="CP57" s="77"/>
      <c r="CQ57" s="78"/>
      <c r="CR57" s="77"/>
      <c r="CS57" s="78"/>
      <c r="CT57" s="77"/>
      <c r="CU57" s="78"/>
      <c r="CV57" s="77"/>
      <c r="CW57" s="78"/>
      <c r="CX57" s="77"/>
      <c r="CY57" s="78"/>
      <c r="CZ57" s="77"/>
      <c r="DA57" s="78"/>
      <c r="DB57" s="77"/>
      <c r="DC57" s="78"/>
      <c r="DD57" s="77"/>
      <c r="DE57" s="78"/>
      <c r="DF57" s="77"/>
      <c r="DG57" s="78"/>
      <c r="DH57" s="77"/>
      <c r="DI57" s="78"/>
      <c r="DJ57" s="77"/>
      <c r="DK57" s="78"/>
      <c r="DL57" s="77"/>
      <c r="DM57" s="78"/>
      <c r="DN57" s="77"/>
      <c r="DO57" s="78"/>
      <c r="DP57" s="77"/>
      <c r="DQ57" s="78"/>
      <c r="DR57" s="77"/>
      <c r="DS57" s="78"/>
      <c r="DT57" s="77"/>
      <c r="DU57" s="78"/>
      <c r="DV57" s="77"/>
      <c r="DW57" s="78"/>
      <c r="DX57" s="77"/>
      <c r="DY57" s="78"/>
      <c r="DZ57" s="77"/>
      <c r="EA57" s="78"/>
      <c r="EB57" s="77"/>
      <c r="EC57" s="78"/>
      <c r="ED57" s="77"/>
      <c r="EE57" s="78"/>
      <c r="EF57" s="77"/>
      <c r="EG57" s="78"/>
      <c r="EH57" s="77"/>
      <c r="EI57" s="78"/>
      <c r="EJ57" s="77"/>
      <c r="EK57" s="78"/>
      <c r="EL57" s="77"/>
      <c r="EM57" s="78"/>
      <c r="EN57" s="77"/>
      <c r="EO57" s="78"/>
      <c r="EP57" s="77"/>
      <c r="EQ57" s="78"/>
      <c r="ER57" s="77"/>
      <c r="ES57" s="78"/>
      <c r="ET57" s="77"/>
      <c r="EU57" s="78"/>
      <c r="EV57" s="77"/>
      <c r="EW57" s="78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  <c r="IS57"/>
      <c r="IT57"/>
      <c r="IU57"/>
      <c r="IV57"/>
      <c r="IW57"/>
      <c r="IX57"/>
      <c r="IY57"/>
      <c r="IZ57"/>
      <c r="JA57"/>
      <c r="JB57"/>
      <c r="JC57"/>
      <c r="JD57"/>
      <c r="JE57"/>
      <c r="JF57"/>
      <c r="JG57"/>
      <c r="JH57"/>
      <c r="JI57"/>
      <c r="JJ57"/>
      <c r="JK57"/>
      <c r="JL57"/>
      <c r="JM57"/>
      <c r="JN57"/>
      <c r="JO57"/>
      <c r="JP57"/>
      <c r="JQ57"/>
      <c r="JR57"/>
      <c r="JS57"/>
      <c r="JT57"/>
      <c r="JU57"/>
      <c r="JV57"/>
      <c r="JW57"/>
      <c r="JX57"/>
      <c r="JY57"/>
      <c r="JZ57"/>
      <c r="KA57"/>
      <c r="KB57"/>
      <c r="KC57"/>
      <c r="KD57"/>
      <c r="KE57"/>
      <c r="KF57"/>
      <c r="KG57"/>
      <c r="KH57"/>
      <c r="KI57"/>
      <c r="KJ57"/>
      <c r="KK57"/>
      <c r="KL57"/>
      <c r="KM57"/>
      <c r="KN57"/>
      <c r="KO57"/>
      <c r="KP57"/>
      <c r="KQ57"/>
      <c r="KR57"/>
      <c r="KS57"/>
      <c r="KT57"/>
      <c r="KU57"/>
      <c r="KV57"/>
      <c r="KW57"/>
      <c r="KX57"/>
      <c r="KY57"/>
      <c r="KZ57"/>
      <c r="LA57"/>
      <c r="LB57"/>
      <c r="LC57"/>
      <c r="LD57"/>
      <c r="LE57"/>
      <c r="LF57"/>
      <c r="LG57"/>
      <c r="LH57"/>
      <c r="LI57"/>
      <c r="LJ57"/>
      <c r="LK57"/>
      <c r="LL57"/>
      <c r="LM57"/>
      <c r="LN57"/>
      <c r="LO57"/>
      <c r="LP57"/>
      <c r="LQ57"/>
      <c r="LR57"/>
      <c r="LS57"/>
      <c r="LT57"/>
      <c r="LU57"/>
      <c r="LV57"/>
      <c r="LW57"/>
      <c r="LX57"/>
      <c r="LY57"/>
      <c r="LZ57"/>
      <c r="MA57"/>
      <c r="MB57"/>
      <c r="MC57"/>
      <c r="MD57"/>
      <c r="ME57"/>
      <c r="MF57"/>
      <c r="MG57"/>
      <c r="MH57"/>
      <c r="MI57"/>
      <c r="MJ57"/>
      <c r="MK57"/>
      <c r="ML57"/>
    </row>
    <row r="58" spans="1:350" s="233" customFormat="1" ht="15" customHeight="1" x14ac:dyDescent="0.3">
      <c r="A58" s="77">
        <f>_xlfn.XLOOKUP(DADOS!$B$3,DADOS!$D$2:$DI$2,DADOS!$D58:$DI58,"",0)</f>
        <v>0</v>
      </c>
      <c r="B58" s="78">
        <f>_xlfn.XLOOKUP(DADOS!$B$3,DADOS!$E$112:$AS$112,DADOS!$E166:$AS166,"",0)</f>
        <v>0</v>
      </c>
      <c r="C58" s="295" t="s">
        <v>241</v>
      </c>
      <c r="D58" s="280"/>
      <c r="E58" s="78" cm="1">
        <f t="array" ref="E58">_xlfn.XLOOKUP(D$2,$D$112:$BF$112,$D166:BF166,0,0)</f>
        <v>0</v>
      </c>
      <c r="F58" s="280"/>
      <c r="G58" s="78">
        <f t="shared" si="47"/>
        <v>0</v>
      </c>
      <c r="H58" s="280"/>
      <c r="I58" s="78">
        <f t="shared" si="48"/>
        <v>0</v>
      </c>
      <c r="J58" s="280">
        <v>0</v>
      </c>
      <c r="K58" s="78">
        <f t="shared" si="49"/>
        <v>0</v>
      </c>
      <c r="L58" s="280"/>
      <c r="M58" s="78">
        <f t="shared" si="49"/>
        <v>0</v>
      </c>
      <c r="N58" s="280"/>
      <c r="O58" s="78">
        <f t="shared" si="50"/>
        <v>0</v>
      </c>
      <c r="P58" s="280"/>
      <c r="Q58" s="78">
        <f t="shared" si="51"/>
        <v>0</v>
      </c>
      <c r="R58" s="280"/>
      <c r="S58" s="78">
        <f t="shared" si="52"/>
        <v>0</v>
      </c>
      <c r="T58" s="280"/>
      <c r="U58" s="78">
        <f t="shared" si="53"/>
        <v>0</v>
      </c>
      <c r="V58" s="280"/>
      <c r="W58" s="78">
        <f t="shared" si="54"/>
        <v>0</v>
      </c>
      <c r="X58" s="280"/>
      <c r="Y58" s="78"/>
      <c r="Z58" s="280"/>
      <c r="AA58" s="78"/>
      <c r="AB58" s="280"/>
      <c r="AC58" s="78"/>
      <c r="AD58" s="280"/>
      <c r="AE58" s="78"/>
      <c r="AF58" s="280"/>
      <c r="AG58" s="78"/>
      <c r="AH58" s="280"/>
      <c r="AI58" s="78"/>
      <c r="AJ58" s="280"/>
      <c r="AK58" s="78"/>
      <c r="AL58" s="280"/>
      <c r="AM58" s="78"/>
      <c r="AN58" s="280"/>
      <c r="AO58" s="78"/>
      <c r="AP58" s="280"/>
      <c r="AQ58" s="78"/>
      <c r="AR58" s="280"/>
      <c r="AS58" s="78"/>
      <c r="AT58" s="280"/>
      <c r="AU58" s="78"/>
      <c r="AV58" s="280"/>
      <c r="AW58" s="78"/>
      <c r="AX58" s="280"/>
      <c r="AY58" s="78"/>
      <c r="AZ58" s="280"/>
      <c r="BA58" s="78"/>
      <c r="BB58" s="280"/>
      <c r="BC58" s="78"/>
      <c r="BD58" s="280"/>
      <c r="BE58" s="78"/>
      <c r="BF58" s="280"/>
      <c r="BG58" s="78"/>
      <c r="BH58" s="280"/>
      <c r="BI58" s="78"/>
      <c r="BJ58" s="280"/>
      <c r="BK58" s="78"/>
      <c r="BL58" s="280"/>
      <c r="BM58" s="78"/>
      <c r="BN58" s="280"/>
      <c r="BO58" s="78"/>
      <c r="BP58" s="280"/>
      <c r="BQ58" s="78"/>
      <c r="BR58" s="280"/>
      <c r="BS58" s="78"/>
      <c r="BT58" s="280"/>
      <c r="BU58" s="78"/>
      <c r="BV58" s="280"/>
      <c r="BW58" s="78"/>
      <c r="BX58" s="280"/>
      <c r="BY58" s="78"/>
      <c r="BZ58" s="280"/>
      <c r="CA58" s="78"/>
      <c r="CB58" s="280"/>
      <c r="CC58" s="78"/>
      <c r="CD58" s="280"/>
      <c r="CE58" s="78"/>
      <c r="CF58" s="280"/>
      <c r="CG58" s="78"/>
      <c r="CH58" s="280"/>
      <c r="CI58" s="78"/>
      <c r="CJ58" s="280"/>
      <c r="CK58" s="78"/>
      <c r="CL58" s="280"/>
      <c r="CM58" s="78"/>
      <c r="CN58" s="280"/>
      <c r="CO58" s="78"/>
      <c r="CP58" s="77"/>
      <c r="CQ58" s="78"/>
      <c r="CR58" s="77"/>
      <c r="CS58" s="78"/>
      <c r="CT58" s="77"/>
      <c r="CU58" s="78"/>
      <c r="CV58" s="77"/>
      <c r="CW58" s="78"/>
      <c r="CX58" s="77"/>
      <c r="CY58" s="78"/>
      <c r="CZ58" s="77"/>
      <c r="DA58" s="78"/>
      <c r="DB58" s="77"/>
      <c r="DC58" s="78"/>
      <c r="DD58" s="77"/>
      <c r="DE58" s="78"/>
      <c r="DF58" s="77"/>
      <c r="DG58" s="78"/>
      <c r="DH58" s="77"/>
      <c r="DI58" s="78"/>
      <c r="DJ58" s="77"/>
      <c r="DK58" s="78"/>
      <c r="DL58" s="77"/>
      <c r="DM58" s="78"/>
      <c r="DN58" s="77"/>
      <c r="DO58" s="78"/>
      <c r="DP58" s="77"/>
      <c r="DQ58" s="78"/>
      <c r="DR58" s="77"/>
      <c r="DS58" s="78"/>
      <c r="DT58" s="77"/>
      <c r="DU58" s="78"/>
      <c r="DV58" s="77"/>
      <c r="DW58" s="78"/>
      <c r="DX58" s="77"/>
      <c r="DY58" s="78"/>
      <c r="DZ58" s="77"/>
      <c r="EA58" s="78"/>
      <c r="EB58" s="77"/>
      <c r="EC58" s="78"/>
      <c r="ED58" s="77"/>
      <c r="EE58" s="78"/>
      <c r="EF58" s="77"/>
      <c r="EG58" s="78"/>
      <c r="EH58" s="77"/>
      <c r="EI58" s="78"/>
      <c r="EJ58" s="77"/>
      <c r="EK58" s="78"/>
      <c r="EL58" s="77"/>
      <c r="EM58" s="78"/>
      <c r="EN58" s="77"/>
      <c r="EO58" s="78"/>
      <c r="EP58" s="77"/>
      <c r="EQ58" s="78"/>
      <c r="ER58" s="77"/>
      <c r="ES58" s="78"/>
      <c r="ET58" s="77"/>
      <c r="EU58" s="78"/>
      <c r="EV58" s="77"/>
      <c r="EW58" s="7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/>
      <c r="IS58"/>
      <c r="IT58"/>
      <c r="IU58"/>
      <c r="IV58"/>
      <c r="IW58"/>
      <c r="IX58"/>
      <c r="IY58"/>
      <c r="IZ58"/>
      <c r="JA58"/>
      <c r="JB58"/>
      <c r="JC58"/>
      <c r="JD58"/>
      <c r="JE58"/>
      <c r="JF58"/>
      <c r="JG58"/>
      <c r="JH58"/>
      <c r="JI58"/>
      <c r="JJ58"/>
      <c r="JK58"/>
      <c r="JL58"/>
      <c r="JM58"/>
      <c r="JN58"/>
      <c r="JO58"/>
      <c r="JP58"/>
      <c r="JQ58"/>
      <c r="JR58"/>
      <c r="JS58"/>
      <c r="JT58"/>
      <c r="JU58"/>
      <c r="JV58"/>
      <c r="JW58"/>
      <c r="JX58"/>
      <c r="JY58"/>
      <c r="JZ58"/>
      <c r="KA58"/>
      <c r="KB58"/>
      <c r="KC58"/>
      <c r="KD58"/>
      <c r="KE58"/>
      <c r="KF58"/>
      <c r="KG58"/>
      <c r="KH58"/>
      <c r="KI58"/>
      <c r="KJ58"/>
      <c r="KK58"/>
      <c r="KL58"/>
      <c r="KM58"/>
      <c r="KN58"/>
      <c r="KO58"/>
      <c r="KP58"/>
      <c r="KQ58"/>
      <c r="KR58"/>
      <c r="KS58"/>
      <c r="KT58"/>
      <c r="KU58"/>
      <c r="KV58"/>
      <c r="KW58"/>
      <c r="KX58"/>
      <c r="KY58"/>
      <c r="KZ58"/>
      <c r="LA58"/>
      <c r="LB58"/>
      <c r="LC58"/>
      <c r="LD58"/>
      <c r="LE58"/>
      <c r="LF58"/>
      <c r="LG58"/>
      <c r="LH58"/>
      <c r="LI58"/>
      <c r="LJ58"/>
      <c r="LK58"/>
      <c r="LL58"/>
      <c r="LM58"/>
      <c r="LN58"/>
      <c r="LO58"/>
      <c r="LP58"/>
      <c r="LQ58"/>
      <c r="LR58"/>
      <c r="LS58"/>
      <c r="LT58"/>
      <c r="LU58"/>
      <c r="LV58"/>
      <c r="LW58"/>
      <c r="LX58"/>
      <c r="LY58"/>
      <c r="LZ58"/>
      <c r="MA58"/>
      <c r="MB58"/>
      <c r="MC58"/>
      <c r="MD58"/>
      <c r="ME58"/>
      <c r="MF58"/>
      <c r="MG58"/>
      <c r="MH58"/>
      <c r="MI58"/>
      <c r="MJ58"/>
      <c r="MK58"/>
      <c r="ML58"/>
    </row>
    <row r="59" spans="1:350" s="233" customFormat="1" ht="15" customHeight="1" x14ac:dyDescent="0.3">
      <c r="A59" s="77">
        <f>_xlfn.XLOOKUP(DADOS!$B$3,DADOS!$D$2:$DI$2,DADOS!$D59:$DI59,"",0)</f>
        <v>0</v>
      </c>
      <c r="B59" s="78">
        <f>_xlfn.XLOOKUP(DADOS!$B$3,DADOS!$E$112:$AS$112,DADOS!$E167:$AS167,"",0)</f>
        <v>0</v>
      </c>
      <c r="C59" s="295" t="s">
        <v>242</v>
      </c>
      <c r="D59" s="280"/>
      <c r="E59" s="78" cm="1">
        <f t="array" ref="E59">_xlfn.XLOOKUP(D$2,$D$112:$BF$112,$D167:BF167,0,0)</f>
        <v>0</v>
      </c>
      <c r="F59" s="280"/>
      <c r="G59" s="78">
        <f t="shared" si="47"/>
        <v>0</v>
      </c>
      <c r="H59" s="280"/>
      <c r="I59" s="78">
        <f t="shared" si="48"/>
        <v>0</v>
      </c>
      <c r="J59" s="280">
        <v>0</v>
      </c>
      <c r="K59" s="78">
        <f t="shared" si="49"/>
        <v>0</v>
      </c>
      <c r="L59" s="280"/>
      <c r="M59" s="78">
        <f t="shared" si="49"/>
        <v>0</v>
      </c>
      <c r="N59" s="280"/>
      <c r="O59" s="78">
        <f t="shared" si="50"/>
        <v>0</v>
      </c>
      <c r="P59" s="280"/>
      <c r="Q59" s="78">
        <f t="shared" si="51"/>
        <v>0</v>
      </c>
      <c r="R59" s="280"/>
      <c r="S59" s="78">
        <f t="shared" si="52"/>
        <v>0</v>
      </c>
      <c r="T59" s="280"/>
      <c r="U59" s="78">
        <f t="shared" si="53"/>
        <v>0</v>
      </c>
      <c r="V59" s="280"/>
      <c r="W59" s="78">
        <f t="shared" si="54"/>
        <v>0</v>
      </c>
      <c r="X59" s="280"/>
      <c r="Y59" s="78"/>
      <c r="Z59" s="280"/>
      <c r="AA59" s="78"/>
      <c r="AB59" s="280"/>
      <c r="AC59" s="78"/>
      <c r="AD59" s="280"/>
      <c r="AE59" s="78"/>
      <c r="AF59" s="280"/>
      <c r="AG59" s="78"/>
      <c r="AH59" s="280"/>
      <c r="AI59" s="78"/>
      <c r="AJ59" s="280"/>
      <c r="AK59" s="78"/>
      <c r="AL59" s="280"/>
      <c r="AM59" s="78"/>
      <c r="AN59" s="280"/>
      <c r="AO59" s="78"/>
      <c r="AP59" s="280"/>
      <c r="AQ59" s="78"/>
      <c r="AR59" s="280"/>
      <c r="AS59" s="78"/>
      <c r="AT59" s="280"/>
      <c r="AU59" s="78"/>
      <c r="AV59" s="280"/>
      <c r="AW59" s="78"/>
      <c r="AX59" s="280"/>
      <c r="AY59" s="78"/>
      <c r="AZ59" s="280"/>
      <c r="BA59" s="78"/>
      <c r="BB59" s="280"/>
      <c r="BC59" s="78"/>
      <c r="BD59" s="280"/>
      <c r="BE59" s="78"/>
      <c r="BF59" s="280"/>
      <c r="BG59" s="78"/>
      <c r="BH59" s="280"/>
      <c r="BI59" s="78"/>
      <c r="BJ59" s="280"/>
      <c r="BK59" s="78"/>
      <c r="BL59" s="280"/>
      <c r="BM59" s="78"/>
      <c r="BN59" s="280"/>
      <c r="BO59" s="78"/>
      <c r="BP59" s="280"/>
      <c r="BQ59" s="78"/>
      <c r="BR59" s="280"/>
      <c r="BS59" s="78"/>
      <c r="BT59" s="280"/>
      <c r="BU59" s="78"/>
      <c r="BV59" s="280"/>
      <c r="BW59" s="78"/>
      <c r="BX59" s="280"/>
      <c r="BY59" s="78"/>
      <c r="BZ59" s="280"/>
      <c r="CA59" s="78"/>
      <c r="CB59" s="280"/>
      <c r="CC59" s="78"/>
      <c r="CD59" s="280"/>
      <c r="CE59" s="78"/>
      <c r="CF59" s="280"/>
      <c r="CG59" s="78"/>
      <c r="CH59" s="280"/>
      <c r="CI59" s="78"/>
      <c r="CJ59" s="280"/>
      <c r="CK59" s="78"/>
      <c r="CL59" s="280"/>
      <c r="CM59" s="78"/>
      <c r="CN59" s="280"/>
      <c r="CO59" s="78"/>
      <c r="CP59" s="77"/>
      <c r="CQ59" s="78"/>
      <c r="CR59" s="77"/>
      <c r="CS59" s="78"/>
      <c r="CT59" s="77"/>
      <c r="CU59" s="78"/>
      <c r="CV59" s="77"/>
      <c r="CW59" s="78"/>
      <c r="CX59" s="77"/>
      <c r="CY59" s="78"/>
      <c r="CZ59" s="77"/>
      <c r="DA59" s="78"/>
      <c r="DB59" s="77"/>
      <c r="DC59" s="78"/>
      <c r="DD59" s="77"/>
      <c r="DE59" s="78"/>
      <c r="DF59" s="77"/>
      <c r="DG59" s="78"/>
      <c r="DH59" s="77"/>
      <c r="DI59" s="78"/>
      <c r="DJ59" s="77"/>
      <c r="DK59" s="78"/>
      <c r="DL59" s="77"/>
      <c r="DM59" s="78"/>
      <c r="DN59" s="77"/>
      <c r="DO59" s="78"/>
      <c r="DP59" s="77"/>
      <c r="DQ59" s="78"/>
      <c r="DR59" s="77"/>
      <c r="DS59" s="78"/>
      <c r="DT59" s="77"/>
      <c r="DU59" s="78"/>
      <c r="DV59" s="77"/>
      <c r="DW59" s="78"/>
      <c r="DX59" s="77"/>
      <c r="DY59" s="78"/>
      <c r="DZ59" s="77"/>
      <c r="EA59" s="78"/>
      <c r="EB59" s="77"/>
      <c r="EC59" s="78"/>
      <c r="ED59" s="77"/>
      <c r="EE59" s="78"/>
      <c r="EF59" s="77"/>
      <c r="EG59" s="78"/>
      <c r="EH59" s="77"/>
      <c r="EI59" s="78"/>
      <c r="EJ59" s="77"/>
      <c r="EK59" s="78"/>
      <c r="EL59" s="77"/>
      <c r="EM59" s="78"/>
      <c r="EN59" s="77"/>
      <c r="EO59" s="78"/>
      <c r="EP59" s="77"/>
      <c r="EQ59" s="78"/>
      <c r="ER59" s="77"/>
      <c r="ES59" s="78"/>
      <c r="ET59" s="77"/>
      <c r="EU59" s="78"/>
      <c r="EV59" s="77"/>
      <c r="EW59" s="78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  <c r="HQ59"/>
      <c r="HR59"/>
      <c r="HS59"/>
      <c r="HT59"/>
      <c r="HU59"/>
      <c r="HV59"/>
      <c r="HW59"/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  <c r="IS59"/>
      <c r="IT59"/>
      <c r="IU59"/>
      <c r="IV59"/>
      <c r="IW59"/>
      <c r="IX59"/>
      <c r="IY59"/>
      <c r="IZ59"/>
      <c r="JA59"/>
      <c r="JB59"/>
      <c r="JC59"/>
      <c r="JD59"/>
      <c r="JE59"/>
      <c r="JF59"/>
      <c r="JG59"/>
      <c r="JH59"/>
      <c r="JI59"/>
      <c r="JJ59"/>
      <c r="JK59"/>
      <c r="JL59"/>
      <c r="JM59"/>
      <c r="JN59"/>
      <c r="JO59"/>
      <c r="JP59"/>
      <c r="JQ59"/>
      <c r="JR59"/>
      <c r="JS59"/>
      <c r="JT59"/>
      <c r="JU59"/>
      <c r="JV59"/>
      <c r="JW59"/>
      <c r="JX59"/>
      <c r="JY59"/>
      <c r="JZ59"/>
      <c r="KA59"/>
      <c r="KB59"/>
      <c r="KC59"/>
      <c r="KD59"/>
      <c r="KE59"/>
      <c r="KF59"/>
      <c r="KG59"/>
      <c r="KH59"/>
      <c r="KI59"/>
      <c r="KJ59"/>
      <c r="KK59"/>
      <c r="KL59"/>
      <c r="KM59"/>
      <c r="KN59"/>
      <c r="KO59"/>
      <c r="KP59"/>
      <c r="KQ59"/>
      <c r="KR59"/>
      <c r="KS59"/>
      <c r="KT59"/>
      <c r="KU59"/>
      <c r="KV59"/>
      <c r="KW59"/>
      <c r="KX59"/>
      <c r="KY59"/>
      <c r="KZ59"/>
      <c r="LA59"/>
      <c r="LB59"/>
      <c r="LC59"/>
      <c r="LD59"/>
      <c r="LE59"/>
      <c r="LF59"/>
      <c r="LG59"/>
      <c r="LH59"/>
      <c r="LI59"/>
      <c r="LJ59"/>
      <c r="LK59"/>
      <c r="LL59"/>
      <c r="LM59"/>
      <c r="LN59"/>
      <c r="LO59"/>
      <c r="LP59"/>
      <c r="LQ59"/>
      <c r="LR59"/>
      <c r="LS59"/>
      <c r="LT59"/>
      <c r="LU59"/>
      <c r="LV59"/>
      <c r="LW59"/>
      <c r="LX59"/>
      <c r="LY59"/>
      <c r="LZ59"/>
      <c r="MA59"/>
      <c r="MB59"/>
      <c r="MC59"/>
      <c r="MD59"/>
      <c r="ME59"/>
      <c r="MF59"/>
      <c r="MG59"/>
      <c r="MH59"/>
      <c r="MI59"/>
      <c r="MJ59"/>
      <c r="MK59"/>
      <c r="ML59"/>
    </row>
    <row r="60" spans="1:350" s="233" customFormat="1" ht="15" customHeight="1" x14ac:dyDescent="0.3">
      <c r="A60" s="77">
        <f>_xlfn.XLOOKUP(DADOS!$B$3,DADOS!$D$2:$DI$2,DADOS!$D60:$DI60,"",0)</f>
        <v>0</v>
      </c>
      <c r="B60" s="78">
        <f>_xlfn.XLOOKUP(DADOS!$B$3,DADOS!$E$112:$AS$112,DADOS!$E168:$AS168,"",0)</f>
        <v>0</v>
      </c>
      <c r="C60" s="295" t="s">
        <v>243</v>
      </c>
      <c r="D60" s="280"/>
      <c r="E60" s="78" cm="1">
        <f t="array" ref="E60">_xlfn.XLOOKUP(D$2,$D$112:$BF$112,$D168:BF168,0,0)</f>
        <v>0</v>
      </c>
      <c r="F60" s="280"/>
      <c r="G60" s="78">
        <f t="shared" si="47"/>
        <v>0</v>
      </c>
      <c r="H60" s="280"/>
      <c r="I60" s="78">
        <f t="shared" si="48"/>
        <v>0</v>
      </c>
      <c r="J60" s="280">
        <v>0</v>
      </c>
      <c r="K60" s="78">
        <f t="shared" si="49"/>
        <v>0</v>
      </c>
      <c r="L60" s="280"/>
      <c r="M60" s="78">
        <f t="shared" si="49"/>
        <v>0</v>
      </c>
      <c r="N60" s="280"/>
      <c r="O60" s="78">
        <f t="shared" si="50"/>
        <v>0</v>
      </c>
      <c r="P60" s="280"/>
      <c r="Q60" s="78">
        <f t="shared" si="51"/>
        <v>0</v>
      </c>
      <c r="R60" s="280"/>
      <c r="S60" s="78">
        <f t="shared" si="52"/>
        <v>0</v>
      </c>
      <c r="T60" s="280"/>
      <c r="U60" s="78">
        <f t="shared" si="53"/>
        <v>0</v>
      </c>
      <c r="V60" s="280"/>
      <c r="W60" s="78">
        <f t="shared" si="54"/>
        <v>0</v>
      </c>
      <c r="X60" s="280"/>
      <c r="Y60" s="78"/>
      <c r="Z60" s="280"/>
      <c r="AA60" s="78"/>
      <c r="AB60" s="280"/>
      <c r="AC60" s="78"/>
      <c r="AD60" s="280"/>
      <c r="AE60" s="78"/>
      <c r="AF60" s="280"/>
      <c r="AG60" s="78"/>
      <c r="AH60" s="280"/>
      <c r="AI60" s="78"/>
      <c r="AJ60" s="280"/>
      <c r="AK60" s="78"/>
      <c r="AL60" s="280"/>
      <c r="AM60" s="78"/>
      <c r="AN60" s="280"/>
      <c r="AO60" s="78"/>
      <c r="AP60" s="280"/>
      <c r="AQ60" s="78"/>
      <c r="AR60" s="280"/>
      <c r="AS60" s="78"/>
      <c r="AT60" s="280"/>
      <c r="AU60" s="78"/>
      <c r="AV60" s="280"/>
      <c r="AW60" s="78"/>
      <c r="AX60" s="280"/>
      <c r="AY60" s="78"/>
      <c r="AZ60" s="280"/>
      <c r="BA60" s="78"/>
      <c r="BB60" s="280"/>
      <c r="BC60" s="78"/>
      <c r="BD60" s="280"/>
      <c r="BE60" s="78"/>
      <c r="BF60" s="280"/>
      <c r="BG60" s="78"/>
      <c r="BH60" s="280"/>
      <c r="BI60" s="78"/>
      <c r="BJ60" s="280"/>
      <c r="BK60" s="78"/>
      <c r="BL60" s="280"/>
      <c r="BM60" s="78"/>
      <c r="BN60" s="280"/>
      <c r="BO60" s="78"/>
      <c r="BP60" s="280"/>
      <c r="BQ60" s="78"/>
      <c r="BR60" s="280"/>
      <c r="BS60" s="78"/>
      <c r="BT60" s="280"/>
      <c r="BU60" s="78"/>
      <c r="BV60" s="280"/>
      <c r="BW60" s="78"/>
      <c r="BX60" s="280"/>
      <c r="BY60" s="78"/>
      <c r="BZ60" s="280"/>
      <c r="CA60" s="78"/>
      <c r="CB60" s="280"/>
      <c r="CC60" s="78"/>
      <c r="CD60" s="280"/>
      <c r="CE60" s="78"/>
      <c r="CF60" s="280"/>
      <c r="CG60" s="78"/>
      <c r="CH60" s="280"/>
      <c r="CI60" s="78"/>
      <c r="CJ60" s="280"/>
      <c r="CK60" s="78"/>
      <c r="CL60" s="280"/>
      <c r="CM60" s="78"/>
      <c r="CN60" s="280"/>
      <c r="CO60" s="78"/>
      <c r="CP60" s="77"/>
      <c r="CQ60" s="78"/>
      <c r="CR60" s="77"/>
      <c r="CS60" s="78"/>
      <c r="CT60" s="77"/>
      <c r="CU60" s="78"/>
      <c r="CV60" s="77"/>
      <c r="CW60" s="78"/>
      <c r="CX60" s="77"/>
      <c r="CY60" s="78"/>
      <c r="CZ60" s="77"/>
      <c r="DA60" s="78"/>
      <c r="DB60" s="77"/>
      <c r="DC60" s="78"/>
      <c r="DD60" s="77"/>
      <c r="DE60" s="78"/>
      <c r="DF60" s="77"/>
      <c r="DG60" s="78"/>
      <c r="DH60" s="77"/>
      <c r="DI60" s="78"/>
      <c r="DJ60" s="77"/>
      <c r="DK60" s="78"/>
      <c r="DL60" s="77"/>
      <c r="DM60" s="78"/>
      <c r="DN60" s="77"/>
      <c r="DO60" s="78"/>
      <c r="DP60" s="77"/>
      <c r="DQ60" s="78"/>
      <c r="DR60" s="77"/>
      <c r="DS60" s="78"/>
      <c r="DT60" s="77"/>
      <c r="DU60" s="78"/>
      <c r="DV60" s="77"/>
      <c r="DW60" s="78"/>
      <c r="DX60" s="77"/>
      <c r="DY60" s="78"/>
      <c r="DZ60" s="77"/>
      <c r="EA60" s="78"/>
      <c r="EB60" s="77"/>
      <c r="EC60" s="78"/>
      <c r="ED60" s="77"/>
      <c r="EE60" s="78"/>
      <c r="EF60" s="77"/>
      <c r="EG60" s="78"/>
      <c r="EH60" s="77"/>
      <c r="EI60" s="78"/>
      <c r="EJ60" s="77"/>
      <c r="EK60" s="78"/>
      <c r="EL60" s="77"/>
      <c r="EM60" s="78"/>
      <c r="EN60" s="77"/>
      <c r="EO60" s="78"/>
      <c r="EP60" s="77"/>
      <c r="EQ60" s="78"/>
      <c r="ER60" s="77"/>
      <c r="ES60" s="78"/>
      <c r="ET60" s="77"/>
      <c r="EU60" s="78"/>
      <c r="EV60" s="77"/>
      <c r="EW60" s="78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/>
      <c r="GJ60"/>
      <c r="GK60"/>
      <c r="GL60"/>
      <c r="GM60"/>
      <c r="GN60"/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/>
      <c r="HD60"/>
      <c r="HE60"/>
      <c r="HF60"/>
      <c r="HG60"/>
      <c r="HH60"/>
      <c r="HI60"/>
      <c r="HJ60"/>
      <c r="HK60"/>
      <c r="HL60"/>
      <c r="HM60"/>
      <c r="HN60"/>
      <c r="HO60"/>
      <c r="HP60"/>
      <c r="HQ60"/>
      <c r="HR60"/>
      <c r="HS60"/>
      <c r="HT60"/>
      <c r="HU60"/>
      <c r="HV60"/>
      <c r="HW60"/>
      <c r="HX60"/>
      <c r="HY60"/>
      <c r="HZ60"/>
      <c r="IA60"/>
      <c r="IB60"/>
      <c r="IC60"/>
      <c r="ID60"/>
      <c r="IE60"/>
      <c r="IF60"/>
      <c r="IG60"/>
      <c r="IH60"/>
      <c r="II60"/>
      <c r="IJ60"/>
      <c r="IK60"/>
      <c r="IL60"/>
      <c r="IM60"/>
      <c r="IN60"/>
      <c r="IO60"/>
      <c r="IP60"/>
      <c r="IQ60"/>
      <c r="IR60"/>
      <c r="IS60"/>
      <c r="IT60"/>
      <c r="IU60"/>
      <c r="IV60"/>
      <c r="IW60"/>
      <c r="IX60"/>
      <c r="IY60"/>
      <c r="IZ60"/>
      <c r="JA60"/>
      <c r="JB60"/>
      <c r="JC60"/>
      <c r="JD60"/>
      <c r="JE60"/>
      <c r="JF60"/>
      <c r="JG60"/>
      <c r="JH60"/>
      <c r="JI60"/>
      <c r="JJ60"/>
      <c r="JK60"/>
      <c r="JL60"/>
      <c r="JM60"/>
      <c r="JN60"/>
      <c r="JO60"/>
      <c r="JP60"/>
      <c r="JQ60"/>
      <c r="JR60"/>
      <c r="JS60"/>
      <c r="JT60"/>
      <c r="JU60"/>
      <c r="JV60"/>
      <c r="JW60"/>
      <c r="JX60"/>
      <c r="JY60"/>
      <c r="JZ60"/>
      <c r="KA60"/>
      <c r="KB60"/>
      <c r="KC60"/>
      <c r="KD60"/>
      <c r="KE60"/>
      <c r="KF60"/>
      <c r="KG60"/>
      <c r="KH60"/>
      <c r="KI60"/>
      <c r="KJ60"/>
      <c r="KK60"/>
      <c r="KL60"/>
      <c r="KM60"/>
      <c r="KN60"/>
      <c r="KO60"/>
      <c r="KP60"/>
      <c r="KQ60"/>
      <c r="KR60"/>
      <c r="KS60"/>
      <c r="KT60"/>
      <c r="KU60"/>
      <c r="KV60"/>
      <c r="KW60"/>
      <c r="KX60"/>
      <c r="KY60"/>
      <c r="KZ60"/>
      <c r="LA60"/>
      <c r="LB60"/>
      <c r="LC60"/>
      <c r="LD60"/>
      <c r="LE60"/>
      <c r="LF60"/>
      <c r="LG60"/>
      <c r="LH60"/>
      <c r="LI60"/>
      <c r="LJ60"/>
      <c r="LK60"/>
      <c r="LL60"/>
      <c r="LM60"/>
      <c r="LN60"/>
      <c r="LO60"/>
      <c r="LP60"/>
      <c r="LQ60"/>
      <c r="LR60"/>
      <c r="LS60"/>
      <c r="LT60"/>
      <c r="LU60"/>
      <c r="LV60"/>
      <c r="LW60"/>
      <c r="LX60"/>
      <c r="LY60"/>
      <c r="LZ60"/>
      <c r="MA60"/>
      <c r="MB60"/>
      <c r="MC60"/>
      <c r="MD60"/>
      <c r="ME60"/>
      <c r="MF60"/>
      <c r="MG60"/>
      <c r="MH60"/>
      <c r="MI60"/>
      <c r="MJ60"/>
      <c r="MK60"/>
      <c r="ML60"/>
    </row>
    <row r="61" spans="1:350" s="233" customFormat="1" ht="15" customHeight="1" x14ac:dyDescent="0.3">
      <c r="A61" s="77">
        <f>_xlfn.XLOOKUP(DADOS!$B$3,DADOS!$D$2:$DI$2,DADOS!$D61:$DI61,"",0)</f>
        <v>0</v>
      </c>
      <c r="B61" s="78">
        <f>_xlfn.XLOOKUP(DADOS!$B$3,DADOS!$E$112:$AS$112,DADOS!$E169:$AS169,"",0)</f>
        <v>0</v>
      </c>
      <c r="C61" s="295" t="s">
        <v>272</v>
      </c>
      <c r="D61" s="280"/>
      <c r="E61" s="78" cm="1">
        <f t="array" ref="E61">_xlfn.XLOOKUP(D$2,$D$112:$BF$112,$D169:BF169,0,0)</f>
        <v>0</v>
      </c>
      <c r="F61" s="280"/>
      <c r="G61" s="78">
        <f t="shared" si="47"/>
        <v>0</v>
      </c>
      <c r="H61" s="280"/>
      <c r="I61" s="78">
        <f t="shared" si="48"/>
        <v>0</v>
      </c>
      <c r="J61" s="280">
        <v>0</v>
      </c>
      <c r="K61" s="78">
        <f t="shared" si="49"/>
        <v>0</v>
      </c>
      <c r="L61" s="280"/>
      <c r="M61" s="78">
        <f t="shared" si="49"/>
        <v>0</v>
      </c>
      <c r="N61" s="280"/>
      <c r="O61" s="78">
        <f t="shared" si="50"/>
        <v>0</v>
      </c>
      <c r="P61" s="280"/>
      <c r="Q61" s="78">
        <f t="shared" si="51"/>
        <v>0</v>
      </c>
      <c r="R61" s="280"/>
      <c r="S61" s="78">
        <f t="shared" si="52"/>
        <v>0</v>
      </c>
      <c r="T61" s="280"/>
      <c r="U61" s="78">
        <f t="shared" si="53"/>
        <v>0</v>
      </c>
      <c r="V61" s="280"/>
      <c r="W61" s="78">
        <f t="shared" si="54"/>
        <v>0</v>
      </c>
      <c r="X61" s="280"/>
      <c r="Y61" s="78"/>
      <c r="Z61" s="280"/>
      <c r="AA61" s="78"/>
      <c r="AB61" s="280"/>
      <c r="AC61" s="78"/>
      <c r="AD61" s="280"/>
      <c r="AE61" s="78"/>
      <c r="AF61" s="280"/>
      <c r="AG61" s="78"/>
      <c r="AH61" s="280"/>
      <c r="AI61" s="78"/>
      <c r="AJ61" s="280"/>
      <c r="AK61" s="78"/>
      <c r="AL61" s="280"/>
      <c r="AM61" s="78"/>
      <c r="AN61" s="280"/>
      <c r="AO61" s="78"/>
      <c r="AP61" s="280"/>
      <c r="AQ61" s="78"/>
      <c r="AR61" s="280"/>
      <c r="AS61" s="78"/>
      <c r="AT61" s="280"/>
      <c r="AU61" s="78"/>
      <c r="AV61" s="280"/>
      <c r="AW61" s="78"/>
      <c r="AX61" s="280"/>
      <c r="AY61" s="78"/>
      <c r="AZ61" s="280"/>
      <c r="BA61" s="78"/>
      <c r="BB61" s="280"/>
      <c r="BC61" s="78"/>
      <c r="BD61" s="280"/>
      <c r="BE61" s="78"/>
      <c r="BF61" s="280"/>
      <c r="BG61" s="78"/>
      <c r="BH61" s="280"/>
      <c r="BI61" s="78"/>
      <c r="BJ61" s="280"/>
      <c r="BK61" s="78"/>
      <c r="BL61" s="280"/>
      <c r="BM61" s="78"/>
      <c r="BN61" s="280"/>
      <c r="BO61" s="78"/>
      <c r="BP61" s="280"/>
      <c r="BQ61" s="78"/>
      <c r="BR61" s="280"/>
      <c r="BS61" s="78"/>
      <c r="BT61" s="280"/>
      <c r="BU61" s="78"/>
      <c r="BV61" s="280"/>
      <c r="BW61" s="78"/>
      <c r="BX61" s="280"/>
      <c r="BY61" s="78"/>
      <c r="BZ61" s="280"/>
      <c r="CA61" s="78"/>
      <c r="CB61" s="280"/>
      <c r="CC61" s="78"/>
      <c r="CD61" s="280"/>
      <c r="CE61" s="78"/>
      <c r="CF61" s="280"/>
      <c r="CG61" s="78"/>
      <c r="CH61" s="280"/>
      <c r="CI61" s="78"/>
      <c r="CJ61" s="280"/>
      <c r="CK61" s="78"/>
      <c r="CL61" s="280"/>
      <c r="CM61" s="78"/>
      <c r="CN61" s="280"/>
      <c r="CO61" s="78"/>
      <c r="CP61" s="77"/>
      <c r="CQ61" s="78"/>
      <c r="CR61" s="77"/>
      <c r="CS61" s="78"/>
      <c r="CT61" s="77"/>
      <c r="CU61" s="78"/>
      <c r="CV61" s="77"/>
      <c r="CW61" s="78"/>
      <c r="CX61" s="77"/>
      <c r="CY61" s="78"/>
      <c r="CZ61" s="77"/>
      <c r="DA61" s="78"/>
      <c r="DB61" s="77"/>
      <c r="DC61" s="78"/>
      <c r="DD61" s="77"/>
      <c r="DE61" s="78"/>
      <c r="DF61" s="77"/>
      <c r="DG61" s="78"/>
      <c r="DH61" s="77"/>
      <c r="DI61" s="78"/>
      <c r="DJ61" s="77"/>
      <c r="DK61" s="78"/>
      <c r="DL61" s="77"/>
      <c r="DM61" s="78"/>
      <c r="DN61" s="77"/>
      <c r="DO61" s="78"/>
      <c r="DP61" s="77"/>
      <c r="DQ61" s="78"/>
      <c r="DR61" s="77"/>
      <c r="DS61" s="78"/>
      <c r="DT61" s="77"/>
      <c r="DU61" s="78"/>
      <c r="DV61" s="77"/>
      <c r="DW61" s="78"/>
      <c r="DX61" s="77"/>
      <c r="DY61" s="78"/>
      <c r="DZ61" s="77"/>
      <c r="EA61" s="78"/>
      <c r="EB61" s="77"/>
      <c r="EC61" s="78"/>
      <c r="ED61" s="77"/>
      <c r="EE61" s="78"/>
      <c r="EF61" s="77"/>
      <c r="EG61" s="78"/>
      <c r="EH61" s="77"/>
      <c r="EI61" s="78"/>
      <c r="EJ61" s="77"/>
      <c r="EK61" s="78"/>
      <c r="EL61" s="77"/>
      <c r="EM61" s="78"/>
      <c r="EN61" s="77"/>
      <c r="EO61" s="78"/>
      <c r="EP61" s="77"/>
      <c r="EQ61" s="78"/>
      <c r="ER61" s="77"/>
      <c r="ES61" s="78"/>
      <c r="ET61" s="77"/>
      <c r="EU61" s="78"/>
      <c r="EV61" s="77"/>
      <c r="EW61" s="78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/>
      <c r="GN61"/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  <c r="HC61"/>
      <c r="HD61"/>
      <c r="HE61"/>
      <c r="HF61"/>
      <c r="HG61"/>
      <c r="HH61"/>
      <c r="HI61"/>
      <c r="HJ61"/>
      <c r="HK61"/>
      <c r="HL61"/>
      <c r="HM61"/>
      <c r="HN61"/>
      <c r="HO61"/>
      <c r="HP61"/>
      <c r="HQ61"/>
      <c r="HR61"/>
      <c r="HS61"/>
      <c r="HT61"/>
      <c r="HU61"/>
      <c r="HV61"/>
      <c r="HW61"/>
      <c r="HX61"/>
      <c r="HY61"/>
      <c r="HZ61"/>
      <c r="IA61"/>
      <c r="IB61"/>
      <c r="IC61"/>
      <c r="ID61"/>
      <c r="IE61"/>
      <c r="IF61"/>
      <c r="IG61"/>
      <c r="IH61"/>
      <c r="II61"/>
      <c r="IJ61"/>
      <c r="IK61"/>
      <c r="IL61"/>
      <c r="IM61"/>
      <c r="IN61"/>
      <c r="IO61"/>
      <c r="IP61"/>
      <c r="IQ61"/>
      <c r="IR61"/>
      <c r="IS61"/>
      <c r="IT61"/>
      <c r="IU61"/>
      <c r="IV61"/>
      <c r="IW61"/>
      <c r="IX61"/>
      <c r="IY61"/>
      <c r="IZ61"/>
      <c r="JA61"/>
      <c r="JB61"/>
      <c r="JC61"/>
      <c r="JD61"/>
      <c r="JE61"/>
      <c r="JF61"/>
      <c r="JG61"/>
      <c r="JH61"/>
      <c r="JI61"/>
      <c r="JJ61"/>
      <c r="JK61"/>
      <c r="JL61"/>
      <c r="JM61"/>
      <c r="JN61"/>
      <c r="JO61"/>
      <c r="JP61"/>
      <c r="JQ61"/>
      <c r="JR61"/>
      <c r="JS61"/>
      <c r="JT61"/>
      <c r="JU61"/>
      <c r="JV61"/>
      <c r="JW61"/>
      <c r="JX61"/>
      <c r="JY61"/>
      <c r="JZ61"/>
      <c r="KA61"/>
      <c r="KB61"/>
      <c r="KC61"/>
      <c r="KD61"/>
      <c r="KE61"/>
      <c r="KF61"/>
      <c r="KG61"/>
      <c r="KH61"/>
      <c r="KI61"/>
      <c r="KJ61"/>
      <c r="KK61"/>
      <c r="KL61"/>
      <c r="KM61"/>
      <c r="KN61"/>
      <c r="KO61"/>
      <c r="KP61"/>
      <c r="KQ61"/>
      <c r="KR61"/>
      <c r="KS61"/>
      <c r="KT61"/>
      <c r="KU61"/>
      <c r="KV61"/>
      <c r="KW61"/>
      <c r="KX61"/>
      <c r="KY61"/>
      <c r="KZ61"/>
      <c r="LA61"/>
      <c r="LB61"/>
      <c r="LC61"/>
      <c r="LD61"/>
      <c r="LE61"/>
      <c r="LF61"/>
      <c r="LG61"/>
      <c r="LH61"/>
      <c r="LI61"/>
      <c r="LJ61"/>
      <c r="LK61"/>
      <c r="LL61"/>
      <c r="LM61"/>
      <c r="LN61"/>
      <c r="LO61"/>
      <c r="LP61"/>
      <c r="LQ61"/>
      <c r="LR61"/>
      <c r="LS61"/>
      <c r="LT61"/>
      <c r="LU61"/>
      <c r="LV61"/>
      <c r="LW61"/>
      <c r="LX61"/>
      <c r="LY61"/>
      <c r="LZ61"/>
      <c r="MA61"/>
      <c r="MB61"/>
      <c r="MC61"/>
      <c r="MD61"/>
      <c r="ME61"/>
      <c r="MF61"/>
      <c r="MG61"/>
      <c r="MH61"/>
      <c r="MI61"/>
      <c r="MJ61"/>
      <c r="MK61"/>
      <c r="ML61"/>
    </row>
    <row r="62" spans="1:350" s="233" customFormat="1" ht="15" customHeight="1" x14ac:dyDescent="0.3">
      <c r="A62" s="77">
        <f>_xlfn.XLOOKUP(DADOS!$B$3,DADOS!$D$2:$DI$2,DADOS!$D62:$DI62,"",0)</f>
        <v>0</v>
      </c>
      <c r="B62" s="78">
        <f>_xlfn.XLOOKUP(DADOS!$B$3,DADOS!$E$112:$AS$112,DADOS!$E170:$AS170,"",0)</f>
        <v>0</v>
      </c>
      <c r="C62" s="295" t="s">
        <v>275</v>
      </c>
      <c r="D62" s="280"/>
      <c r="E62" s="78" cm="1">
        <f t="array" ref="E62">_xlfn.XLOOKUP(D$2,$D$112:$BF$112,$D170:BF170,0,0)</f>
        <v>0</v>
      </c>
      <c r="F62" s="280"/>
      <c r="G62" s="78">
        <f t="shared" si="47"/>
        <v>0</v>
      </c>
      <c r="H62" s="280"/>
      <c r="I62" s="78">
        <f t="shared" si="48"/>
        <v>0</v>
      </c>
      <c r="J62" s="280">
        <v>0</v>
      </c>
      <c r="K62" s="78">
        <f t="shared" si="49"/>
        <v>0</v>
      </c>
      <c r="L62" s="280"/>
      <c r="M62" s="78">
        <f t="shared" si="49"/>
        <v>0</v>
      </c>
      <c r="N62" s="280"/>
      <c r="O62" s="78">
        <f t="shared" si="50"/>
        <v>0</v>
      </c>
      <c r="P62" s="280"/>
      <c r="Q62" s="78">
        <f t="shared" si="51"/>
        <v>0</v>
      </c>
      <c r="R62" s="280"/>
      <c r="S62" s="78">
        <f t="shared" si="52"/>
        <v>0</v>
      </c>
      <c r="T62" s="280"/>
      <c r="U62" s="78">
        <f t="shared" si="53"/>
        <v>0</v>
      </c>
      <c r="V62" s="280"/>
      <c r="W62" s="78">
        <f t="shared" si="54"/>
        <v>0</v>
      </c>
      <c r="X62" s="280"/>
      <c r="Y62" s="78"/>
      <c r="Z62" s="280"/>
      <c r="AA62" s="78"/>
      <c r="AB62" s="280"/>
      <c r="AC62" s="78"/>
      <c r="AD62" s="280"/>
      <c r="AE62" s="78"/>
      <c r="AF62" s="280"/>
      <c r="AG62" s="78"/>
      <c r="AH62" s="280"/>
      <c r="AI62" s="78"/>
      <c r="AJ62" s="280"/>
      <c r="AK62" s="78"/>
      <c r="AL62" s="280"/>
      <c r="AM62" s="78"/>
      <c r="AN62" s="280"/>
      <c r="AO62" s="78"/>
      <c r="AP62" s="280"/>
      <c r="AQ62" s="78"/>
      <c r="AR62" s="280"/>
      <c r="AS62" s="78"/>
      <c r="AT62" s="280"/>
      <c r="AU62" s="78"/>
      <c r="AV62" s="280"/>
      <c r="AW62" s="78"/>
      <c r="AX62" s="280"/>
      <c r="AY62" s="78"/>
      <c r="AZ62" s="280"/>
      <c r="BA62" s="78"/>
      <c r="BB62" s="280"/>
      <c r="BC62" s="78"/>
      <c r="BD62" s="280"/>
      <c r="BE62" s="78"/>
      <c r="BF62" s="280"/>
      <c r="BG62" s="78"/>
      <c r="BH62" s="280"/>
      <c r="BI62" s="78"/>
      <c r="BJ62" s="280"/>
      <c r="BK62" s="78"/>
      <c r="BL62" s="280"/>
      <c r="BM62" s="78"/>
      <c r="BN62" s="280"/>
      <c r="BO62" s="78"/>
      <c r="BP62" s="280"/>
      <c r="BQ62" s="78"/>
      <c r="BR62" s="280"/>
      <c r="BS62" s="78"/>
      <c r="BT62" s="280"/>
      <c r="BU62" s="78"/>
      <c r="BV62" s="280"/>
      <c r="BW62" s="78"/>
      <c r="BX62" s="280"/>
      <c r="BY62" s="78"/>
      <c r="BZ62" s="280"/>
      <c r="CA62" s="78"/>
      <c r="CB62" s="280"/>
      <c r="CC62" s="78"/>
      <c r="CD62" s="280"/>
      <c r="CE62" s="78"/>
      <c r="CF62" s="280"/>
      <c r="CG62" s="78"/>
      <c r="CH62" s="280"/>
      <c r="CI62" s="78"/>
      <c r="CJ62" s="280"/>
      <c r="CK62" s="78"/>
      <c r="CL62" s="280"/>
      <c r="CM62" s="78"/>
      <c r="CN62" s="280"/>
      <c r="CO62" s="78"/>
      <c r="CP62" s="77"/>
      <c r="CQ62" s="78"/>
      <c r="CR62" s="77"/>
      <c r="CS62" s="78"/>
      <c r="CT62" s="77"/>
      <c r="CU62" s="78"/>
      <c r="CV62" s="77"/>
      <c r="CW62" s="78"/>
      <c r="CX62" s="77"/>
      <c r="CY62" s="78"/>
      <c r="CZ62" s="77"/>
      <c r="DA62" s="78"/>
      <c r="DB62" s="77"/>
      <c r="DC62" s="78"/>
      <c r="DD62" s="77"/>
      <c r="DE62" s="78"/>
      <c r="DF62" s="77"/>
      <c r="DG62" s="78"/>
      <c r="DH62" s="77"/>
      <c r="DI62" s="78"/>
      <c r="DJ62" s="77"/>
      <c r="DK62" s="78"/>
      <c r="DL62" s="77"/>
      <c r="DM62" s="78"/>
      <c r="DN62" s="77"/>
      <c r="DO62" s="78"/>
      <c r="DP62" s="77"/>
      <c r="DQ62" s="78"/>
      <c r="DR62" s="77"/>
      <c r="DS62" s="78"/>
      <c r="DT62" s="77"/>
      <c r="DU62" s="78"/>
      <c r="DV62" s="77"/>
      <c r="DW62" s="78"/>
      <c r="DX62" s="77"/>
      <c r="DY62" s="78"/>
      <c r="DZ62" s="77"/>
      <c r="EA62" s="78"/>
      <c r="EB62" s="77"/>
      <c r="EC62" s="78"/>
      <c r="ED62" s="77"/>
      <c r="EE62" s="78"/>
      <c r="EF62" s="77"/>
      <c r="EG62" s="78"/>
      <c r="EH62" s="77"/>
      <c r="EI62" s="78"/>
      <c r="EJ62" s="77"/>
      <c r="EK62" s="78"/>
      <c r="EL62" s="77"/>
      <c r="EM62" s="78"/>
      <c r="EN62" s="77"/>
      <c r="EO62" s="78"/>
      <c r="EP62" s="77"/>
      <c r="EQ62" s="78"/>
      <c r="ER62" s="77"/>
      <c r="ES62" s="78"/>
      <c r="ET62" s="77"/>
      <c r="EU62" s="78"/>
      <c r="EV62" s="77"/>
      <c r="EW62" s="78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  <c r="GU62"/>
      <c r="GV62"/>
      <c r="GW62"/>
      <c r="GX62"/>
      <c r="GY62"/>
      <c r="GZ62"/>
      <c r="HA62"/>
      <c r="HB62"/>
      <c r="HC62"/>
      <c r="HD62"/>
      <c r="HE62"/>
      <c r="HF62"/>
      <c r="HG62"/>
      <c r="HH62"/>
      <c r="HI62"/>
      <c r="HJ62"/>
      <c r="HK62"/>
      <c r="HL62"/>
      <c r="HM62"/>
      <c r="HN62"/>
      <c r="HO62"/>
      <c r="HP62"/>
      <c r="HQ62"/>
      <c r="HR62"/>
      <c r="HS62"/>
      <c r="HT62"/>
      <c r="HU62"/>
      <c r="HV62"/>
      <c r="HW62"/>
      <c r="HX62"/>
      <c r="HY62"/>
      <c r="HZ62"/>
      <c r="IA62"/>
      <c r="IB62"/>
      <c r="IC62"/>
      <c r="ID62"/>
      <c r="IE62"/>
      <c r="IF62"/>
      <c r="IG62"/>
      <c r="IH62"/>
      <c r="II62"/>
      <c r="IJ62"/>
      <c r="IK62"/>
      <c r="IL62"/>
      <c r="IM62"/>
      <c r="IN62"/>
      <c r="IO62"/>
      <c r="IP62"/>
      <c r="IQ62"/>
      <c r="IR62"/>
      <c r="IS62"/>
      <c r="IT62"/>
      <c r="IU62"/>
      <c r="IV62"/>
      <c r="IW62"/>
      <c r="IX62"/>
      <c r="IY62"/>
      <c r="IZ62"/>
      <c r="JA62"/>
      <c r="JB62"/>
      <c r="JC62"/>
      <c r="JD62"/>
      <c r="JE62"/>
      <c r="JF62"/>
      <c r="JG62"/>
      <c r="JH62"/>
      <c r="JI62"/>
      <c r="JJ62"/>
      <c r="JK62"/>
      <c r="JL62"/>
      <c r="JM62"/>
      <c r="JN62"/>
      <c r="JO62"/>
      <c r="JP62"/>
      <c r="JQ62"/>
      <c r="JR62"/>
      <c r="JS62"/>
      <c r="JT62"/>
      <c r="JU62"/>
      <c r="JV62"/>
      <c r="JW62"/>
      <c r="JX62"/>
      <c r="JY62"/>
      <c r="JZ62"/>
      <c r="KA62"/>
      <c r="KB62"/>
      <c r="KC62"/>
      <c r="KD62"/>
      <c r="KE62"/>
      <c r="KF62"/>
      <c r="KG62"/>
      <c r="KH62"/>
      <c r="KI62"/>
      <c r="KJ62"/>
      <c r="KK62"/>
      <c r="KL62"/>
      <c r="KM62"/>
      <c r="KN62"/>
      <c r="KO62"/>
      <c r="KP62"/>
      <c r="KQ62"/>
      <c r="KR62"/>
      <c r="KS62"/>
      <c r="KT62"/>
      <c r="KU62"/>
      <c r="KV62"/>
      <c r="KW62"/>
      <c r="KX62"/>
      <c r="KY62"/>
      <c r="KZ62"/>
      <c r="LA62"/>
      <c r="LB62"/>
      <c r="LC62"/>
      <c r="LD62"/>
      <c r="LE62"/>
      <c r="LF62"/>
      <c r="LG62"/>
      <c r="LH62"/>
      <c r="LI62"/>
      <c r="LJ62"/>
      <c r="LK62"/>
      <c r="LL62"/>
      <c r="LM62"/>
      <c r="LN62"/>
      <c r="LO62"/>
      <c r="LP62"/>
      <c r="LQ62"/>
      <c r="LR62"/>
      <c r="LS62"/>
      <c r="LT62"/>
      <c r="LU62"/>
      <c r="LV62"/>
      <c r="LW62"/>
      <c r="LX62"/>
      <c r="LY62"/>
      <c r="LZ62"/>
      <c r="MA62"/>
      <c r="MB62"/>
      <c r="MC62"/>
      <c r="MD62"/>
      <c r="ME62"/>
      <c r="MF62"/>
      <c r="MG62"/>
      <c r="MH62"/>
      <c r="MI62"/>
      <c r="MJ62"/>
      <c r="MK62"/>
      <c r="ML62"/>
    </row>
    <row r="63" spans="1:350" s="233" customFormat="1" ht="15" customHeight="1" x14ac:dyDescent="0.3">
      <c r="A63" s="77">
        <f>_xlfn.XLOOKUP(DADOS!$B$3,DADOS!$D$2:$DI$2,DADOS!$D63:$DI63,"",0)</f>
        <v>0</v>
      </c>
      <c r="B63" s="78">
        <f>_xlfn.XLOOKUP(DADOS!$B$3,DADOS!$E$112:$AS$112,DADOS!$E171:$AS171,"",0)</f>
        <v>0</v>
      </c>
      <c r="C63" s="295" t="s">
        <v>246</v>
      </c>
      <c r="D63" s="280"/>
      <c r="E63" s="78" cm="1">
        <f t="array" ref="E63">_xlfn.XLOOKUP(D$2,$D$112:$BF$112,$D171:BF171,0,0)</f>
        <v>0</v>
      </c>
      <c r="F63" s="280"/>
      <c r="G63" s="78">
        <f t="shared" si="47"/>
        <v>0</v>
      </c>
      <c r="H63" s="280"/>
      <c r="I63" s="78">
        <f t="shared" si="48"/>
        <v>0</v>
      </c>
      <c r="J63" s="280">
        <v>0</v>
      </c>
      <c r="K63" s="78">
        <f t="shared" si="49"/>
        <v>0</v>
      </c>
      <c r="L63" s="280"/>
      <c r="M63" s="78">
        <f t="shared" si="49"/>
        <v>0</v>
      </c>
      <c r="N63" s="280"/>
      <c r="O63" s="78">
        <f t="shared" si="50"/>
        <v>0</v>
      </c>
      <c r="P63" s="280"/>
      <c r="Q63" s="78">
        <f t="shared" si="51"/>
        <v>0</v>
      </c>
      <c r="R63" s="280"/>
      <c r="S63" s="78">
        <f t="shared" si="52"/>
        <v>0</v>
      </c>
      <c r="T63" s="280"/>
      <c r="U63" s="78">
        <f t="shared" si="53"/>
        <v>0</v>
      </c>
      <c r="V63" s="280"/>
      <c r="W63" s="78">
        <f t="shared" si="54"/>
        <v>0</v>
      </c>
      <c r="X63" s="280"/>
      <c r="Y63" s="78"/>
      <c r="Z63" s="280"/>
      <c r="AA63" s="78"/>
      <c r="AB63" s="280"/>
      <c r="AC63" s="78"/>
      <c r="AD63" s="280"/>
      <c r="AE63" s="78"/>
      <c r="AF63" s="280"/>
      <c r="AG63" s="78"/>
      <c r="AH63" s="280"/>
      <c r="AI63" s="78"/>
      <c r="AJ63" s="280"/>
      <c r="AK63" s="78"/>
      <c r="AL63" s="280"/>
      <c r="AM63" s="78"/>
      <c r="AN63" s="280"/>
      <c r="AO63" s="78"/>
      <c r="AP63" s="280"/>
      <c r="AQ63" s="78"/>
      <c r="AR63" s="280"/>
      <c r="AS63" s="78"/>
      <c r="AT63" s="280"/>
      <c r="AU63" s="78"/>
      <c r="AV63" s="280"/>
      <c r="AW63" s="78"/>
      <c r="AX63" s="280"/>
      <c r="AY63" s="78"/>
      <c r="AZ63" s="280"/>
      <c r="BA63" s="78"/>
      <c r="BB63" s="280"/>
      <c r="BC63" s="78"/>
      <c r="BD63" s="280"/>
      <c r="BE63" s="78"/>
      <c r="BF63" s="280"/>
      <c r="BG63" s="78"/>
      <c r="BH63" s="280"/>
      <c r="BI63" s="78"/>
      <c r="BJ63" s="280"/>
      <c r="BK63" s="78"/>
      <c r="BL63" s="280"/>
      <c r="BM63" s="78"/>
      <c r="BN63" s="280"/>
      <c r="BO63" s="78"/>
      <c r="BP63" s="280"/>
      <c r="BQ63" s="78"/>
      <c r="BR63" s="280"/>
      <c r="BS63" s="78"/>
      <c r="BT63" s="280"/>
      <c r="BU63" s="78"/>
      <c r="BV63" s="280"/>
      <c r="BW63" s="78"/>
      <c r="BX63" s="280"/>
      <c r="BY63" s="78"/>
      <c r="BZ63" s="280"/>
      <c r="CA63" s="78"/>
      <c r="CB63" s="280"/>
      <c r="CC63" s="78"/>
      <c r="CD63" s="280"/>
      <c r="CE63" s="78"/>
      <c r="CF63" s="280"/>
      <c r="CG63" s="78"/>
      <c r="CH63" s="280"/>
      <c r="CI63" s="78"/>
      <c r="CJ63" s="280"/>
      <c r="CK63" s="78"/>
      <c r="CL63" s="280"/>
      <c r="CM63" s="78"/>
      <c r="CN63" s="280"/>
      <c r="CO63" s="78"/>
      <c r="CP63" s="77"/>
      <c r="CQ63" s="78"/>
      <c r="CR63" s="77"/>
      <c r="CS63" s="78"/>
      <c r="CT63" s="77"/>
      <c r="CU63" s="78"/>
      <c r="CV63" s="77"/>
      <c r="CW63" s="78"/>
      <c r="CX63" s="77"/>
      <c r="CY63" s="78"/>
      <c r="CZ63" s="77"/>
      <c r="DA63" s="78"/>
      <c r="DB63" s="77"/>
      <c r="DC63" s="78"/>
      <c r="DD63" s="77"/>
      <c r="DE63" s="78"/>
      <c r="DF63" s="77"/>
      <c r="DG63" s="78"/>
      <c r="DH63" s="77"/>
      <c r="DI63" s="78"/>
      <c r="DJ63" s="77"/>
      <c r="DK63" s="78"/>
      <c r="DL63" s="77"/>
      <c r="DM63" s="78"/>
      <c r="DN63" s="77"/>
      <c r="DO63" s="78"/>
      <c r="DP63" s="77"/>
      <c r="DQ63" s="78"/>
      <c r="DR63" s="77"/>
      <c r="DS63" s="78"/>
      <c r="DT63" s="77"/>
      <c r="DU63" s="78"/>
      <c r="DV63" s="77"/>
      <c r="DW63" s="78"/>
      <c r="DX63" s="77"/>
      <c r="DY63" s="78"/>
      <c r="DZ63" s="77"/>
      <c r="EA63" s="78"/>
      <c r="EB63" s="77"/>
      <c r="EC63" s="78"/>
      <c r="ED63" s="77"/>
      <c r="EE63" s="78"/>
      <c r="EF63" s="77"/>
      <c r="EG63" s="78"/>
      <c r="EH63" s="77"/>
      <c r="EI63" s="78"/>
      <c r="EJ63" s="77"/>
      <c r="EK63" s="78"/>
      <c r="EL63" s="77"/>
      <c r="EM63" s="78"/>
      <c r="EN63" s="77"/>
      <c r="EO63" s="78"/>
      <c r="EP63" s="77"/>
      <c r="EQ63" s="78"/>
      <c r="ER63" s="77"/>
      <c r="ES63" s="78"/>
      <c r="ET63" s="77"/>
      <c r="EU63" s="78"/>
      <c r="EV63" s="77"/>
      <c r="EW63" s="78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/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  <c r="IV63"/>
      <c r="IW63"/>
      <c r="IX63"/>
      <c r="IY63"/>
      <c r="IZ63"/>
      <c r="JA63"/>
      <c r="JB63"/>
      <c r="JC63"/>
      <c r="JD63"/>
      <c r="JE63"/>
      <c r="JF63"/>
      <c r="JG63"/>
      <c r="JH63"/>
      <c r="JI63"/>
      <c r="JJ63"/>
      <c r="JK63"/>
      <c r="JL63"/>
      <c r="JM63"/>
      <c r="JN63"/>
      <c r="JO63"/>
      <c r="JP63"/>
      <c r="JQ63"/>
      <c r="JR63"/>
      <c r="JS63"/>
      <c r="JT63"/>
      <c r="JU63"/>
      <c r="JV63"/>
      <c r="JW63"/>
      <c r="JX63"/>
      <c r="JY63"/>
      <c r="JZ63"/>
      <c r="KA63"/>
      <c r="KB63"/>
      <c r="KC63"/>
      <c r="KD63"/>
      <c r="KE63"/>
      <c r="KF63"/>
      <c r="KG63"/>
      <c r="KH63"/>
      <c r="KI63"/>
      <c r="KJ63"/>
      <c r="KK63"/>
      <c r="KL63"/>
      <c r="KM63"/>
      <c r="KN63"/>
      <c r="KO63"/>
      <c r="KP63"/>
      <c r="KQ63"/>
      <c r="KR63"/>
      <c r="KS63"/>
      <c r="KT63"/>
      <c r="KU63"/>
      <c r="KV63"/>
      <c r="KW63"/>
      <c r="KX63"/>
      <c r="KY63"/>
      <c r="KZ63"/>
      <c r="LA63"/>
      <c r="LB63"/>
      <c r="LC63"/>
      <c r="LD63"/>
      <c r="LE63"/>
      <c r="LF63"/>
      <c r="LG63"/>
      <c r="LH63"/>
      <c r="LI63"/>
      <c r="LJ63"/>
      <c r="LK63"/>
      <c r="LL63"/>
      <c r="LM63"/>
      <c r="LN63"/>
      <c r="LO63"/>
      <c r="LP63"/>
      <c r="LQ63"/>
      <c r="LR63"/>
      <c r="LS63"/>
      <c r="LT63"/>
      <c r="LU63"/>
      <c r="LV63"/>
      <c r="LW63"/>
      <c r="LX63"/>
      <c r="LY63"/>
      <c r="LZ63"/>
      <c r="MA63"/>
      <c r="MB63"/>
      <c r="MC63"/>
      <c r="MD63"/>
      <c r="ME63"/>
      <c r="MF63"/>
      <c r="MG63"/>
      <c r="MH63"/>
      <c r="MI63"/>
      <c r="MJ63"/>
      <c r="MK63"/>
      <c r="ML63"/>
    </row>
    <row r="64" spans="1:350" s="233" customFormat="1" ht="15" customHeight="1" x14ac:dyDescent="0.3">
      <c r="A64" s="77">
        <f>_xlfn.XLOOKUP(DADOS!$B$3,DADOS!$D$2:$DI$2,DADOS!$D64:$DI64,"",0)</f>
        <v>0</v>
      </c>
      <c r="B64" s="78">
        <f>_xlfn.XLOOKUP(DADOS!$B$3,DADOS!$E$112:$AS$112,DADOS!$E172:$AS172,"",0)</f>
        <v>0</v>
      </c>
      <c r="C64" s="295" t="s">
        <v>247</v>
      </c>
      <c r="D64" s="280"/>
      <c r="E64" s="78" cm="1">
        <f t="array" ref="E64">_xlfn.XLOOKUP(D$2,$D$112:$BF$112,$D172:BF172,0,0)</f>
        <v>0</v>
      </c>
      <c r="F64" s="280"/>
      <c r="G64" s="78">
        <f t="shared" si="47"/>
        <v>0</v>
      </c>
      <c r="H64" s="280"/>
      <c r="I64" s="78">
        <f t="shared" si="48"/>
        <v>0</v>
      </c>
      <c r="J64" s="280">
        <v>0</v>
      </c>
      <c r="K64" s="78">
        <f t="shared" si="49"/>
        <v>0</v>
      </c>
      <c r="L64" s="280"/>
      <c r="M64" s="78">
        <f t="shared" si="49"/>
        <v>0</v>
      </c>
      <c r="N64" s="280"/>
      <c r="O64" s="78">
        <f t="shared" si="50"/>
        <v>0</v>
      </c>
      <c r="P64" s="280"/>
      <c r="Q64" s="78">
        <f t="shared" si="51"/>
        <v>0</v>
      </c>
      <c r="R64" s="280"/>
      <c r="S64" s="78">
        <f t="shared" si="52"/>
        <v>0</v>
      </c>
      <c r="T64" s="280"/>
      <c r="U64" s="78">
        <f t="shared" si="53"/>
        <v>0</v>
      </c>
      <c r="V64" s="280"/>
      <c r="W64" s="78">
        <f t="shared" si="54"/>
        <v>0</v>
      </c>
      <c r="X64" s="280"/>
      <c r="Y64" s="78"/>
      <c r="Z64" s="280"/>
      <c r="AA64" s="78"/>
      <c r="AB64" s="280"/>
      <c r="AC64" s="78"/>
      <c r="AD64" s="280"/>
      <c r="AE64" s="78"/>
      <c r="AF64" s="280"/>
      <c r="AG64" s="78"/>
      <c r="AH64" s="280"/>
      <c r="AI64" s="78"/>
      <c r="AJ64" s="280"/>
      <c r="AK64" s="78"/>
      <c r="AL64" s="280"/>
      <c r="AM64" s="78"/>
      <c r="AN64" s="280"/>
      <c r="AO64" s="78"/>
      <c r="AP64" s="280"/>
      <c r="AQ64" s="78"/>
      <c r="AR64" s="280"/>
      <c r="AS64" s="78"/>
      <c r="AT64" s="280"/>
      <c r="AU64" s="78"/>
      <c r="AV64" s="280"/>
      <c r="AW64" s="78"/>
      <c r="AX64" s="280"/>
      <c r="AY64" s="78"/>
      <c r="AZ64" s="280"/>
      <c r="BA64" s="78"/>
      <c r="BB64" s="280"/>
      <c r="BC64" s="78"/>
      <c r="BD64" s="280"/>
      <c r="BE64" s="78"/>
      <c r="BF64" s="280"/>
      <c r="BG64" s="78"/>
      <c r="BH64" s="280"/>
      <c r="BI64" s="78"/>
      <c r="BJ64" s="280"/>
      <c r="BK64" s="78"/>
      <c r="BL64" s="280"/>
      <c r="BM64" s="78"/>
      <c r="BN64" s="280"/>
      <c r="BO64" s="78"/>
      <c r="BP64" s="280"/>
      <c r="BQ64" s="78"/>
      <c r="BR64" s="280"/>
      <c r="BS64" s="78"/>
      <c r="BT64" s="280"/>
      <c r="BU64" s="78"/>
      <c r="BV64" s="280"/>
      <c r="BW64" s="78"/>
      <c r="BX64" s="280"/>
      <c r="BY64" s="78"/>
      <c r="BZ64" s="280"/>
      <c r="CA64" s="78"/>
      <c r="CB64" s="280"/>
      <c r="CC64" s="78"/>
      <c r="CD64" s="280"/>
      <c r="CE64" s="78"/>
      <c r="CF64" s="280"/>
      <c r="CG64" s="78"/>
      <c r="CH64" s="280"/>
      <c r="CI64" s="78"/>
      <c r="CJ64" s="280"/>
      <c r="CK64" s="78"/>
      <c r="CL64" s="280"/>
      <c r="CM64" s="78"/>
      <c r="CN64" s="280"/>
      <c r="CO64" s="78"/>
      <c r="CP64" s="77"/>
      <c r="CQ64" s="78"/>
      <c r="CR64" s="77"/>
      <c r="CS64" s="78"/>
      <c r="CT64" s="77"/>
      <c r="CU64" s="78"/>
      <c r="CV64" s="77"/>
      <c r="CW64" s="78"/>
      <c r="CX64" s="77"/>
      <c r="CY64" s="78"/>
      <c r="CZ64" s="77"/>
      <c r="DA64" s="78"/>
      <c r="DB64" s="77"/>
      <c r="DC64" s="78"/>
      <c r="DD64" s="77"/>
      <c r="DE64" s="78"/>
      <c r="DF64" s="77"/>
      <c r="DG64" s="78"/>
      <c r="DH64" s="77"/>
      <c r="DI64" s="78"/>
      <c r="DJ64" s="77"/>
      <c r="DK64" s="78"/>
      <c r="DL64" s="77"/>
      <c r="DM64" s="78"/>
      <c r="DN64" s="77"/>
      <c r="DO64" s="78"/>
      <c r="DP64" s="77"/>
      <c r="DQ64" s="78"/>
      <c r="DR64" s="77"/>
      <c r="DS64" s="78"/>
      <c r="DT64" s="77"/>
      <c r="DU64" s="78"/>
      <c r="DV64" s="77"/>
      <c r="DW64" s="78"/>
      <c r="DX64" s="77"/>
      <c r="DY64" s="78"/>
      <c r="DZ64" s="77"/>
      <c r="EA64" s="78"/>
      <c r="EB64" s="77"/>
      <c r="EC64" s="78"/>
      <c r="ED64" s="77"/>
      <c r="EE64" s="78"/>
      <c r="EF64" s="77"/>
      <c r="EG64" s="78"/>
      <c r="EH64" s="77"/>
      <c r="EI64" s="78"/>
      <c r="EJ64" s="77"/>
      <c r="EK64" s="78"/>
      <c r="EL64" s="77"/>
      <c r="EM64" s="78"/>
      <c r="EN64" s="77"/>
      <c r="EO64" s="78"/>
      <c r="EP64" s="77"/>
      <c r="EQ64" s="78"/>
      <c r="ER64" s="77"/>
      <c r="ES64" s="78"/>
      <c r="ET64" s="77"/>
      <c r="EU64" s="78"/>
      <c r="EV64" s="77"/>
      <c r="EW64" s="78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  <c r="GL64"/>
      <c r="GM64"/>
      <c r="GN64"/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  <c r="HC64"/>
      <c r="HD64"/>
      <c r="HE64"/>
      <c r="HF64"/>
      <c r="HG64"/>
      <c r="HH64"/>
      <c r="HI64"/>
      <c r="HJ64"/>
      <c r="HK64"/>
      <c r="HL64"/>
      <c r="HM64"/>
      <c r="HN64"/>
      <c r="HO64"/>
      <c r="HP64"/>
      <c r="HQ64"/>
      <c r="HR64"/>
      <c r="HS64"/>
      <c r="HT64"/>
      <c r="HU64"/>
      <c r="HV64"/>
      <c r="HW64"/>
      <c r="HX64"/>
      <c r="HY64"/>
      <c r="HZ64"/>
      <c r="IA64"/>
      <c r="IB64"/>
      <c r="IC64"/>
      <c r="ID64"/>
      <c r="IE64"/>
      <c r="IF64"/>
      <c r="IG64"/>
      <c r="IH64"/>
      <c r="II64"/>
      <c r="IJ64"/>
      <c r="IK64"/>
      <c r="IL64"/>
      <c r="IM64"/>
      <c r="IN64"/>
      <c r="IO64"/>
      <c r="IP64"/>
      <c r="IQ64"/>
      <c r="IR64"/>
      <c r="IS64"/>
      <c r="IT64"/>
      <c r="IU64"/>
      <c r="IV64"/>
      <c r="IW64"/>
      <c r="IX64"/>
      <c r="IY64"/>
      <c r="IZ64"/>
      <c r="JA64"/>
      <c r="JB64"/>
      <c r="JC64"/>
      <c r="JD64"/>
      <c r="JE64"/>
      <c r="JF64"/>
      <c r="JG64"/>
      <c r="JH64"/>
      <c r="JI64"/>
      <c r="JJ64"/>
      <c r="JK64"/>
      <c r="JL64"/>
      <c r="JM64"/>
      <c r="JN64"/>
      <c r="JO64"/>
      <c r="JP64"/>
      <c r="JQ64"/>
      <c r="JR64"/>
      <c r="JS64"/>
      <c r="JT64"/>
      <c r="JU64"/>
      <c r="JV64"/>
      <c r="JW64"/>
      <c r="JX64"/>
      <c r="JY64"/>
      <c r="JZ64"/>
      <c r="KA64"/>
      <c r="KB64"/>
      <c r="KC64"/>
      <c r="KD64"/>
      <c r="KE64"/>
      <c r="KF64"/>
      <c r="KG64"/>
      <c r="KH64"/>
      <c r="KI64"/>
      <c r="KJ64"/>
      <c r="KK64"/>
      <c r="KL64"/>
      <c r="KM64"/>
      <c r="KN64"/>
      <c r="KO64"/>
      <c r="KP64"/>
      <c r="KQ64"/>
      <c r="KR64"/>
      <c r="KS64"/>
      <c r="KT64"/>
      <c r="KU64"/>
      <c r="KV64"/>
      <c r="KW64"/>
      <c r="KX64"/>
      <c r="KY64"/>
      <c r="KZ64"/>
      <c r="LA64"/>
      <c r="LB64"/>
      <c r="LC64"/>
      <c r="LD64"/>
      <c r="LE64"/>
      <c r="LF64"/>
      <c r="LG64"/>
      <c r="LH64"/>
      <c r="LI64"/>
      <c r="LJ64"/>
      <c r="LK64"/>
      <c r="LL64"/>
      <c r="LM64"/>
      <c r="LN64"/>
      <c r="LO64"/>
      <c r="LP64"/>
      <c r="LQ64"/>
      <c r="LR64"/>
      <c r="LS64"/>
      <c r="LT64"/>
      <c r="LU64"/>
      <c r="LV64"/>
      <c r="LW64"/>
      <c r="LX64"/>
      <c r="LY64"/>
      <c r="LZ64"/>
      <c r="MA64"/>
      <c r="MB64"/>
      <c r="MC64"/>
      <c r="MD64"/>
      <c r="ME64"/>
      <c r="MF64"/>
      <c r="MG64"/>
      <c r="MH64"/>
      <c r="MI64"/>
      <c r="MJ64"/>
      <c r="MK64"/>
      <c r="ML64"/>
    </row>
    <row r="65" spans="1:350" s="233" customFormat="1" ht="15" customHeight="1" x14ac:dyDescent="0.3">
      <c r="A65" s="77">
        <f>_xlfn.XLOOKUP(DADOS!$B$3,DADOS!$D$2:$DI$2,DADOS!$D65:$DI65,"",0)</f>
        <v>0</v>
      </c>
      <c r="B65" s="78">
        <f>_xlfn.XLOOKUP(DADOS!$B$3,DADOS!$E$112:$AS$112,DADOS!$E173:$AS173,"",0)</f>
        <v>0</v>
      </c>
      <c r="C65" s="295" t="s">
        <v>248</v>
      </c>
      <c r="D65" s="280"/>
      <c r="E65" s="78" cm="1">
        <f t="array" ref="E65">_xlfn.XLOOKUP(D$2,$D$112:$BF$112,$D173:BF173,0,0)</f>
        <v>0</v>
      </c>
      <c r="F65" s="280"/>
      <c r="G65" s="78">
        <f t="shared" si="47"/>
        <v>0</v>
      </c>
      <c r="H65" s="280"/>
      <c r="I65" s="78">
        <f t="shared" si="48"/>
        <v>0</v>
      </c>
      <c r="J65" s="280">
        <v>0</v>
      </c>
      <c r="K65" s="78">
        <f t="shared" si="49"/>
        <v>0</v>
      </c>
      <c r="L65" s="280"/>
      <c r="M65" s="78">
        <f t="shared" si="49"/>
        <v>0</v>
      </c>
      <c r="N65" s="280"/>
      <c r="O65" s="78">
        <f t="shared" si="50"/>
        <v>0</v>
      </c>
      <c r="P65" s="280"/>
      <c r="Q65" s="78">
        <f t="shared" si="51"/>
        <v>0</v>
      </c>
      <c r="R65" s="280"/>
      <c r="S65" s="78">
        <f t="shared" si="52"/>
        <v>0</v>
      </c>
      <c r="T65" s="280"/>
      <c r="U65" s="78">
        <f t="shared" si="53"/>
        <v>0</v>
      </c>
      <c r="V65" s="280"/>
      <c r="W65" s="78">
        <f t="shared" si="54"/>
        <v>0</v>
      </c>
      <c r="X65" s="280"/>
      <c r="Y65" s="78"/>
      <c r="Z65" s="280"/>
      <c r="AA65" s="78"/>
      <c r="AB65" s="280"/>
      <c r="AC65" s="78"/>
      <c r="AD65" s="280"/>
      <c r="AE65" s="78"/>
      <c r="AF65" s="280"/>
      <c r="AG65" s="78"/>
      <c r="AH65" s="280"/>
      <c r="AI65" s="78"/>
      <c r="AJ65" s="280"/>
      <c r="AK65" s="78"/>
      <c r="AL65" s="280"/>
      <c r="AM65" s="78"/>
      <c r="AN65" s="280"/>
      <c r="AO65" s="78"/>
      <c r="AP65" s="280"/>
      <c r="AQ65" s="78"/>
      <c r="AR65" s="280"/>
      <c r="AS65" s="78"/>
      <c r="AT65" s="280"/>
      <c r="AU65" s="78"/>
      <c r="AV65" s="280"/>
      <c r="AW65" s="78"/>
      <c r="AX65" s="280"/>
      <c r="AY65" s="78"/>
      <c r="AZ65" s="280"/>
      <c r="BA65" s="78"/>
      <c r="BB65" s="280"/>
      <c r="BC65" s="78"/>
      <c r="BD65" s="280"/>
      <c r="BE65" s="78"/>
      <c r="BF65" s="280"/>
      <c r="BG65" s="78"/>
      <c r="BH65" s="280"/>
      <c r="BI65" s="78"/>
      <c r="BJ65" s="280"/>
      <c r="BK65" s="78"/>
      <c r="BL65" s="280"/>
      <c r="BM65" s="78"/>
      <c r="BN65" s="280"/>
      <c r="BO65" s="78"/>
      <c r="BP65" s="280"/>
      <c r="BQ65" s="78"/>
      <c r="BR65" s="280"/>
      <c r="BS65" s="78"/>
      <c r="BT65" s="280"/>
      <c r="BU65" s="78"/>
      <c r="BV65" s="280"/>
      <c r="BW65" s="78"/>
      <c r="BX65" s="280"/>
      <c r="BY65" s="78"/>
      <c r="BZ65" s="280"/>
      <c r="CA65" s="78"/>
      <c r="CB65" s="280"/>
      <c r="CC65" s="78"/>
      <c r="CD65" s="280"/>
      <c r="CE65" s="78"/>
      <c r="CF65" s="280"/>
      <c r="CG65" s="78"/>
      <c r="CH65" s="280"/>
      <c r="CI65" s="78"/>
      <c r="CJ65" s="280"/>
      <c r="CK65" s="78"/>
      <c r="CL65" s="280"/>
      <c r="CM65" s="78"/>
      <c r="CN65" s="280"/>
      <c r="CO65" s="78"/>
      <c r="CP65" s="77"/>
      <c r="CQ65" s="78"/>
      <c r="CR65" s="77"/>
      <c r="CS65" s="78"/>
      <c r="CT65" s="77"/>
      <c r="CU65" s="78"/>
      <c r="CV65" s="77"/>
      <c r="CW65" s="78"/>
      <c r="CX65" s="77"/>
      <c r="CY65" s="78"/>
      <c r="CZ65" s="77"/>
      <c r="DA65" s="78"/>
      <c r="DB65" s="77"/>
      <c r="DC65" s="78"/>
      <c r="DD65" s="77"/>
      <c r="DE65" s="78"/>
      <c r="DF65" s="77"/>
      <c r="DG65" s="78"/>
      <c r="DH65" s="77"/>
      <c r="DI65" s="78"/>
      <c r="DJ65" s="77"/>
      <c r="DK65" s="78"/>
      <c r="DL65" s="77"/>
      <c r="DM65" s="78"/>
      <c r="DN65" s="77"/>
      <c r="DO65" s="78"/>
      <c r="DP65" s="77"/>
      <c r="DQ65" s="78"/>
      <c r="DR65" s="77"/>
      <c r="DS65" s="78"/>
      <c r="DT65" s="77"/>
      <c r="DU65" s="78"/>
      <c r="DV65" s="77"/>
      <c r="DW65" s="78"/>
      <c r="DX65" s="77"/>
      <c r="DY65" s="78"/>
      <c r="DZ65" s="77"/>
      <c r="EA65" s="78"/>
      <c r="EB65" s="77"/>
      <c r="EC65" s="78"/>
      <c r="ED65" s="77"/>
      <c r="EE65" s="78"/>
      <c r="EF65" s="77"/>
      <c r="EG65" s="78"/>
      <c r="EH65" s="77"/>
      <c r="EI65" s="78"/>
      <c r="EJ65" s="77"/>
      <c r="EK65" s="78"/>
      <c r="EL65" s="77"/>
      <c r="EM65" s="78"/>
      <c r="EN65" s="77"/>
      <c r="EO65" s="78"/>
      <c r="EP65" s="77"/>
      <c r="EQ65" s="78"/>
      <c r="ER65" s="77"/>
      <c r="ES65" s="78"/>
      <c r="ET65" s="77"/>
      <c r="EU65" s="78"/>
      <c r="EV65" s="77"/>
      <c r="EW65" s="78"/>
      <c r="EX65"/>
      <c r="EY65"/>
      <c r="EZ65"/>
      <c r="FA65"/>
      <c r="FB65"/>
      <c r="FC65"/>
      <c r="FD65"/>
      <c r="FE65"/>
      <c r="FF65"/>
      <c r="FG65"/>
      <c r="FH65"/>
      <c r="FI65"/>
      <c r="FJ65"/>
      <c r="FK65"/>
      <c r="FL65"/>
      <c r="FM65"/>
      <c r="FN65"/>
      <c r="FO65"/>
      <c r="FP65"/>
      <c r="FQ65"/>
      <c r="FR65"/>
      <c r="FS65"/>
      <c r="FT65"/>
      <c r="FU65"/>
      <c r="FV65"/>
      <c r="FW65"/>
      <c r="FX65"/>
      <c r="FY65"/>
      <c r="FZ65"/>
      <c r="GA65"/>
      <c r="GB65"/>
      <c r="GC65"/>
      <c r="GD65"/>
      <c r="GE65"/>
      <c r="GF65"/>
      <c r="GG65"/>
      <c r="GH65"/>
      <c r="GI65"/>
      <c r="GJ65"/>
      <c r="GK65"/>
      <c r="GL65"/>
      <c r="GM65"/>
      <c r="GN65"/>
      <c r="GO65"/>
      <c r="GP65"/>
      <c r="GQ65"/>
      <c r="GR65"/>
      <c r="GS65"/>
      <c r="GT65"/>
      <c r="GU65"/>
      <c r="GV65"/>
      <c r="GW65"/>
      <c r="GX65"/>
      <c r="GY65"/>
      <c r="GZ65"/>
      <c r="HA65"/>
      <c r="HB65"/>
      <c r="HC65"/>
      <c r="HD65"/>
      <c r="HE65"/>
      <c r="HF65"/>
      <c r="HG65"/>
      <c r="HH65"/>
      <c r="HI65"/>
      <c r="HJ65"/>
      <c r="HK65"/>
      <c r="HL65"/>
      <c r="HM65"/>
      <c r="HN65"/>
      <c r="HO65"/>
      <c r="HP65"/>
      <c r="HQ65"/>
      <c r="HR65"/>
      <c r="HS65"/>
      <c r="HT65"/>
      <c r="HU65"/>
      <c r="HV65"/>
      <c r="HW65"/>
      <c r="HX65"/>
      <c r="HY65"/>
      <c r="HZ65"/>
      <c r="IA65"/>
      <c r="IB65"/>
      <c r="IC65"/>
      <c r="ID65"/>
      <c r="IE65"/>
      <c r="IF65"/>
      <c r="IG65"/>
      <c r="IH65"/>
      <c r="II65"/>
      <c r="IJ65"/>
      <c r="IK65"/>
      <c r="IL65"/>
      <c r="IM65"/>
      <c r="IN65"/>
      <c r="IO65"/>
      <c r="IP65"/>
      <c r="IQ65"/>
      <c r="IR65"/>
      <c r="IS65"/>
      <c r="IT65"/>
      <c r="IU65"/>
      <c r="IV65"/>
      <c r="IW65"/>
      <c r="IX65"/>
      <c r="IY65"/>
      <c r="IZ65"/>
      <c r="JA65"/>
      <c r="JB65"/>
      <c r="JC65"/>
      <c r="JD65"/>
      <c r="JE65"/>
      <c r="JF65"/>
      <c r="JG65"/>
      <c r="JH65"/>
      <c r="JI65"/>
      <c r="JJ65"/>
      <c r="JK65"/>
      <c r="JL65"/>
      <c r="JM65"/>
      <c r="JN65"/>
      <c r="JO65"/>
      <c r="JP65"/>
      <c r="JQ65"/>
      <c r="JR65"/>
      <c r="JS65"/>
      <c r="JT65"/>
      <c r="JU65"/>
      <c r="JV65"/>
      <c r="JW65"/>
      <c r="JX65"/>
      <c r="JY65"/>
      <c r="JZ65"/>
      <c r="KA65"/>
      <c r="KB65"/>
      <c r="KC65"/>
      <c r="KD65"/>
      <c r="KE65"/>
      <c r="KF65"/>
      <c r="KG65"/>
      <c r="KH65"/>
      <c r="KI65"/>
      <c r="KJ65"/>
      <c r="KK65"/>
      <c r="KL65"/>
      <c r="KM65"/>
      <c r="KN65"/>
      <c r="KO65"/>
      <c r="KP65"/>
      <c r="KQ65"/>
      <c r="KR65"/>
      <c r="KS65"/>
      <c r="KT65"/>
      <c r="KU65"/>
      <c r="KV65"/>
      <c r="KW65"/>
      <c r="KX65"/>
      <c r="KY65"/>
      <c r="KZ65"/>
      <c r="LA65"/>
      <c r="LB65"/>
      <c r="LC65"/>
      <c r="LD65"/>
      <c r="LE65"/>
      <c r="LF65"/>
      <c r="LG65"/>
      <c r="LH65"/>
      <c r="LI65"/>
      <c r="LJ65"/>
      <c r="LK65"/>
      <c r="LL65"/>
      <c r="LM65"/>
      <c r="LN65"/>
      <c r="LO65"/>
      <c r="LP65"/>
      <c r="LQ65"/>
      <c r="LR65"/>
      <c r="LS65"/>
      <c r="LT65"/>
      <c r="LU65"/>
      <c r="LV65"/>
      <c r="LW65"/>
      <c r="LX65"/>
      <c r="LY65"/>
      <c r="LZ65"/>
      <c r="MA65"/>
      <c r="MB65"/>
      <c r="MC65"/>
      <c r="MD65"/>
      <c r="ME65"/>
      <c r="MF65"/>
      <c r="MG65"/>
      <c r="MH65"/>
      <c r="MI65"/>
      <c r="MJ65"/>
      <c r="MK65"/>
      <c r="ML65"/>
    </row>
    <row r="66" spans="1:350" s="233" customFormat="1" ht="15" customHeight="1" x14ac:dyDescent="0.3">
      <c r="A66" s="77">
        <f>_xlfn.XLOOKUP(DADOS!$B$3,DADOS!$D$2:$DI$2,DADOS!$D66:$DI66,"",0)</f>
        <v>0</v>
      </c>
      <c r="B66" s="78">
        <f>_xlfn.XLOOKUP(DADOS!$B$3,DADOS!$E$112:$AS$112,DADOS!$E174:$AS174,"",0)</f>
        <v>0</v>
      </c>
      <c r="C66" s="295" t="s">
        <v>249</v>
      </c>
      <c r="D66" s="280"/>
      <c r="E66" s="78" cm="1">
        <f t="array" ref="E66">_xlfn.XLOOKUP(D$2,$D$112:$BF$112,$D174:BF174,0,0)</f>
        <v>0</v>
      </c>
      <c r="F66" s="280"/>
      <c r="G66" s="78">
        <f t="shared" si="47"/>
        <v>0</v>
      </c>
      <c r="H66" s="280"/>
      <c r="I66" s="78">
        <f t="shared" si="48"/>
        <v>0</v>
      </c>
      <c r="J66" s="280">
        <v>0</v>
      </c>
      <c r="K66" s="78">
        <f t="shared" si="49"/>
        <v>0</v>
      </c>
      <c r="L66" s="280"/>
      <c r="M66" s="78">
        <f t="shared" si="49"/>
        <v>0</v>
      </c>
      <c r="N66" s="280"/>
      <c r="O66" s="78">
        <f t="shared" si="50"/>
        <v>0</v>
      </c>
      <c r="P66" s="280"/>
      <c r="Q66" s="78">
        <f t="shared" si="51"/>
        <v>0</v>
      </c>
      <c r="R66" s="280"/>
      <c r="S66" s="78">
        <f t="shared" si="52"/>
        <v>0</v>
      </c>
      <c r="T66" s="280"/>
      <c r="U66" s="78">
        <f t="shared" si="53"/>
        <v>0</v>
      </c>
      <c r="V66" s="280"/>
      <c r="W66" s="78">
        <f t="shared" si="54"/>
        <v>0</v>
      </c>
      <c r="X66" s="280"/>
      <c r="Y66" s="78"/>
      <c r="Z66" s="280"/>
      <c r="AA66" s="78"/>
      <c r="AB66" s="280"/>
      <c r="AC66" s="78"/>
      <c r="AD66" s="280"/>
      <c r="AE66" s="78"/>
      <c r="AF66" s="280"/>
      <c r="AG66" s="78"/>
      <c r="AH66" s="280"/>
      <c r="AI66" s="78"/>
      <c r="AJ66" s="280"/>
      <c r="AK66" s="78"/>
      <c r="AL66" s="280"/>
      <c r="AM66" s="78"/>
      <c r="AN66" s="280"/>
      <c r="AO66" s="78"/>
      <c r="AP66" s="280"/>
      <c r="AQ66" s="78"/>
      <c r="AR66" s="280"/>
      <c r="AS66" s="78"/>
      <c r="AT66" s="280"/>
      <c r="AU66" s="78"/>
      <c r="AV66" s="280"/>
      <c r="AW66" s="78"/>
      <c r="AX66" s="280"/>
      <c r="AY66" s="78"/>
      <c r="AZ66" s="280"/>
      <c r="BA66" s="78"/>
      <c r="BB66" s="280"/>
      <c r="BC66" s="78"/>
      <c r="BD66" s="280"/>
      <c r="BE66" s="78"/>
      <c r="BF66" s="280"/>
      <c r="BG66" s="78"/>
      <c r="BH66" s="280"/>
      <c r="BI66" s="78"/>
      <c r="BJ66" s="280"/>
      <c r="BK66" s="78"/>
      <c r="BL66" s="280"/>
      <c r="BM66" s="78"/>
      <c r="BN66" s="280"/>
      <c r="BO66" s="78"/>
      <c r="BP66" s="280"/>
      <c r="BQ66" s="78"/>
      <c r="BR66" s="280"/>
      <c r="BS66" s="78"/>
      <c r="BT66" s="280"/>
      <c r="BU66" s="78"/>
      <c r="BV66" s="280"/>
      <c r="BW66" s="78"/>
      <c r="BX66" s="280"/>
      <c r="BY66" s="78"/>
      <c r="BZ66" s="280"/>
      <c r="CA66" s="78"/>
      <c r="CB66" s="280"/>
      <c r="CC66" s="78"/>
      <c r="CD66" s="280"/>
      <c r="CE66" s="78"/>
      <c r="CF66" s="280"/>
      <c r="CG66" s="78"/>
      <c r="CH66" s="280"/>
      <c r="CI66" s="78"/>
      <c r="CJ66" s="280"/>
      <c r="CK66" s="78"/>
      <c r="CL66" s="280"/>
      <c r="CM66" s="78"/>
      <c r="CN66" s="280"/>
      <c r="CO66" s="78"/>
      <c r="CP66" s="77"/>
      <c r="CQ66" s="78"/>
      <c r="CR66" s="77"/>
      <c r="CS66" s="78"/>
      <c r="CT66" s="77"/>
      <c r="CU66" s="78"/>
      <c r="CV66" s="77"/>
      <c r="CW66" s="78"/>
      <c r="CX66" s="77"/>
      <c r="CY66" s="78"/>
      <c r="CZ66" s="77"/>
      <c r="DA66" s="78"/>
      <c r="DB66" s="77"/>
      <c r="DC66" s="78"/>
      <c r="DD66" s="77"/>
      <c r="DE66" s="78"/>
      <c r="DF66" s="77"/>
      <c r="DG66" s="78"/>
      <c r="DH66" s="77"/>
      <c r="DI66" s="78"/>
      <c r="DJ66" s="77"/>
      <c r="DK66" s="78"/>
      <c r="DL66" s="77"/>
      <c r="DM66" s="78"/>
      <c r="DN66" s="77"/>
      <c r="DO66" s="78"/>
      <c r="DP66" s="77"/>
      <c r="DQ66" s="78"/>
      <c r="DR66" s="77"/>
      <c r="DS66" s="78"/>
      <c r="DT66" s="77"/>
      <c r="DU66" s="78"/>
      <c r="DV66" s="77"/>
      <c r="DW66" s="78"/>
      <c r="DX66" s="77"/>
      <c r="DY66" s="78"/>
      <c r="DZ66" s="77"/>
      <c r="EA66" s="78"/>
      <c r="EB66" s="77"/>
      <c r="EC66" s="78"/>
      <c r="ED66" s="77"/>
      <c r="EE66" s="78"/>
      <c r="EF66" s="77"/>
      <c r="EG66" s="78"/>
      <c r="EH66" s="77"/>
      <c r="EI66" s="78"/>
      <c r="EJ66" s="77"/>
      <c r="EK66" s="78"/>
      <c r="EL66" s="77"/>
      <c r="EM66" s="78"/>
      <c r="EN66" s="77"/>
      <c r="EO66" s="78"/>
      <c r="EP66" s="77"/>
      <c r="EQ66" s="78"/>
      <c r="ER66" s="77"/>
      <c r="ES66" s="78"/>
      <c r="ET66" s="77"/>
      <c r="EU66" s="78"/>
      <c r="EV66" s="77"/>
      <c r="EW66" s="78"/>
      <c r="EX66"/>
      <c r="EY66"/>
      <c r="EZ66"/>
      <c r="FA66"/>
      <c r="FB66"/>
      <c r="FC66"/>
      <c r="FD66"/>
      <c r="FE66"/>
      <c r="FF66"/>
      <c r="FG66"/>
      <c r="FH66"/>
      <c r="FI66"/>
      <c r="FJ66"/>
      <c r="FK66"/>
      <c r="FL66"/>
      <c r="FM66"/>
      <c r="FN66"/>
      <c r="FO66"/>
      <c r="FP66"/>
      <c r="FQ66"/>
      <c r="FR66"/>
      <c r="FS66"/>
      <c r="FT66"/>
      <c r="FU66"/>
      <c r="FV66"/>
      <c r="FW66"/>
      <c r="FX66"/>
      <c r="FY66"/>
      <c r="FZ66"/>
      <c r="GA66"/>
      <c r="GB66"/>
      <c r="GC66"/>
      <c r="GD66"/>
      <c r="GE66"/>
      <c r="GF66"/>
      <c r="GG66"/>
      <c r="GH66"/>
      <c r="GI66"/>
      <c r="GJ66"/>
      <c r="GK66"/>
      <c r="GL66"/>
      <c r="GM66"/>
      <c r="GN66"/>
      <c r="GO66"/>
      <c r="GP66"/>
      <c r="GQ66"/>
      <c r="GR66"/>
      <c r="GS66"/>
      <c r="GT66"/>
      <c r="GU66"/>
      <c r="GV66"/>
      <c r="GW66"/>
      <c r="GX66"/>
      <c r="GY66"/>
      <c r="GZ66"/>
      <c r="HA66"/>
      <c r="HB66"/>
      <c r="HC66"/>
      <c r="HD66"/>
      <c r="HE66"/>
      <c r="HF66"/>
      <c r="HG66"/>
      <c r="HH66"/>
      <c r="HI66"/>
      <c r="HJ66"/>
      <c r="HK66"/>
      <c r="HL66"/>
      <c r="HM66"/>
      <c r="HN66"/>
      <c r="HO66"/>
      <c r="HP66"/>
      <c r="HQ66"/>
      <c r="HR66"/>
      <c r="HS66"/>
      <c r="HT66"/>
      <c r="HU66"/>
      <c r="HV66"/>
      <c r="HW66"/>
      <c r="HX66"/>
      <c r="HY66"/>
      <c r="HZ66"/>
      <c r="IA66"/>
      <c r="IB66"/>
      <c r="IC66"/>
      <c r="ID66"/>
      <c r="IE66"/>
      <c r="IF66"/>
      <c r="IG66"/>
      <c r="IH66"/>
      <c r="II66"/>
      <c r="IJ66"/>
      <c r="IK66"/>
      <c r="IL66"/>
      <c r="IM66"/>
      <c r="IN66"/>
      <c r="IO66"/>
      <c r="IP66"/>
      <c r="IQ66"/>
      <c r="IR66"/>
      <c r="IS66"/>
      <c r="IT66"/>
      <c r="IU66"/>
      <c r="IV66"/>
      <c r="IW66"/>
      <c r="IX66"/>
      <c r="IY66"/>
      <c r="IZ66"/>
      <c r="JA66"/>
      <c r="JB66"/>
      <c r="JC66"/>
      <c r="JD66"/>
      <c r="JE66"/>
      <c r="JF66"/>
      <c r="JG66"/>
      <c r="JH66"/>
      <c r="JI66"/>
      <c r="JJ66"/>
      <c r="JK66"/>
      <c r="JL66"/>
      <c r="JM66"/>
      <c r="JN66"/>
      <c r="JO66"/>
      <c r="JP66"/>
      <c r="JQ66"/>
      <c r="JR66"/>
      <c r="JS66"/>
      <c r="JT66"/>
      <c r="JU66"/>
      <c r="JV66"/>
      <c r="JW66"/>
      <c r="JX66"/>
      <c r="JY66"/>
      <c r="JZ66"/>
      <c r="KA66"/>
      <c r="KB66"/>
      <c r="KC66"/>
      <c r="KD66"/>
      <c r="KE66"/>
      <c r="KF66"/>
      <c r="KG66"/>
      <c r="KH66"/>
      <c r="KI66"/>
      <c r="KJ66"/>
      <c r="KK66"/>
      <c r="KL66"/>
      <c r="KM66"/>
      <c r="KN66"/>
      <c r="KO66"/>
      <c r="KP66"/>
      <c r="KQ66"/>
      <c r="KR66"/>
      <c r="KS66"/>
      <c r="KT66"/>
      <c r="KU66"/>
      <c r="KV66"/>
      <c r="KW66"/>
      <c r="KX66"/>
      <c r="KY66"/>
      <c r="KZ66"/>
      <c r="LA66"/>
      <c r="LB66"/>
      <c r="LC66"/>
      <c r="LD66"/>
      <c r="LE66"/>
      <c r="LF66"/>
      <c r="LG66"/>
      <c r="LH66"/>
      <c r="LI66"/>
      <c r="LJ66"/>
      <c r="LK66"/>
      <c r="LL66"/>
      <c r="LM66"/>
      <c r="LN66"/>
      <c r="LO66"/>
      <c r="LP66"/>
      <c r="LQ66"/>
      <c r="LR66"/>
      <c r="LS66"/>
      <c r="LT66"/>
      <c r="LU66"/>
      <c r="LV66"/>
      <c r="LW66"/>
      <c r="LX66"/>
      <c r="LY66"/>
      <c r="LZ66"/>
      <c r="MA66"/>
      <c r="MB66"/>
      <c r="MC66"/>
      <c r="MD66"/>
      <c r="ME66"/>
      <c r="MF66"/>
      <c r="MG66"/>
      <c r="MH66"/>
      <c r="MI66"/>
      <c r="MJ66"/>
      <c r="MK66"/>
      <c r="ML66"/>
    </row>
    <row r="67" spans="1:350" s="233" customFormat="1" ht="15" customHeight="1" x14ac:dyDescent="0.3">
      <c r="A67" s="77">
        <f>_xlfn.XLOOKUP(DADOS!$B$3,DADOS!$D$2:$DI$2,DADOS!$D67:$DI67,"",0)</f>
        <v>0</v>
      </c>
      <c r="B67" s="78">
        <f>_xlfn.XLOOKUP(DADOS!$B$3,DADOS!$E$112:$AS$112,DADOS!$E175:$AS175,"",0)</f>
        <v>0</v>
      </c>
      <c r="C67" s="295" t="s">
        <v>274</v>
      </c>
      <c r="D67" s="280"/>
      <c r="E67" s="78" cm="1">
        <f t="array" ref="E67">_xlfn.XLOOKUP(D$2,$D$112:$BF$112,$D175:BF175,0,0)</f>
        <v>0</v>
      </c>
      <c r="F67" s="280"/>
      <c r="G67" s="78">
        <f t="shared" si="47"/>
        <v>0</v>
      </c>
      <c r="H67" s="280"/>
      <c r="I67" s="78">
        <f t="shared" si="48"/>
        <v>0</v>
      </c>
      <c r="J67" s="280">
        <v>0</v>
      </c>
      <c r="K67" s="78">
        <f t="shared" si="49"/>
        <v>0</v>
      </c>
      <c r="L67" s="280"/>
      <c r="M67" s="78">
        <f t="shared" si="49"/>
        <v>0</v>
      </c>
      <c r="N67" s="280"/>
      <c r="O67" s="78">
        <f t="shared" si="50"/>
        <v>0</v>
      </c>
      <c r="P67" s="280"/>
      <c r="Q67" s="78">
        <f t="shared" si="51"/>
        <v>0</v>
      </c>
      <c r="R67" s="280"/>
      <c r="S67" s="78">
        <f t="shared" si="52"/>
        <v>0</v>
      </c>
      <c r="T67" s="280"/>
      <c r="U67" s="78">
        <f t="shared" si="53"/>
        <v>0</v>
      </c>
      <c r="V67" s="280"/>
      <c r="W67" s="78">
        <f t="shared" si="54"/>
        <v>0</v>
      </c>
      <c r="X67" s="280"/>
      <c r="Y67" s="78"/>
      <c r="Z67" s="280"/>
      <c r="AA67" s="78"/>
      <c r="AB67" s="280"/>
      <c r="AC67" s="78"/>
      <c r="AD67" s="280"/>
      <c r="AE67" s="78"/>
      <c r="AF67" s="280"/>
      <c r="AG67" s="78"/>
      <c r="AH67" s="280"/>
      <c r="AI67" s="78"/>
      <c r="AJ67" s="280"/>
      <c r="AK67" s="78"/>
      <c r="AL67" s="280"/>
      <c r="AM67" s="78"/>
      <c r="AN67" s="280"/>
      <c r="AO67" s="78"/>
      <c r="AP67" s="280"/>
      <c r="AQ67" s="78"/>
      <c r="AR67" s="280"/>
      <c r="AS67" s="78"/>
      <c r="AT67" s="280"/>
      <c r="AU67" s="78"/>
      <c r="AV67" s="280"/>
      <c r="AW67" s="78"/>
      <c r="AX67" s="280"/>
      <c r="AY67" s="78"/>
      <c r="AZ67" s="280"/>
      <c r="BA67" s="78"/>
      <c r="BB67" s="280"/>
      <c r="BC67" s="78"/>
      <c r="BD67" s="280"/>
      <c r="BE67" s="78"/>
      <c r="BF67" s="280"/>
      <c r="BG67" s="78"/>
      <c r="BH67" s="280"/>
      <c r="BI67" s="78"/>
      <c r="BJ67" s="280"/>
      <c r="BK67" s="78"/>
      <c r="BL67" s="280"/>
      <c r="BM67" s="78"/>
      <c r="BN67" s="280"/>
      <c r="BO67" s="78"/>
      <c r="BP67" s="280"/>
      <c r="BQ67" s="78"/>
      <c r="BR67" s="280"/>
      <c r="BS67" s="78"/>
      <c r="BT67" s="280"/>
      <c r="BU67" s="78"/>
      <c r="BV67" s="280"/>
      <c r="BW67" s="78"/>
      <c r="BX67" s="280"/>
      <c r="BY67" s="78"/>
      <c r="BZ67" s="280"/>
      <c r="CA67" s="78"/>
      <c r="CB67" s="280"/>
      <c r="CC67" s="78"/>
      <c r="CD67" s="280"/>
      <c r="CE67" s="78"/>
      <c r="CF67" s="280"/>
      <c r="CG67" s="78"/>
      <c r="CH67" s="280"/>
      <c r="CI67" s="78"/>
      <c r="CJ67" s="280"/>
      <c r="CK67" s="78"/>
      <c r="CL67" s="280"/>
      <c r="CM67" s="78"/>
      <c r="CN67" s="280"/>
      <c r="CO67" s="78"/>
      <c r="CP67" s="77"/>
      <c r="CQ67" s="78"/>
      <c r="CR67" s="77"/>
      <c r="CS67" s="78"/>
      <c r="CT67" s="77"/>
      <c r="CU67" s="78"/>
      <c r="CV67" s="77"/>
      <c r="CW67" s="78"/>
      <c r="CX67" s="77"/>
      <c r="CY67" s="78"/>
      <c r="CZ67" s="77"/>
      <c r="DA67" s="78"/>
      <c r="DB67" s="77"/>
      <c r="DC67" s="78"/>
      <c r="DD67" s="77"/>
      <c r="DE67" s="78"/>
      <c r="DF67" s="77"/>
      <c r="DG67" s="78"/>
      <c r="DH67" s="77"/>
      <c r="DI67" s="78"/>
      <c r="DJ67" s="77"/>
      <c r="DK67" s="78"/>
      <c r="DL67" s="77"/>
      <c r="DM67" s="78"/>
      <c r="DN67" s="77"/>
      <c r="DO67" s="78"/>
      <c r="DP67" s="77"/>
      <c r="DQ67" s="78"/>
      <c r="DR67" s="77"/>
      <c r="DS67" s="78"/>
      <c r="DT67" s="77"/>
      <c r="DU67" s="78"/>
      <c r="DV67" s="77"/>
      <c r="DW67" s="78"/>
      <c r="DX67" s="77"/>
      <c r="DY67" s="78"/>
      <c r="DZ67" s="77"/>
      <c r="EA67" s="78"/>
      <c r="EB67" s="77"/>
      <c r="EC67" s="78"/>
      <c r="ED67" s="77"/>
      <c r="EE67" s="78"/>
      <c r="EF67" s="77"/>
      <c r="EG67" s="78"/>
      <c r="EH67" s="77"/>
      <c r="EI67" s="78"/>
      <c r="EJ67" s="77"/>
      <c r="EK67" s="78"/>
      <c r="EL67" s="77"/>
      <c r="EM67" s="78"/>
      <c r="EN67" s="77"/>
      <c r="EO67" s="78"/>
      <c r="EP67" s="77"/>
      <c r="EQ67" s="78"/>
      <c r="ER67" s="77"/>
      <c r="ES67" s="78"/>
      <c r="ET67" s="77"/>
      <c r="EU67" s="78"/>
      <c r="EV67" s="77"/>
      <c r="EW67" s="78"/>
      <c r="EX67"/>
      <c r="EY67"/>
      <c r="EZ67"/>
      <c r="FA67"/>
      <c r="FB67"/>
      <c r="FC67"/>
      <c r="FD67"/>
      <c r="FE67"/>
      <c r="FF67"/>
      <c r="FG67"/>
      <c r="FH67"/>
      <c r="FI67"/>
      <c r="FJ67"/>
      <c r="FK67"/>
      <c r="FL67"/>
      <c r="FM67"/>
      <c r="FN67"/>
      <c r="FO67"/>
      <c r="FP67"/>
      <c r="FQ67"/>
      <c r="FR67"/>
      <c r="FS67"/>
      <c r="FT67"/>
      <c r="FU67"/>
      <c r="FV67"/>
      <c r="FW67"/>
      <c r="FX67"/>
      <c r="FY67"/>
      <c r="FZ67"/>
      <c r="GA67"/>
      <c r="GB67"/>
      <c r="GC67"/>
      <c r="GD67"/>
      <c r="GE67"/>
      <c r="GF67"/>
      <c r="GG67"/>
      <c r="GH67"/>
      <c r="GI67"/>
      <c r="GJ67"/>
      <c r="GK67"/>
      <c r="GL67"/>
      <c r="GM67"/>
      <c r="GN67"/>
      <c r="GO67"/>
      <c r="GP67"/>
      <c r="GQ67"/>
      <c r="GR67"/>
      <c r="GS67"/>
      <c r="GT67"/>
      <c r="GU67"/>
      <c r="GV67"/>
      <c r="GW67"/>
      <c r="GX67"/>
      <c r="GY67"/>
      <c r="GZ67"/>
      <c r="HA67"/>
      <c r="HB67"/>
      <c r="HC67"/>
      <c r="HD67"/>
      <c r="HE67"/>
      <c r="HF67"/>
      <c r="HG67"/>
      <c r="HH67"/>
      <c r="HI67"/>
      <c r="HJ67"/>
      <c r="HK67"/>
      <c r="HL67"/>
      <c r="HM67"/>
      <c r="HN67"/>
      <c r="HO67"/>
      <c r="HP67"/>
      <c r="HQ67"/>
      <c r="HR67"/>
      <c r="HS67"/>
      <c r="HT67"/>
      <c r="HU67"/>
      <c r="HV67"/>
      <c r="HW67"/>
      <c r="HX67"/>
      <c r="HY67"/>
      <c r="HZ67"/>
      <c r="IA67"/>
      <c r="IB67"/>
      <c r="IC67"/>
      <c r="ID67"/>
      <c r="IE67"/>
      <c r="IF67"/>
      <c r="IG67"/>
      <c r="IH67"/>
      <c r="II67"/>
      <c r="IJ67"/>
      <c r="IK67"/>
      <c r="IL67"/>
      <c r="IM67"/>
      <c r="IN67"/>
      <c r="IO67"/>
      <c r="IP67"/>
      <c r="IQ67"/>
      <c r="IR67"/>
      <c r="IS67"/>
      <c r="IT67"/>
      <c r="IU67"/>
      <c r="IV67"/>
      <c r="IW67"/>
      <c r="IX67"/>
      <c r="IY67"/>
      <c r="IZ67"/>
      <c r="JA67"/>
      <c r="JB67"/>
      <c r="JC67"/>
      <c r="JD67"/>
      <c r="JE67"/>
      <c r="JF67"/>
      <c r="JG67"/>
      <c r="JH67"/>
      <c r="JI67"/>
      <c r="JJ67"/>
      <c r="JK67"/>
      <c r="JL67"/>
      <c r="JM67"/>
      <c r="JN67"/>
      <c r="JO67"/>
      <c r="JP67"/>
      <c r="JQ67"/>
      <c r="JR67"/>
      <c r="JS67"/>
      <c r="JT67"/>
      <c r="JU67"/>
      <c r="JV67"/>
      <c r="JW67"/>
      <c r="JX67"/>
      <c r="JY67"/>
      <c r="JZ67"/>
      <c r="KA67"/>
      <c r="KB67"/>
      <c r="KC67"/>
      <c r="KD67"/>
      <c r="KE67"/>
      <c r="KF67"/>
      <c r="KG67"/>
      <c r="KH67"/>
      <c r="KI67"/>
      <c r="KJ67"/>
      <c r="KK67"/>
      <c r="KL67"/>
      <c r="KM67"/>
      <c r="KN67"/>
      <c r="KO67"/>
      <c r="KP67"/>
      <c r="KQ67"/>
      <c r="KR67"/>
      <c r="KS67"/>
      <c r="KT67"/>
      <c r="KU67"/>
      <c r="KV67"/>
      <c r="KW67"/>
      <c r="KX67"/>
      <c r="KY67"/>
      <c r="KZ67"/>
      <c r="LA67"/>
      <c r="LB67"/>
      <c r="LC67"/>
      <c r="LD67"/>
      <c r="LE67"/>
      <c r="LF67"/>
      <c r="LG67"/>
      <c r="LH67"/>
      <c r="LI67"/>
      <c r="LJ67"/>
      <c r="LK67"/>
      <c r="LL67"/>
      <c r="LM67"/>
      <c r="LN67"/>
      <c r="LO67"/>
      <c r="LP67"/>
      <c r="LQ67"/>
      <c r="LR67"/>
      <c r="LS67"/>
      <c r="LT67"/>
      <c r="LU67"/>
      <c r="LV67"/>
      <c r="LW67"/>
      <c r="LX67"/>
      <c r="LY67"/>
      <c r="LZ67"/>
      <c r="MA67"/>
      <c r="MB67"/>
      <c r="MC67"/>
      <c r="MD67"/>
      <c r="ME67"/>
      <c r="MF67"/>
      <c r="MG67"/>
      <c r="MH67"/>
      <c r="MI67"/>
      <c r="MJ67"/>
      <c r="MK67"/>
      <c r="ML67"/>
    </row>
    <row r="68" spans="1:350" s="233" customFormat="1" ht="15" customHeight="1" x14ac:dyDescent="0.3">
      <c r="A68" s="77">
        <f>_xlfn.XLOOKUP(DADOS!$B$3,DADOS!$D$2:$DI$2,DADOS!$D68:$DI68,"",0)</f>
        <v>0</v>
      </c>
      <c r="B68" s="78">
        <f>_xlfn.XLOOKUP(DADOS!$B$3,DADOS!$E$112:$AS$112,DADOS!$E176:$AS176,"",0)</f>
        <v>0</v>
      </c>
      <c r="C68" s="287" t="s">
        <v>259</v>
      </c>
      <c r="D68" s="280"/>
      <c r="E68" s="78" cm="1">
        <f t="array" ref="E68">_xlfn.XLOOKUP(D$2,$D$112:$BF$112,$D176:BF176,0,0)</f>
        <v>0</v>
      </c>
      <c r="F68" s="280"/>
      <c r="G68" s="78">
        <f t="shared" si="47"/>
        <v>0</v>
      </c>
      <c r="H68" s="280"/>
      <c r="I68" s="78">
        <f t="shared" si="48"/>
        <v>0</v>
      </c>
      <c r="J68" s="280">
        <v>0</v>
      </c>
      <c r="K68" s="78">
        <f t="shared" si="49"/>
        <v>0</v>
      </c>
      <c r="L68" s="280"/>
      <c r="M68" s="78">
        <f t="shared" si="49"/>
        <v>0</v>
      </c>
      <c r="N68" s="280"/>
      <c r="O68" s="78">
        <f t="shared" si="50"/>
        <v>0</v>
      </c>
      <c r="P68" s="280"/>
      <c r="Q68" s="78">
        <f t="shared" si="51"/>
        <v>0</v>
      </c>
      <c r="R68" s="280"/>
      <c r="S68" s="78">
        <f t="shared" si="52"/>
        <v>0</v>
      </c>
      <c r="T68" s="280"/>
      <c r="U68" s="78">
        <f t="shared" si="53"/>
        <v>0</v>
      </c>
      <c r="V68" s="280"/>
      <c r="W68" s="78">
        <f t="shared" si="54"/>
        <v>0</v>
      </c>
      <c r="X68" s="280"/>
      <c r="Y68" s="78"/>
      <c r="Z68" s="280"/>
      <c r="AA68" s="78"/>
      <c r="AB68" s="280"/>
      <c r="AC68" s="78"/>
      <c r="AD68" s="280"/>
      <c r="AE68" s="78"/>
      <c r="AF68" s="280"/>
      <c r="AG68" s="78"/>
      <c r="AH68" s="280"/>
      <c r="AI68" s="78"/>
      <c r="AJ68" s="280"/>
      <c r="AK68" s="78"/>
      <c r="AL68" s="280"/>
      <c r="AM68" s="78"/>
      <c r="AN68" s="280"/>
      <c r="AO68" s="78"/>
      <c r="AP68" s="280"/>
      <c r="AQ68" s="78"/>
      <c r="AR68" s="280"/>
      <c r="AS68" s="78"/>
      <c r="AT68" s="280"/>
      <c r="AU68" s="78"/>
      <c r="AV68" s="280"/>
      <c r="AW68" s="78"/>
      <c r="AX68" s="280"/>
      <c r="AY68" s="78"/>
      <c r="AZ68" s="280"/>
      <c r="BA68" s="78"/>
      <c r="BB68" s="280"/>
      <c r="BC68" s="78"/>
      <c r="BD68" s="280"/>
      <c r="BE68" s="78"/>
      <c r="BF68" s="280"/>
      <c r="BG68" s="78"/>
      <c r="BH68" s="280"/>
      <c r="BI68" s="78"/>
      <c r="BJ68" s="280"/>
      <c r="BK68" s="78"/>
      <c r="BL68" s="280"/>
      <c r="BM68" s="78"/>
      <c r="BN68" s="280"/>
      <c r="BO68" s="78"/>
      <c r="BP68" s="280"/>
      <c r="BQ68" s="78"/>
      <c r="BR68" s="280"/>
      <c r="BS68" s="78"/>
      <c r="BT68" s="280"/>
      <c r="BU68" s="78"/>
      <c r="BV68" s="280"/>
      <c r="BW68" s="78"/>
      <c r="BX68" s="280"/>
      <c r="BY68" s="78"/>
      <c r="BZ68" s="280"/>
      <c r="CA68" s="78"/>
      <c r="CB68" s="280"/>
      <c r="CC68" s="78"/>
      <c r="CD68" s="280"/>
      <c r="CE68" s="78"/>
      <c r="CF68" s="280"/>
      <c r="CG68" s="78"/>
      <c r="CH68" s="280"/>
      <c r="CI68" s="78"/>
      <c r="CJ68" s="280"/>
      <c r="CK68" s="78"/>
      <c r="CL68" s="280"/>
      <c r="CM68" s="78"/>
      <c r="CN68" s="280"/>
      <c r="CO68" s="78"/>
      <c r="CP68" s="77"/>
      <c r="CQ68" s="78"/>
      <c r="CR68" s="77"/>
      <c r="CS68" s="78"/>
      <c r="CT68" s="77"/>
      <c r="CU68" s="78"/>
      <c r="CV68" s="77"/>
      <c r="CW68" s="78"/>
      <c r="CX68" s="77"/>
      <c r="CY68" s="78"/>
      <c r="CZ68" s="77"/>
      <c r="DA68" s="78"/>
      <c r="DB68" s="77"/>
      <c r="DC68" s="78"/>
      <c r="DD68" s="77"/>
      <c r="DE68" s="78"/>
      <c r="DF68" s="77"/>
      <c r="DG68" s="78"/>
      <c r="DH68" s="77"/>
      <c r="DI68" s="78"/>
      <c r="DJ68" s="77"/>
      <c r="DK68" s="78"/>
      <c r="DL68" s="77"/>
      <c r="DM68" s="78"/>
      <c r="DN68" s="77"/>
      <c r="DO68" s="78"/>
      <c r="DP68" s="77"/>
      <c r="DQ68" s="78"/>
      <c r="DR68" s="77"/>
      <c r="DS68" s="78"/>
      <c r="DT68" s="77"/>
      <c r="DU68" s="78"/>
      <c r="DV68" s="77"/>
      <c r="DW68" s="78"/>
      <c r="DX68" s="77"/>
      <c r="DY68" s="78"/>
      <c r="DZ68" s="77"/>
      <c r="EA68" s="78"/>
      <c r="EB68" s="77"/>
      <c r="EC68" s="78"/>
      <c r="ED68" s="77"/>
      <c r="EE68" s="78"/>
      <c r="EF68" s="77"/>
      <c r="EG68" s="78"/>
      <c r="EH68" s="77"/>
      <c r="EI68" s="78"/>
      <c r="EJ68" s="77"/>
      <c r="EK68" s="78"/>
      <c r="EL68" s="77"/>
      <c r="EM68" s="78"/>
      <c r="EN68" s="77"/>
      <c r="EO68" s="78"/>
      <c r="EP68" s="77"/>
      <c r="EQ68" s="78"/>
      <c r="ER68" s="77"/>
      <c r="ES68" s="78"/>
      <c r="ET68" s="77"/>
      <c r="EU68" s="78"/>
      <c r="EV68" s="77"/>
      <c r="EW68" s="7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/>
      <c r="FM68"/>
      <c r="FN68"/>
      <c r="FO68"/>
      <c r="FP68"/>
      <c r="FQ68"/>
      <c r="FR68"/>
      <c r="FS68"/>
      <c r="FT68"/>
      <c r="FU68"/>
      <c r="FV68"/>
      <c r="FW68"/>
      <c r="FX68"/>
      <c r="FY68"/>
      <c r="FZ68"/>
      <c r="GA68"/>
      <c r="GB68"/>
      <c r="GC68"/>
      <c r="GD68"/>
      <c r="GE68"/>
      <c r="GF68"/>
      <c r="GG68"/>
      <c r="GH68"/>
      <c r="GI68"/>
      <c r="GJ68"/>
      <c r="GK68"/>
      <c r="GL68"/>
      <c r="GM68"/>
      <c r="GN68"/>
      <c r="GO68"/>
      <c r="GP68"/>
      <c r="GQ68"/>
      <c r="GR68"/>
      <c r="GS68"/>
      <c r="GT68"/>
      <c r="GU68"/>
      <c r="GV68"/>
      <c r="GW68"/>
      <c r="GX68"/>
      <c r="GY68"/>
      <c r="GZ68"/>
      <c r="HA68"/>
      <c r="HB68"/>
      <c r="HC68"/>
      <c r="HD68"/>
      <c r="HE68"/>
      <c r="HF68"/>
      <c r="HG68"/>
      <c r="HH68"/>
      <c r="HI68"/>
      <c r="HJ68"/>
      <c r="HK68"/>
      <c r="HL68"/>
      <c r="HM68"/>
      <c r="HN68"/>
      <c r="HO68"/>
      <c r="HP68"/>
      <c r="HQ68"/>
      <c r="HR68"/>
      <c r="HS68"/>
      <c r="HT68"/>
      <c r="HU68"/>
      <c r="HV68"/>
      <c r="HW68"/>
      <c r="HX68"/>
      <c r="HY68"/>
      <c r="HZ68"/>
      <c r="IA68"/>
      <c r="IB68"/>
      <c r="IC68"/>
      <c r="ID68"/>
      <c r="IE68"/>
      <c r="IF68"/>
      <c r="IG68"/>
      <c r="IH68"/>
      <c r="II68"/>
      <c r="IJ68"/>
      <c r="IK68"/>
      <c r="IL68"/>
      <c r="IM68"/>
      <c r="IN68"/>
      <c r="IO68"/>
      <c r="IP68"/>
      <c r="IQ68"/>
      <c r="IR68"/>
      <c r="IS68"/>
      <c r="IT68"/>
      <c r="IU68"/>
      <c r="IV68"/>
      <c r="IW68"/>
      <c r="IX68"/>
      <c r="IY68"/>
      <c r="IZ68"/>
      <c r="JA68"/>
      <c r="JB68"/>
      <c r="JC68"/>
      <c r="JD68"/>
      <c r="JE68"/>
      <c r="JF68"/>
      <c r="JG68"/>
      <c r="JH68"/>
      <c r="JI68"/>
      <c r="JJ68"/>
      <c r="JK68"/>
      <c r="JL68"/>
      <c r="JM68"/>
      <c r="JN68"/>
      <c r="JO68"/>
      <c r="JP68"/>
      <c r="JQ68"/>
      <c r="JR68"/>
      <c r="JS68"/>
      <c r="JT68"/>
      <c r="JU68"/>
      <c r="JV68"/>
      <c r="JW68"/>
      <c r="JX68"/>
      <c r="JY68"/>
      <c r="JZ68"/>
      <c r="KA68"/>
      <c r="KB68"/>
      <c r="KC68"/>
      <c r="KD68"/>
      <c r="KE68"/>
      <c r="KF68"/>
      <c r="KG68"/>
      <c r="KH68"/>
      <c r="KI68"/>
      <c r="KJ68"/>
      <c r="KK68"/>
      <c r="KL68"/>
      <c r="KM68"/>
      <c r="KN68"/>
      <c r="KO68"/>
      <c r="KP68"/>
      <c r="KQ68"/>
      <c r="KR68"/>
      <c r="KS68"/>
      <c r="KT68"/>
      <c r="KU68"/>
      <c r="KV68"/>
      <c r="KW68"/>
      <c r="KX68"/>
      <c r="KY68"/>
      <c r="KZ68"/>
      <c r="LA68"/>
      <c r="LB68"/>
      <c r="LC68"/>
      <c r="LD68"/>
      <c r="LE68"/>
      <c r="LF68"/>
      <c r="LG68"/>
      <c r="LH68"/>
      <c r="LI68"/>
      <c r="LJ68"/>
      <c r="LK68"/>
      <c r="LL68"/>
      <c r="LM68"/>
      <c r="LN68"/>
      <c r="LO68"/>
      <c r="LP68"/>
      <c r="LQ68"/>
      <c r="LR68"/>
      <c r="LS68"/>
      <c r="LT68"/>
      <c r="LU68"/>
      <c r="LV68"/>
      <c r="LW68"/>
      <c r="LX68"/>
      <c r="LY68"/>
      <c r="LZ68"/>
      <c r="MA68"/>
      <c r="MB68"/>
      <c r="MC68"/>
      <c r="MD68"/>
      <c r="ME68"/>
      <c r="MF68"/>
      <c r="MG68"/>
      <c r="MH68"/>
      <c r="MI68"/>
      <c r="MJ68"/>
      <c r="MK68"/>
      <c r="ML68"/>
    </row>
    <row r="69" spans="1:350" s="233" customFormat="1" ht="15" customHeight="1" x14ac:dyDescent="0.3">
      <c r="A69" s="77">
        <f>_xlfn.XLOOKUP(DADOS!$B$3,DADOS!$D$2:$DI$2,DADOS!$D69:$DI69,"",0)</f>
        <v>0</v>
      </c>
      <c r="B69" s="78">
        <f>_xlfn.XLOOKUP(DADOS!$B$3,DADOS!$E$112:$AS$112,DADOS!$E177:$AS177,"",0)</f>
        <v>0</v>
      </c>
      <c r="C69" s="295" t="s">
        <v>237</v>
      </c>
      <c r="D69" s="280"/>
      <c r="E69" s="78" cm="1">
        <f t="array" ref="E69">_xlfn.XLOOKUP(D$2,$D$112:$BF$112,$D177:BF177,0,0)</f>
        <v>0</v>
      </c>
      <c r="F69" s="280"/>
      <c r="G69" s="78">
        <f t="shared" si="47"/>
        <v>0</v>
      </c>
      <c r="H69" s="280"/>
      <c r="I69" s="78">
        <f t="shared" si="48"/>
        <v>0</v>
      </c>
      <c r="J69" s="280">
        <v>0</v>
      </c>
      <c r="K69" s="78">
        <f t="shared" si="49"/>
        <v>0</v>
      </c>
      <c r="L69" s="280"/>
      <c r="M69" s="78">
        <f t="shared" si="49"/>
        <v>0</v>
      </c>
      <c r="N69" s="280"/>
      <c r="O69" s="78">
        <f t="shared" si="50"/>
        <v>0</v>
      </c>
      <c r="P69" s="280"/>
      <c r="Q69" s="78">
        <f t="shared" si="51"/>
        <v>0</v>
      </c>
      <c r="R69" s="280"/>
      <c r="S69" s="78">
        <f t="shared" si="52"/>
        <v>0</v>
      </c>
      <c r="T69" s="280"/>
      <c r="U69" s="78">
        <f t="shared" si="53"/>
        <v>0</v>
      </c>
      <c r="V69" s="280"/>
      <c r="W69" s="78">
        <f t="shared" si="54"/>
        <v>0</v>
      </c>
      <c r="X69" s="280"/>
      <c r="Y69" s="78"/>
      <c r="Z69" s="280"/>
      <c r="AA69" s="78"/>
      <c r="AB69" s="280"/>
      <c r="AC69" s="78"/>
      <c r="AD69" s="280"/>
      <c r="AE69" s="78"/>
      <c r="AF69" s="280"/>
      <c r="AG69" s="78"/>
      <c r="AH69" s="280"/>
      <c r="AI69" s="78"/>
      <c r="AJ69" s="280"/>
      <c r="AK69" s="78"/>
      <c r="AL69" s="280"/>
      <c r="AM69" s="78"/>
      <c r="AN69" s="280"/>
      <c r="AO69" s="78"/>
      <c r="AP69" s="280"/>
      <c r="AQ69" s="78"/>
      <c r="AR69" s="280"/>
      <c r="AS69" s="78"/>
      <c r="AT69" s="280"/>
      <c r="AU69" s="78"/>
      <c r="AV69" s="280"/>
      <c r="AW69" s="78"/>
      <c r="AX69" s="280"/>
      <c r="AY69" s="78"/>
      <c r="AZ69" s="280"/>
      <c r="BA69" s="78"/>
      <c r="BB69" s="280"/>
      <c r="BC69" s="78"/>
      <c r="BD69" s="280"/>
      <c r="BE69" s="78"/>
      <c r="BF69" s="280"/>
      <c r="BG69" s="78"/>
      <c r="BH69" s="280"/>
      <c r="BI69" s="78"/>
      <c r="BJ69" s="280"/>
      <c r="BK69" s="78"/>
      <c r="BL69" s="280"/>
      <c r="BM69" s="78"/>
      <c r="BN69" s="280"/>
      <c r="BO69" s="78"/>
      <c r="BP69" s="280"/>
      <c r="BQ69" s="78"/>
      <c r="BR69" s="280"/>
      <c r="BS69" s="78"/>
      <c r="BT69" s="280"/>
      <c r="BU69" s="78"/>
      <c r="BV69" s="280"/>
      <c r="BW69" s="78"/>
      <c r="BX69" s="280"/>
      <c r="BY69" s="78"/>
      <c r="BZ69" s="280"/>
      <c r="CA69" s="78"/>
      <c r="CB69" s="280"/>
      <c r="CC69" s="78"/>
      <c r="CD69" s="280"/>
      <c r="CE69" s="78"/>
      <c r="CF69" s="280"/>
      <c r="CG69" s="78"/>
      <c r="CH69" s="280"/>
      <c r="CI69" s="78"/>
      <c r="CJ69" s="280"/>
      <c r="CK69" s="78"/>
      <c r="CL69" s="280"/>
      <c r="CM69" s="78"/>
      <c r="CN69" s="280"/>
      <c r="CO69" s="78"/>
      <c r="CP69" s="77"/>
      <c r="CQ69" s="78"/>
      <c r="CR69" s="77"/>
      <c r="CS69" s="78"/>
      <c r="CT69" s="77"/>
      <c r="CU69" s="78"/>
      <c r="CV69" s="77"/>
      <c r="CW69" s="78"/>
      <c r="CX69" s="77"/>
      <c r="CY69" s="78"/>
      <c r="CZ69" s="77"/>
      <c r="DA69" s="78"/>
      <c r="DB69" s="77"/>
      <c r="DC69" s="78"/>
      <c r="DD69" s="77"/>
      <c r="DE69" s="78"/>
      <c r="DF69" s="77"/>
      <c r="DG69" s="78"/>
      <c r="DH69" s="77"/>
      <c r="DI69" s="78"/>
      <c r="DJ69" s="77"/>
      <c r="DK69" s="78"/>
      <c r="DL69" s="77"/>
      <c r="DM69" s="78"/>
      <c r="DN69" s="77"/>
      <c r="DO69" s="78"/>
      <c r="DP69" s="77"/>
      <c r="DQ69" s="78"/>
      <c r="DR69" s="77"/>
      <c r="DS69" s="78"/>
      <c r="DT69" s="77"/>
      <c r="DU69" s="78"/>
      <c r="DV69" s="77"/>
      <c r="DW69" s="78"/>
      <c r="DX69" s="77"/>
      <c r="DY69" s="78"/>
      <c r="DZ69" s="77"/>
      <c r="EA69" s="78"/>
      <c r="EB69" s="77"/>
      <c r="EC69" s="78"/>
      <c r="ED69" s="77"/>
      <c r="EE69" s="78"/>
      <c r="EF69" s="77"/>
      <c r="EG69" s="78"/>
      <c r="EH69" s="77"/>
      <c r="EI69" s="78"/>
      <c r="EJ69" s="77"/>
      <c r="EK69" s="78"/>
      <c r="EL69" s="77"/>
      <c r="EM69" s="78"/>
      <c r="EN69" s="77"/>
      <c r="EO69" s="78"/>
      <c r="EP69" s="77"/>
      <c r="EQ69" s="78"/>
      <c r="ER69" s="77"/>
      <c r="ES69" s="78"/>
      <c r="ET69" s="77"/>
      <c r="EU69" s="78"/>
      <c r="EV69" s="77"/>
      <c r="EW69" s="78"/>
      <c r="EX69"/>
      <c r="EY69"/>
      <c r="EZ69"/>
      <c r="FA69"/>
      <c r="FB69"/>
      <c r="FC69"/>
      <c r="FD69"/>
      <c r="FE69"/>
      <c r="FF69"/>
      <c r="FG69"/>
      <c r="FH69"/>
      <c r="FI69"/>
      <c r="FJ69"/>
      <c r="FK69"/>
      <c r="FL69"/>
      <c r="FM69"/>
      <c r="FN69"/>
      <c r="FO69"/>
      <c r="FP69"/>
      <c r="FQ69"/>
      <c r="FR69"/>
      <c r="FS69"/>
      <c r="FT69"/>
      <c r="FU69"/>
      <c r="FV69"/>
      <c r="FW69"/>
      <c r="FX69"/>
      <c r="FY69"/>
      <c r="FZ69"/>
      <c r="GA69"/>
      <c r="GB69"/>
      <c r="GC69"/>
      <c r="GD69"/>
      <c r="GE69"/>
      <c r="GF69"/>
      <c r="GG69"/>
      <c r="GH69"/>
      <c r="GI69"/>
      <c r="GJ69"/>
      <c r="GK69"/>
      <c r="GL69"/>
      <c r="GM69"/>
      <c r="GN69"/>
      <c r="GO69"/>
      <c r="GP69"/>
      <c r="GQ69"/>
      <c r="GR69"/>
      <c r="GS69"/>
      <c r="GT69"/>
      <c r="GU69"/>
      <c r="GV69"/>
      <c r="GW69"/>
      <c r="GX69"/>
      <c r="GY69"/>
      <c r="GZ69"/>
      <c r="HA69"/>
      <c r="HB69"/>
      <c r="HC69"/>
      <c r="HD69"/>
      <c r="HE69"/>
      <c r="HF69"/>
      <c r="HG69"/>
      <c r="HH69"/>
      <c r="HI69"/>
      <c r="HJ69"/>
      <c r="HK69"/>
      <c r="HL69"/>
      <c r="HM69"/>
      <c r="HN69"/>
      <c r="HO69"/>
      <c r="HP69"/>
      <c r="HQ69"/>
      <c r="HR69"/>
      <c r="HS69"/>
      <c r="HT69"/>
      <c r="HU69"/>
      <c r="HV69"/>
      <c r="HW69"/>
      <c r="HX69"/>
      <c r="HY69"/>
      <c r="HZ69"/>
      <c r="IA69"/>
      <c r="IB69"/>
      <c r="IC69"/>
      <c r="ID69"/>
      <c r="IE69"/>
      <c r="IF69"/>
      <c r="IG69"/>
      <c r="IH69"/>
      <c r="II69"/>
      <c r="IJ69"/>
      <c r="IK69"/>
      <c r="IL69"/>
      <c r="IM69"/>
      <c r="IN69"/>
      <c r="IO69"/>
      <c r="IP69"/>
      <c r="IQ69"/>
      <c r="IR69"/>
      <c r="IS69"/>
      <c r="IT69"/>
      <c r="IU69"/>
      <c r="IV69"/>
      <c r="IW69"/>
      <c r="IX69"/>
      <c r="IY69"/>
      <c r="IZ69"/>
      <c r="JA69"/>
      <c r="JB69"/>
      <c r="JC69"/>
      <c r="JD69"/>
      <c r="JE69"/>
      <c r="JF69"/>
      <c r="JG69"/>
      <c r="JH69"/>
      <c r="JI69"/>
      <c r="JJ69"/>
      <c r="JK69"/>
      <c r="JL69"/>
      <c r="JM69"/>
      <c r="JN69"/>
      <c r="JO69"/>
      <c r="JP69"/>
      <c r="JQ69"/>
      <c r="JR69"/>
      <c r="JS69"/>
      <c r="JT69"/>
      <c r="JU69"/>
      <c r="JV69"/>
      <c r="JW69"/>
      <c r="JX69"/>
      <c r="JY69"/>
      <c r="JZ69"/>
      <c r="KA69"/>
      <c r="KB69"/>
      <c r="KC69"/>
      <c r="KD69"/>
      <c r="KE69"/>
      <c r="KF69"/>
      <c r="KG69"/>
      <c r="KH69"/>
      <c r="KI69"/>
      <c r="KJ69"/>
      <c r="KK69"/>
      <c r="KL69"/>
      <c r="KM69"/>
      <c r="KN69"/>
      <c r="KO69"/>
      <c r="KP69"/>
      <c r="KQ69"/>
      <c r="KR69"/>
      <c r="KS69"/>
      <c r="KT69"/>
      <c r="KU69"/>
      <c r="KV69"/>
      <c r="KW69"/>
      <c r="KX69"/>
      <c r="KY69"/>
      <c r="KZ69"/>
      <c r="LA69"/>
      <c r="LB69"/>
      <c r="LC69"/>
      <c r="LD69"/>
      <c r="LE69"/>
      <c r="LF69"/>
      <c r="LG69"/>
      <c r="LH69"/>
      <c r="LI69"/>
      <c r="LJ69"/>
      <c r="LK69"/>
      <c r="LL69"/>
      <c r="LM69"/>
      <c r="LN69"/>
      <c r="LO69"/>
      <c r="LP69"/>
      <c r="LQ69"/>
      <c r="LR69"/>
      <c r="LS69"/>
      <c r="LT69"/>
      <c r="LU69"/>
      <c r="LV69"/>
      <c r="LW69"/>
      <c r="LX69"/>
      <c r="LY69"/>
      <c r="LZ69"/>
      <c r="MA69"/>
      <c r="MB69"/>
      <c r="MC69"/>
      <c r="MD69"/>
      <c r="ME69"/>
      <c r="MF69"/>
      <c r="MG69"/>
      <c r="MH69"/>
      <c r="MI69"/>
      <c r="MJ69"/>
      <c r="MK69"/>
      <c r="ML69"/>
    </row>
    <row r="70" spans="1:350" s="233" customFormat="1" ht="15" customHeight="1" x14ac:dyDescent="0.3">
      <c r="A70" s="77">
        <f>_xlfn.XLOOKUP(DADOS!$B$3,DADOS!$D$2:$DI$2,DADOS!$D70:$DI70,"",0)</f>
        <v>0</v>
      </c>
      <c r="B70" s="78">
        <f>_xlfn.XLOOKUP(DADOS!$B$3,DADOS!$E$112:$AS$112,DADOS!$E178:$AS178,"",0)</f>
        <v>0</v>
      </c>
      <c r="C70" s="295" t="s">
        <v>254</v>
      </c>
      <c r="D70" s="280"/>
      <c r="E70" s="78" cm="1">
        <f t="array" ref="E70">_xlfn.XLOOKUP(D$2,$D$112:$BF$112,$D178:BF178,0,0)</f>
        <v>0</v>
      </c>
      <c r="F70" s="280"/>
      <c r="G70" s="78">
        <f t="shared" si="47"/>
        <v>0</v>
      </c>
      <c r="H70" s="280"/>
      <c r="I70" s="78">
        <f t="shared" si="48"/>
        <v>0</v>
      </c>
      <c r="J70" s="280">
        <v>0</v>
      </c>
      <c r="K70" s="78">
        <f t="shared" si="49"/>
        <v>0</v>
      </c>
      <c r="L70" s="280"/>
      <c r="M70" s="78">
        <f t="shared" si="49"/>
        <v>0</v>
      </c>
      <c r="N70" s="280"/>
      <c r="O70" s="78">
        <f t="shared" si="50"/>
        <v>0</v>
      </c>
      <c r="P70" s="280"/>
      <c r="Q70" s="78">
        <f t="shared" si="51"/>
        <v>0</v>
      </c>
      <c r="R70" s="280"/>
      <c r="S70" s="78">
        <f t="shared" si="52"/>
        <v>0</v>
      </c>
      <c r="T70" s="280"/>
      <c r="U70" s="78">
        <f t="shared" si="53"/>
        <v>0</v>
      </c>
      <c r="V70" s="280"/>
      <c r="W70" s="78">
        <f t="shared" si="54"/>
        <v>0</v>
      </c>
      <c r="X70" s="280"/>
      <c r="Y70" s="78"/>
      <c r="Z70" s="280"/>
      <c r="AA70" s="78"/>
      <c r="AB70" s="280"/>
      <c r="AC70" s="78"/>
      <c r="AD70" s="280"/>
      <c r="AE70" s="78"/>
      <c r="AF70" s="280"/>
      <c r="AG70" s="78"/>
      <c r="AH70" s="280"/>
      <c r="AI70" s="78"/>
      <c r="AJ70" s="280"/>
      <c r="AK70" s="78"/>
      <c r="AL70" s="280"/>
      <c r="AM70" s="78"/>
      <c r="AN70" s="280"/>
      <c r="AO70" s="78"/>
      <c r="AP70" s="280"/>
      <c r="AQ70" s="78"/>
      <c r="AR70" s="280"/>
      <c r="AS70" s="78"/>
      <c r="AT70" s="280"/>
      <c r="AU70" s="78"/>
      <c r="AV70" s="280"/>
      <c r="AW70" s="78"/>
      <c r="AX70" s="280"/>
      <c r="AY70" s="78"/>
      <c r="AZ70" s="280"/>
      <c r="BA70" s="78"/>
      <c r="BB70" s="280"/>
      <c r="BC70" s="78"/>
      <c r="BD70" s="280"/>
      <c r="BE70" s="78"/>
      <c r="BF70" s="280"/>
      <c r="BG70" s="78"/>
      <c r="BH70" s="280"/>
      <c r="BI70" s="78"/>
      <c r="BJ70" s="280"/>
      <c r="BK70" s="78"/>
      <c r="BL70" s="280"/>
      <c r="BM70" s="78"/>
      <c r="BN70" s="280"/>
      <c r="BO70" s="78"/>
      <c r="BP70" s="280"/>
      <c r="BQ70" s="78"/>
      <c r="BR70" s="280"/>
      <c r="BS70" s="78"/>
      <c r="BT70" s="280"/>
      <c r="BU70" s="78"/>
      <c r="BV70" s="280"/>
      <c r="BW70" s="78"/>
      <c r="BX70" s="280"/>
      <c r="BY70" s="78"/>
      <c r="BZ70" s="280"/>
      <c r="CA70" s="78"/>
      <c r="CB70" s="280"/>
      <c r="CC70" s="78"/>
      <c r="CD70" s="280"/>
      <c r="CE70" s="78"/>
      <c r="CF70" s="280"/>
      <c r="CG70" s="78"/>
      <c r="CH70" s="280"/>
      <c r="CI70" s="78"/>
      <c r="CJ70" s="280"/>
      <c r="CK70" s="78"/>
      <c r="CL70" s="280"/>
      <c r="CM70" s="78"/>
      <c r="CN70" s="280"/>
      <c r="CO70" s="78"/>
      <c r="CP70" s="77"/>
      <c r="CQ70" s="78"/>
      <c r="CR70" s="77"/>
      <c r="CS70" s="78"/>
      <c r="CT70" s="77"/>
      <c r="CU70" s="78"/>
      <c r="CV70" s="77"/>
      <c r="CW70" s="78"/>
      <c r="CX70" s="77"/>
      <c r="CY70" s="78"/>
      <c r="CZ70" s="77"/>
      <c r="DA70" s="78"/>
      <c r="DB70" s="77"/>
      <c r="DC70" s="78"/>
      <c r="DD70" s="77"/>
      <c r="DE70" s="78"/>
      <c r="DF70" s="77"/>
      <c r="DG70" s="78"/>
      <c r="DH70" s="77"/>
      <c r="DI70" s="78"/>
      <c r="DJ70" s="77"/>
      <c r="DK70" s="78"/>
      <c r="DL70" s="77"/>
      <c r="DM70" s="78"/>
      <c r="DN70" s="77"/>
      <c r="DO70" s="78"/>
      <c r="DP70" s="77"/>
      <c r="DQ70" s="78"/>
      <c r="DR70" s="77"/>
      <c r="DS70" s="78"/>
      <c r="DT70" s="77"/>
      <c r="DU70" s="78"/>
      <c r="DV70" s="77"/>
      <c r="DW70" s="78"/>
      <c r="DX70" s="77"/>
      <c r="DY70" s="78"/>
      <c r="DZ70" s="77"/>
      <c r="EA70" s="78"/>
      <c r="EB70" s="77"/>
      <c r="EC70" s="78"/>
      <c r="ED70" s="77"/>
      <c r="EE70" s="78"/>
      <c r="EF70" s="77"/>
      <c r="EG70" s="78"/>
      <c r="EH70" s="77"/>
      <c r="EI70" s="78"/>
      <c r="EJ70" s="77"/>
      <c r="EK70" s="78"/>
      <c r="EL70" s="77"/>
      <c r="EM70" s="78"/>
      <c r="EN70" s="77"/>
      <c r="EO70" s="78"/>
      <c r="EP70" s="77"/>
      <c r="EQ70" s="78"/>
      <c r="ER70" s="77"/>
      <c r="ES70" s="78"/>
      <c r="ET70" s="77"/>
      <c r="EU70" s="78"/>
      <c r="EV70" s="77"/>
      <c r="EW70" s="78"/>
      <c r="EX70"/>
      <c r="EY70"/>
      <c r="EZ70"/>
      <c r="FA70"/>
      <c r="FB70"/>
      <c r="FC70"/>
      <c r="FD70"/>
      <c r="FE70"/>
      <c r="FF70"/>
      <c r="FG70"/>
      <c r="FH70"/>
      <c r="FI70"/>
      <c r="FJ70"/>
      <c r="FK70"/>
      <c r="FL70"/>
      <c r="FM70"/>
      <c r="FN70"/>
      <c r="FO70"/>
      <c r="FP70"/>
      <c r="FQ70"/>
      <c r="FR70"/>
      <c r="FS70"/>
      <c r="FT70"/>
      <c r="FU70"/>
      <c r="FV70"/>
      <c r="FW70"/>
      <c r="FX70"/>
      <c r="FY70"/>
      <c r="FZ70"/>
      <c r="GA70"/>
      <c r="GB70"/>
      <c r="GC70"/>
      <c r="GD70"/>
      <c r="GE70"/>
      <c r="GF70"/>
      <c r="GG70"/>
      <c r="GH70"/>
      <c r="GI70"/>
      <c r="GJ70"/>
      <c r="GK70"/>
      <c r="GL70"/>
      <c r="GM70"/>
      <c r="GN70"/>
      <c r="GO70"/>
      <c r="GP70"/>
      <c r="GQ70"/>
      <c r="GR70"/>
      <c r="GS70"/>
      <c r="GT70"/>
      <c r="GU70"/>
      <c r="GV70"/>
      <c r="GW70"/>
      <c r="GX70"/>
      <c r="GY70"/>
      <c r="GZ70"/>
      <c r="HA70"/>
      <c r="HB70"/>
      <c r="HC70"/>
      <c r="HD70"/>
      <c r="HE70"/>
      <c r="HF70"/>
      <c r="HG70"/>
      <c r="HH70"/>
      <c r="HI70"/>
      <c r="HJ70"/>
      <c r="HK70"/>
      <c r="HL70"/>
      <c r="HM70"/>
      <c r="HN70"/>
      <c r="HO70"/>
      <c r="HP70"/>
      <c r="HQ70"/>
      <c r="HR70"/>
      <c r="HS70"/>
      <c r="HT70"/>
      <c r="HU70"/>
      <c r="HV70"/>
      <c r="HW70"/>
      <c r="HX70"/>
      <c r="HY70"/>
      <c r="HZ70"/>
      <c r="IA70"/>
      <c r="IB70"/>
      <c r="IC70"/>
      <c r="ID70"/>
      <c r="IE70"/>
      <c r="IF70"/>
      <c r="IG70"/>
      <c r="IH70"/>
      <c r="II70"/>
      <c r="IJ70"/>
      <c r="IK70"/>
      <c r="IL70"/>
      <c r="IM70"/>
      <c r="IN70"/>
      <c r="IO70"/>
      <c r="IP70"/>
      <c r="IQ70"/>
      <c r="IR70"/>
      <c r="IS70"/>
      <c r="IT70"/>
      <c r="IU70"/>
      <c r="IV70"/>
      <c r="IW70"/>
      <c r="IX70"/>
      <c r="IY70"/>
      <c r="IZ70"/>
      <c r="JA70"/>
      <c r="JB70"/>
      <c r="JC70"/>
      <c r="JD70"/>
      <c r="JE70"/>
      <c r="JF70"/>
      <c r="JG70"/>
      <c r="JH70"/>
      <c r="JI70"/>
      <c r="JJ70"/>
      <c r="JK70"/>
      <c r="JL70"/>
      <c r="JM70"/>
      <c r="JN70"/>
      <c r="JO70"/>
      <c r="JP70"/>
      <c r="JQ70"/>
      <c r="JR70"/>
      <c r="JS70"/>
      <c r="JT70"/>
      <c r="JU70"/>
      <c r="JV70"/>
      <c r="JW70"/>
      <c r="JX70"/>
      <c r="JY70"/>
      <c r="JZ70"/>
      <c r="KA70"/>
      <c r="KB70"/>
      <c r="KC70"/>
      <c r="KD70"/>
      <c r="KE70"/>
      <c r="KF70"/>
      <c r="KG70"/>
      <c r="KH70"/>
      <c r="KI70"/>
      <c r="KJ70"/>
      <c r="KK70"/>
      <c r="KL70"/>
      <c r="KM70"/>
      <c r="KN70"/>
      <c r="KO70"/>
      <c r="KP70"/>
      <c r="KQ70"/>
      <c r="KR70"/>
      <c r="KS70"/>
      <c r="KT70"/>
      <c r="KU70"/>
      <c r="KV70"/>
      <c r="KW70"/>
      <c r="KX70"/>
      <c r="KY70"/>
      <c r="KZ70"/>
      <c r="LA70"/>
      <c r="LB70"/>
      <c r="LC70"/>
      <c r="LD70"/>
      <c r="LE70"/>
      <c r="LF70"/>
      <c r="LG70"/>
      <c r="LH70"/>
      <c r="LI70"/>
      <c r="LJ70"/>
      <c r="LK70"/>
      <c r="LL70"/>
      <c r="LM70"/>
      <c r="LN70"/>
      <c r="LO70"/>
      <c r="LP70"/>
      <c r="LQ70"/>
      <c r="LR70"/>
      <c r="LS70"/>
      <c r="LT70"/>
      <c r="LU70"/>
      <c r="LV70"/>
      <c r="LW70"/>
      <c r="LX70"/>
      <c r="LY70"/>
      <c r="LZ70"/>
      <c r="MA70"/>
      <c r="MB70"/>
      <c r="MC70"/>
      <c r="MD70"/>
      <c r="ME70"/>
      <c r="MF70"/>
      <c r="MG70"/>
      <c r="MH70"/>
      <c r="MI70"/>
      <c r="MJ70"/>
      <c r="MK70"/>
      <c r="ML70"/>
    </row>
    <row r="71" spans="1:350" s="233" customFormat="1" ht="15" customHeight="1" x14ac:dyDescent="0.3">
      <c r="A71" s="77">
        <f>_xlfn.XLOOKUP(DADOS!$B$3,DADOS!$D$2:$DI$2,DADOS!$D71:$DI71,"",0)</f>
        <v>0</v>
      </c>
      <c r="B71" s="78">
        <f>_xlfn.XLOOKUP(DADOS!$B$3,DADOS!$E$112:$AS$112,DADOS!$E179:$AS179,"",0)</f>
        <v>0</v>
      </c>
      <c r="C71" s="295" t="s">
        <v>239</v>
      </c>
      <c r="D71" s="280"/>
      <c r="E71" s="78" cm="1">
        <f t="array" ref="E71">_xlfn.XLOOKUP(D$2,$D$112:$BF$112,$D179:BF179,0,0)</f>
        <v>0</v>
      </c>
      <c r="F71" s="280"/>
      <c r="G71" s="78">
        <f t="shared" ref="G71:G99" si="55">_xlfn.XLOOKUP(F$2,$D$112:$AS$112,D179:AS179,0,0)</f>
        <v>0</v>
      </c>
      <c r="H71" s="280"/>
      <c r="I71" s="78">
        <f t="shared" ref="I71:I99" si="56">_xlfn.XLOOKUP(H$2,$D$112:$AS$112,D179:AS179,0,0)</f>
        <v>0</v>
      </c>
      <c r="J71" s="280">
        <v>0</v>
      </c>
      <c r="K71" s="78">
        <f t="shared" ref="K71:M99" si="57">_xlfn.XLOOKUP(J$2,$D$112:$AS$112,D179:AS179,0,0)</f>
        <v>0</v>
      </c>
      <c r="L71" s="280"/>
      <c r="M71" s="78">
        <f t="shared" si="57"/>
        <v>0</v>
      </c>
      <c r="N71" s="280"/>
      <c r="O71" s="78">
        <f t="shared" ref="O71:O99" si="58">_xlfn.XLOOKUP(N$2,$D$112:$AS$112,D179:AS179,0,0)</f>
        <v>0</v>
      </c>
      <c r="P71" s="280"/>
      <c r="Q71" s="78">
        <f t="shared" ref="Q71:Q99" si="59">_xlfn.XLOOKUP(P$2,$D$112:$AS$112,D179:AS179,0,0)</f>
        <v>0</v>
      </c>
      <c r="R71" s="280"/>
      <c r="S71" s="78">
        <f t="shared" ref="S71:S99" si="60">_xlfn.XLOOKUP(R$2,$D$112:$AS$112,D179:AS179,0,0)</f>
        <v>0</v>
      </c>
      <c r="T71" s="280"/>
      <c r="U71" s="78">
        <f t="shared" ref="U71:U99" si="61">_xlfn.XLOOKUP(T$2,$D$112:$AS$112,D179:AS179,0,0)</f>
        <v>0</v>
      </c>
      <c r="V71" s="280"/>
      <c r="W71" s="78">
        <f t="shared" ref="W71:W99" si="62">_xlfn.XLOOKUP(V$2,$D$112:$AS$112,D179:AS179,0,0)</f>
        <v>0</v>
      </c>
      <c r="X71" s="280"/>
      <c r="Y71" s="78"/>
      <c r="Z71" s="280"/>
      <c r="AA71" s="78"/>
      <c r="AB71" s="280"/>
      <c r="AC71" s="78"/>
      <c r="AD71" s="280"/>
      <c r="AE71" s="78"/>
      <c r="AF71" s="280"/>
      <c r="AG71" s="78"/>
      <c r="AH71" s="280"/>
      <c r="AI71" s="78"/>
      <c r="AJ71" s="280"/>
      <c r="AK71" s="78"/>
      <c r="AL71" s="280"/>
      <c r="AM71" s="78"/>
      <c r="AN71" s="280"/>
      <c r="AO71" s="78"/>
      <c r="AP71" s="280"/>
      <c r="AQ71" s="78"/>
      <c r="AR71" s="280"/>
      <c r="AS71" s="78"/>
      <c r="AT71" s="280"/>
      <c r="AU71" s="78"/>
      <c r="AV71" s="280"/>
      <c r="AW71" s="78"/>
      <c r="AX71" s="280"/>
      <c r="AY71" s="78"/>
      <c r="AZ71" s="280"/>
      <c r="BA71" s="78"/>
      <c r="BB71" s="280"/>
      <c r="BC71" s="78"/>
      <c r="BD71" s="280"/>
      <c r="BE71" s="78"/>
      <c r="BF71" s="280"/>
      <c r="BG71" s="78"/>
      <c r="BH71" s="280"/>
      <c r="BI71" s="78"/>
      <c r="BJ71" s="280"/>
      <c r="BK71" s="78"/>
      <c r="BL71" s="280"/>
      <c r="BM71" s="78"/>
      <c r="BN71" s="280"/>
      <c r="BO71" s="78"/>
      <c r="BP71" s="280"/>
      <c r="BQ71" s="78"/>
      <c r="BR71" s="280"/>
      <c r="BS71" s="78"/>
      <c r="BT71" s="280"/>
      <c r="BU71" s="78"/>
      <c r="BV71" s="280"/>
      <c r="BW71" s="78"/>
      <c r="BX71" s="280"/>
      <c r="BY71" s="78"/>
      <c r="BZ71" s="280"/>
      <c r="CA71" s="78"/>
      <c r="CB71" s="280"/>
      <c r="CC71" s="78"/>
      <c r="CD71" s="280"/>
      <c r="CE71" s="78"/>
      <c r="CF71" s="280"/>
      <c r="CG71" s="78"/>
      <c r="CH71" s="280"/>
      <c r="CI71" s="78"/>
      <c r="CJ71" s="280"/>
      <c r="CK71" s="78"/>
      <c r="CL71" s="280"/>
      <c r="CM71" s="78"/>
      <c r="CN71" s="280"/>
      <c r="CO71" s="78"/>
      <c r="CP71" s="77"/>
      <c r="CQ71" s="78"/>
      <c r="CR71" s="77"/>
      <c r="CS71" s="78"/>
      <c r="CT71" s="77"/>
      <c r="CU71" s="78"/>
      <c r="CV71" s="77"/>
      <c r="CW71" s="78"/>
      <c r="CX71" s="77"/>
      <c r="CY71" s="78"/>
      <c r="CZ71" s="77"/>
      <c r="DA71" s="78"/>
      <c r="DB71" s="77"/>
      <c r="DC71" s="78"/>
      <c r="DD71" s="77"/>
      <c r="DE71" s="78"/>
      <c r="DF71" s="77"/>
      <c r="DG71" s="78"/>
      <c r="DH71" s="77"/>
      <c r="DI71" s="78"/>
      <c r="DJ71" s="77"/>
      <c r="DK71" s="78"/>
      <c r="DL71" s="77"/>
      <c r="DM71" s="78"/>
      <c r="DN71" s="77"/>
      <c r="DO71" s="78"/>
      <c r="DP71" s="77"/>
      <c r="DQ71" s="78"/>
      <c r="DR71" s="77"/>
      <c r="DS71" s="78"/>
      <c r="DT71" s="77"/>
      <c r="DU71" s="78"/>
      <c r="DV71" s="77"/>
      <c r="DW71" s="78"/>
      <c r="DX71" s="77"/>
      <c r="DY71" s="78"/>
      <c r="DZ71" s="77"/>
      <c r="EA71" s="78"/>
      <c r="EB71" s="77"/>
      <c r="EC71" s="78"/>
      <c r="ED71" s="77"/>
      <c r="EE71" s="78"/>
      <c r="EF71" s="77"/>
      <c r="EG71" s="78"/>
      <c r="EH71" s="77"/>
      <c r="EI71" s="78"/>
      <c r="EJ71" s="77"/>
      <c r="EK71" s="78"/>
      <c r="EL71" s="77"/>
      <c r="EM71" s="78"/>
      <c r="EN71" s="77"/>
      <c r="EO71" s="78"/>
      <c r="EP71" s="77"/>
      <c r="EQ71" s="78"/>
      <c r="ER71" s="77"/>
      <c r="ES71" s="78"/>
      <c r="ET71" s="77"/>
      <c r="EU71" s="78"/>
      <c r="EV71" s="77"/>
      <c r="EW71" s="78"/>
      <c r="EX71"/>
      <c r="EY71"/>
      <c r="EZ71"/>
      <c r="FA71"/>
      <c r="FB71"/>
      <c r="FC71"/>
      <c r="FD71"/>
      <c r="FE71"/>
      <c r="FF71"/>
      <c r="FG71"/>
      <c r="FH71"/>
      <c r="FI71"/>
      <c r="FJ71"/>
      <c r="FK71"/>
      <c r="FL71"/>
      <c r="FM71"/>
      <c r="FN71"/>
      <c r="FO71"/>
      <c r="FP71"/>
      <c r="FQ71"/>
      <c r="FR71"/>
      <c r="FS71"/>
      <c r="FT71"/>
      <c r="FU71"/>
      <c r="FV71"/>
      <c r="FW71"/>
      <c r="FX71"/>
      <c r="FY71"/>
      <c r="FZ71"/>
      <c r="GA71"/>
      <c r="GB71"/>
      <c r="GC71"/>
      <c r="GD71"/>
      <c r="GE71"/>
      <c r="GF71"/>
      <c r="GG71"/>
      <c r="GH71"/>
      <c r="GI71"/>
      <c r="GJ71"/>
      <c r="GK71"/>
      <c r="GL71"/>
      <c r="GM71"/>
      <c r="GN71"/>
      <c r="GO71"/>
      <c r="GP71"/>
      <c r="GQ71"/>
      <c r="GR71"/>
      <c r="GS71"/>
      <c r="GT71"/>
      <c r="GU71"/>
      <c r="GV71"/>
      <c r="GW71"/>
      <c r="GX71"/>
      <c r="GY71"/>
      <c r="GZ71"/>
      <c r="HA71"/>
      <c r="HB71"/>
      <c r="HC71"/>
      <c r="HD71"/>
      <c r="HE71"/>
      <c r="HF71"/>
      <c r="HG71"/>
      <c r="HH71"/>
      <c r="HI71"/>
      <c r="HJ71"/>
      <c r="HK71"/>
      <c r="HL71"/>
      <c r="HM71"/>
      <c r="HN71"/>
      <c r="HO71"/>
      <c r="HP71"/>
      <c r="HQ71"/>
      <c r="HR71"/>
      <c r="HS71"/>
      <c r="HT71"/>
      <c r="HU71"/>
      <c r="HV71"/>
      <c r="HW71"/>
      <c r="HX71"/>
      <c r="HY71"/>
      <c r="HZ71"/>
      <c r="IA71"/>
      <c r="IB71"/>
      <c r="IC71"/>
      <c r="ID71"/>
      <c r="IE71"/>
      <c r="IF71"/>
      <c r="IG71"/>
      <c r="IH71"/>
      <c r="II71"/>
      <c r="IJ71"/>
      <c r="IK71"/>
      <c r="IL71"/>
      <c r="IM71"/>
      <c r="IN71"/>
      <c r="IO71"/>
      <c r="IP71"/>
      <c r="IQ71"/>
      <c r="IR71"/>
      <c r="IS71"/>
      <c r="IT71"/>
      <c r="IU71"/>
      <c r="IV71"/>
      <c r="IW71"/>
      <c r="IX71"/>
      <c r="IY71"/>
      <c r="IZ71"/>
      <c r="JA71"/>
      <c r="JB71"/>
      <c r="JC71"/>
      <c r="JD71"/>
      <c r="JE71"/>
      <c r="JF71"/>
      <c r="JG71"/>
      <c r="JH71"/>
      <c r="JI71"/>
      <c r="JJ71"/>
      <c r="JK71"/>
      <c r="JL71"/>
      <c r="JM71"/>
      <c r="JN71"/>
      <c r="JO71"/>
      <c r="JP71"/>
      <c r="JQ71"/>
      <c r="JR71"/>
      <c r="JS71"/>
      <c r="JT71"/>
      <c r="JU71"/>
      <c r="JV71"/>
      <c r="JW71"/>
      <c r="JX71"/>
      <c r="JY71"/>
      <c r="JZ71"/>
      <c r="KA71"/>
      <c r="KB71"/>
      <c r="KC71"/>
      <c r="KD71"/>
      <c r="KE71"/>
      <c r="KF71"/>
      <c r="KG71"/>
      <c r="KH71"/>
      <c r="KI71"/>
      <c r="KJ71"/>
      <c r="KK71"/>
      <c r="KL71"/>
      <c r="KM71"/>
      <c r="KN71"/>
      <c r="KO71"/>
      <c r="KP71"/>
      <c r="KQ71"/>
      <c r="KR71"/>
      <c r="KS71"/>
      <c r="KT71"/>
      <c r="KU71"/>
      <c r="KV71"/>
      <c r="KW71"/>
      <c r="KX71"/>
      <c r="KY71"/>
      <c r="KZ71"/>
      <c r="LA71"/>
      <c r="LB71"/>
      <c r="LC71"/>
      <c r="LD71"/>
      <c r="LE71"/>
      <c r="LF71"/>
      <c r="LG71"/>
      <c r="LH71"/>
      <c r="LI71"/>
      <c r="LJ71"/>
      <c r="LK71"/>
      <c r="LL71"/>
      <c r="LM71"/>
      <c r="LN71"/>
      <c r="LO71"/>
      <c r="LP71"/>
      <c r="LQ71"/>
      <c r="LR71"/>
      <c r="LS71"/>
      <c r="LT71"/>
      <c r="LU71"/>
      <c r="LV71"/>
      <c r="LW71"/>
      <c r="LX71"/>
      <c r="LY71"/>
      <c r="LZ71"/>
      <c r="MA71"/>
      <c r="MB71"/>
      <c r="MC71"/>
      <c r="MD71"/>
      <c r="ME71"/>
      <c r="MF71"/>
      <c r="MG71"/>
      <c r="MH71"/>
      <c r="MI71"/>
      <c r="MJ71"/>
      <c r="MK71"/>
      <c r="ML71"/>
    </row>
    <row r="72" spans="1:350" s="233" customFormat="1" ht="15" customHeight="1" x14ac:dyDescent="0.3">
      <c r="A72" s="77">
        <f>_xlfn.XLOOKUP(DADOS!$B$3,DADOS!$D$2:$DI$2,DADOS!$D72:$DI72,"",0)</f>
        <v>0</v>
      </c>
      <c r="B72" s="78">
        <f>_xlfn.XLOOKUP(DADOS!$B$3,DADOS!$E$112:$AS$112,DADOS!$E180:$AS180,"",0)</f>
        <v>0</v>
      </c>
      <c r="C72" s="295" t="s">
        <v>252</v>
      </c>
      <c r="D72" s="280"/>
      <c r="E72" s="78" cm="1">
        <f t="array" ref="E72">_xlfn.XLOOKUP(D$2,$D$112:$BF$112,$D180:BF180,0,0)</f>
        <v>0</v>
      </c>
      <c r="F72" s="280"/>
      <c r="G72" s="78">
        <f t="shared" si="55"/>
        <v>0</v>
      </c>
      <c r="H72" s="280"/>
      <c r="I72" s="78">
        <f t="shared" si="56"/>
        <v>0</v>
      </c>
      <c r="J72" s="280">
        <v>0</v>
      </c>
      <c r="K72" s="78">
        <f t="shared" si="57"/>
        <v>0</v>
      </c>
      <c r="L72" s="280"/>
      <c r="M72" s="78">
        <f t="shared" si="57"/>
        <v>0</v>
      </c>
      <c r="N72" s="280"/>
      <c r="O72" s="78">
        <f t="shared" si="58"/>
        <v>0</v>
      </c>
      <c r="P72" s="280"/>
      <c r="Q72" s="78">
        <f t="shared" si="59"/>
        <v>0</v>
      </c>
      <c r="R72" s="280"/>
      <c r="S72" s="78">
        <f t="shared" si="60"/>
        <v>0</v>
      </c>
      <c r="T72" s="280"/>
      <c r="U72" s="78">
        <f t="shared" si="61"/>
        <v>0</v>
      </c>
      <c r="V72" s="280"/>
      <c r="W72" s="78">
        <f t="shared" si="62"/>
        <v>0</v>
      </c>
      <c r="X72" s="280"/>
      <c r="Y72" s="78"/>
      <c r="Z72" s="280"/>
      <c r="AA72" s="78"/>
      <c r="AB72" s="280"/>
      <c r="AC72" s="78"/>
      <c r="AD72" s="280"/>
      <c r="AE72" s="78"/>
      <c r="AF72" s="280"/>
      <c r="AG72" s="78"/>
      <c r="AH72" s="280"/>
      <c r="AI72" s="78"/>
      <c r="AJ72" s="280"/>
      <c r="AK72" s="78"/>
      <c r="AL72" s="280"/>
      <c r="AM72" s="78"/>
      <c r="AN72" s="280"/>
      <c r="AO72" s="78"/>
      <c r="AP72" s="280"/>
      <c r="AQ72" s="78"/>
      <c r="AR72" s="280"/>
      <c r="AS72" s="78"/>
      <c r="AT72" s="280"/>
      <c r="AU72" s="78"/>
      <c r="AV72" s="280"/>
      <c r="AW72" s="78"/>
      <c r="AX72" s="280"/>
      <c r="AY72" s="78"/>
      <c r="AZ72" s="280"/>
      <c r="BA72" s="78"/>
      <c r="BB72" s="280"/>
      <c r="BC72" s="78"/>
      <c r="BD72" s="280"/>
      <c r="BE72" s="78"/>
      <c r="BF72" s="280"/>
      <c r="BG72" s="78"/>
      <c r="BH72" s="280"/>
      <c r="BI72" s="78"/>
      <c r="BJ72" s="280"/>
      <c r="BK72" s="78"/>
      <c r="BL72" s="280"/>
      <c r="BM72" s="78"/>
      <c r="BN72" s="280"/>
      <c r="BO72" s="78"/>
      <c r="BP72" s="280"/>
      <c r="BQ72" s="78"/>
      <c r="BR72" s="280"/>
      <c r="BS72" s="78"/>
      <c r="BT72" s="280"/>
      <c r="BU72" s="78"/>
      <c r="BV72" s="280"/>
      <c r="BW72" s="78"/>
      <c r="BX72" s="280"/>
      <c r="BY72" s="78"/>
      <c r="BZ72" s="280"/>
      <c r="CA72" s="78"/>
      <c r="CB72" s="280"/>
      <c r="CC72" s="78"/>
      <c r="CD72" s="280"/>
      <c r="CE72" s="78"/>
      <c r="CF72" s="280"/>
      <c r="CG72" s="78"/>
      <c r="CH72" s="280"/>
      <c r="CI72" s="78"/>
      <c r="CJ72" s="280"/>
      <c r="CK72" s="78"/>
      <c r="CL72" s="280"/>
      <c r="CM72" s="78"/>
      <c r="CN72" s="280"/>
      <c r="CO72" s="78"/>
      <c r="CP72" s="77"/>
      <c r="CQ72" s="78"/>
      <c r="CR72" s="77"/>
      <c r="CS72" s="78"/>
      <c r="CT72" s="77"/>
      <c r="CU72" s="78"/>
      <c r="CV72" s="77"/>
      <c r="CW72" s="78"/>
      <c r="CX72" s="77"/>
      <c r="CY72" s="78"/>
      <c r="CZ72" s="77"/>
      <c r="DA72" s="78"/>
      <c r="DB72" s="77"/>
      <c r="DC72" s="78"/>
      <c r="DD72" s="77"/>
      <c r="DE72" s="78"/>
      <c r="DF72" s="77"/>
      <c r="DG72" s="78"/>
      <c r="DH72" s="77"/>
      <c r="DI72" s="78"/>
      <c r="DJ72" s="77"/>
      <c r="DK72" s="78"/>
      <c r="DL72" s="77"/>
      <c r="DM72" s="78"/>
      <c r="DN72" s="77"/>
      <c r="DO72" s="78"/>
      <c r="DP72" s="77"/>
      <c r="DQ72" s="78"/>
      <c r="DR72" s="77"/>
      <c r="DS72" s="78"/>
      <c r="DT72" s="77"/>
      <c r="DU72" s="78"/>
      <c r="DV72" s="77"/>
      <c r="DW72" s="78"/>
      <c r="DX72" s="77"/>
      <c r="DY72" s="78"/>
      <c r="DZ72" s="77"/>
      <c r="EA72" s="78"/>
      <c r="EB72" s="77"/>
      <c r="EC72" s="78"/>
      <c r="ED72" s="77"/>
      <c r="EE72" s="78"/>
      <c r="EF72" s="77"/>
      <c r="EG72" s="78"/>
      <c r="EH72" s="77"/>
      <c r="EI72" s="78"/>
      <c r="EJ72" s="77"/>
      <c r="EK72" s="78"/>
      <c r="EL72" s="77"/>
      <c r="EM72" s="78"/>
      <c r="EN72" s="77"/>
      <c r="EO72" s="78"/>
      <c r="EP72" s="77"/>
      <c r="EQ72" s="78"/>
      <c r="ER72" s="77"/>
      <c r="ES72" s="78"/>
      <c r="ET72" s="77"/>
      <c r="EU72" s="78"/>
      <c r="EV72" s="77"/>
      <c r="EW72" s="78"/>
      <c r="EX72"/>
      <c r="EY72"/>
      <c r="EZ72"/>
      <c r="FA72"/>
      <c r="FB72"/>
      <c r="FC72"/>
      <c r="FD72"/>
      <c r="FE72"/>
      <c r="FF72"/>
      <c r="FG72"/>
      <c r="FH72"/>
      <c r="FI72"/>
      <c r="FJ72"/>
      <c r="FK72"/>
      <c r="FL72"/>
      <c r="FM72"/>
      <c r="FN72"/>
      <c r="FO72"/>
      <c r="FP72"/>
      <c r="FQ72"/>
      <c r="FR72"/>
      <c r="FS72"/>
      <c r="FT72"/>
      <c r="FU72"/>
      <c r="FV72"/>
      <c r="FW72"/>
      <c r="FX72"/>
      <c r="FY72"/>
      <c r="FZ72"/>
      <c r="GA72"/>
      <c r="GB72"/>
      <c r="GC72"/>
      <c r="GD72"/>
      <c r="GE72"/>
      <c r="GF72"/>
      <c r="GG72"/>
      <c r="GH72"/>
      <c r="GI72"/>
      <c r="GJ72"/>
      <c r="GK72"/>
      <c r="GL72"/>
      <c r="GM72"/>
      <c r="GN72"/>
      <c r="GO72"/>
      <c r="GP72"/>
      <c r="GQ72"/>
      <c r="GR72"/>
      <c r="GS72"/>
      <c r="GT72"/>
      <c r="GU72"/>
      <c r="GV72"/>
      <c r="GW72"/>
      <c r="GX72"/>
      <c r="GY72"/>
      <c r="GZ72"/>
      <c r="HA72"/>
      <c r="HB72"/>
      <c r="HC72"/>
      <c r="HD72"/>
      <c r="HE72"/>
      <c r="HF72"/>
      <c r="HG72"/>
      <c r="HH72"/>
      <c r="HI72"/>
      <c r="HJ72"/>
      <c r="HK72"/>
      <c r="HL72"/>
      <c r="HM72"/>
      <c r="HN72"/>
      <c r="HO72"/>
      <c r="HP72"/>
      <c r="HQ72"/>
      <c r="HR72"/>
      <c r="HS72"/>
      <c r="HT72"/>
      <c r="HU72"/>
      <c r="HV72"/>
      <c r="HW72"/>
      <c r="HX72"/>
      <c r="HY72"/>
      <c r="HZ72"/>
      <c r="IA72"/>
      <c r="IB72"/>
      <c r="IC72"/>
      <c r="ID72"/>
      <c r="IE72"/>
      <c r="IF72"/>
      <c r="IG72"/>
      <c r="IH72"/>
      <c r="II72"/>
      <c r="IJ72"/>
      <c r="IK72"/>
      <c r="IL72"/>
      <c r="IM72"/>
      <c r="IN72"/>
      <c r="IO72"/>
      <c r="IP72"/>
      <c r="IQ72"/>
      <c r="IR72"/>
      <c r="IS72"/>
      <c r="IT72"/>
      <c r="IU72"/>
      <c r="IV72"/>
      <c r="IW72"/>
      <c r="IX72"/>
      <c r="IY72"/>
      <c r="IZ72"/>
      <c r="JA72"/>
      <c r="JB72"/>
      <c r="JC72"/>
      <c r="JD72"/>
      <c r="JE72"/>
      <c r="JF72"/>
      <c r="JG72"/>
      <c r="JH72"/>
      <c r="JI72"/>
      <c r="JJ72"/>
      <c r="JK72"/>
      <c r="JL72"/>
      <c r="JM72"/>
      <c r="JN72"/>
      <c r="JO72"/>
      <c r="JP72"/>
      <c r="JQ72"/>
      <c r="JR72"/>
      <c r="JS72"/>
      <c r="JT72"/>
      <c r="JU72"/>
      <c r="JV72"/>
      <c r="JW72"/>
      <c r="JX72"/>
      <c r="JY72"/>
      <c r="JZ72"/>
      <c r="KA72"/>
      <c r="KB72"/>
      <c r="KC72"/>
      <c r="KD72"/>
      <c r="KE72"/>
      <c r="KF72"/>
      <c r="KG72"/>
      <c r="KH72"/>
      <c r="KI72"/>
      <c r="KJ72"/>
      <c r="KK72"/>
      <c r="KL72"/>
      <c r="KM72"/>
      <c r="KN72"/>
      <c r="KO72"/>
      <c r="KP72"/>
      <c r="KQ72"/>
      <c r="KR72"/>
      <c r="KS72"/>
      <c r="KT72"/>
      <c r="KU72"/>
      <c r="KV72"/>
      <c r="KW72"/>
      <c r="KX72"/>
      <c r="KY72"/>
      <c r="KZ72"/>
      <c r="LA72"/>
      <c r="LB72"/>
      <c r="LC72"/>
      <c r="LD72"/>
      <c r="LE72"/>
      <c r="LF72"/>
      <c r="LG72"/>
      <c r="LH72"/>
      <c r="LI72"/>
      <c r="LJ72"/>
      <c r="LK72"/>
      <c r="LL72"/>
      <c r="LM72"/>
      <c r="LN72"/>
      <c r="LO72"/>
      <c r="LP72"/>
      <c r="LQ72"/>
      <c r="LR72"/>
      <c r="LS72"/>
      <c r="LT72"/>
      <c r="LU72"/>
      <c r="LV72"/>
      <c r="LW72"/>
      <c r="LX72"/>
      <c r="LY72"/>
      <c r="LZ72"/>
      <c r="MA72"/>
      <c r="MB72"/>
      <c r="MC72"/>
      <c r="MD72"/>
      <c r="ME72"/>
      <c r="MF72"/>
      <c r="MG72"/>
      <c r="MH72"/>
      <c r="MI72"/>
      <c r="MJ72"/>
      <c r="MK72"/>
      <c r="ML72"/>
    </row>
    <row r="73" spans="1:350" s="233" customFormat="1" ht="15" customHeight="1" x14ac:dyDescent="0.3">
      <c r="A73" s="77">
        <f>_xlfn.XLOOKUP(DADOS!$B$3,DADOS!$D$2:$DI$2,DADOS!$D73:$DI73,"",0)</f>
        <v>0</v>
      </c>
      <c r="B73" s="78">
        <f>_xlfn.XLOOKUP(DADOS!$B$3,DADOS!$E$112:$AS$112,DADOS!$E181:$AS181,"",0)</f>
        <v>0</v>
      </c>
      <c r="C73" s="295" t="s">
        <v>241</v>
      </c>
      <c r="D73" s="289"/>
      <c r="E73" s="78" cm="1">
        <f t="array" ref="E73">_xlfn.XLOOKUP(D$2,$D$112:$BF$112,$D181:BF181,0,0)</f>
        <v>0</v>
      </c>
      <c r="F73" s="289"/>
      <c r="G73" s="78">
        <f t="shared" si="55"/>
        <v>0</v>
      </c>
      <c r="H73" s="289"/>
      <c r="I73" s="78">
        <f t="shared" si="56"/>
        <v>0</v>
      </c>
      <c r="J73" s="289">
        <v>0</v>
      </c>
      <c r="K73" s="78">
        <f t="shared" si="57"/>
        <v>0</v>
      </c>
      <c r="L73" s="289"/>
      <c r="M73" s="78">
        <f t="shared" si="57"/>
        <v>0</v>
      </c>
      <c r="N73" s="289"/>
      <c r="O73" s="78">
        <f t="shared" si="58"/>
        <v>0</v>
      </c>
      <c r="P73" s="289"/>
      <c r="Q73" s="78">
        <f t="shared" si="59"/>
        <v>0</v>
      </c>
      <c r="R73" s="289"/>
      <c r="S73" s="78">
        <f t="shared" si="60"/>
        <v>0</v>
      </c>
      <c r="T73" s="289"/>
      <c r="U73" s="78">
        <f t="shared" si="61"/>
        <v>0</v>
      </c>
      <c r="V73" s="289"/>
      <c r="W73" s="78">
        <f t="shared" si="62"/>
        <v>0</v>
      </c>
      <c r="X73" s="289"/>
      <c r="Y73" s="78"/>
      <c r="Z73" s="289"/>
      <c r="AA73" s="78"/>
      <c r="AB73" s="289"/>
      <c r="AC73" s="78"/>
      <c r="AD73" s="280"/>
      <c r="AE73" s="78"/>
      <c r="AF73" s="280"/>
      <c r="AG73" s="78"/>
      <c r="AH73" s="280"/>
      <c r="AI73" s="78"/>
      <c r="AJ73" s="280"/>
      <c r="AK73" s="78"/>
      <c r="AL73" s="280"/>
      <c r="AM73" s="78"/>
      <c r="AN73" s="280"/>
      <c r="AO73" s="78"/>
      <c r="AP73" s="280"/>
      <c r="AQ73" s="78"/>
      <c r="AR73" s="280"/>
      <c r="AS73" s="78"/>
      <c r="AT73" s="280"/>
      <c r="AU73" s="78"/>
      <c r="AV73" s="280"/>
      <c r="AW73" s="78"/>
      <c r="AX73" s="280"/>
      <c r="AY73" s="78"/>
      <c r="AZ73" s="280"/>
      <c r="BA73" s="78"/>
      <c r="BB73" s="280"/>
      <c r="BC73" s="78"/>
      <c r="BD73" s="280"/>
      <c r="BE73" s="78"/>
      <c r="BF73" s="280"/>
      <c r="BG73" s="78"/>
      <c r="BH73" s="280"/>
      <c r="BI73" s="78"/>
      <c r="BJ73" s="280"/>
      <c r="BK73" s="78"/>
      <c r="BL73" s="280"/>
      <c r="BM73" s="78"/>
      <c r="BN73" s="280"/>
      <c r="BO73" s="78"/>
      <c r="BP73" s="280"/>
      <c r="BQ73" s="78"/>
      <c r="BR73" s="280"/>
      <c r="BS73" s="78"/>
      <c r="BT73" s="280"/>
      <c r="BU73" s="78"/>
      <c r="BV73" s="280"/>
      <c r="BW73" s="78"/>
      <c r="BX73" s="280"/>
      <c r="BY73" s="78"/>
      <c r="BZ73" s="280"/>
      <c r="CA73" s="78"/>
      <c r="CB73" s="280"/>
      <c r="CC73" s="78"/>
      <c r="CD73" s="280"/>
      <c r="CE73" s="78"/>
      <c r="CF73" s="280"/>
      <c r="CG73" s="78"/>
      <c r="CH73" s="280"/>
      <c r="CI73" s="78"/>
      <c r="CJ73" s="280"/>
      <c r="CK73" s="78"/>
      <c r="CL73" s="280"/>
      <c r="CM73" s="78"/>
      <c r="CN73" s="280"/>
      <c r="CO73" s="78"/>
      <c r="CP73" s="77"/>
      <c r="CQ73" s="78"/>
      <c r="CR73" s="77"/>
      <c r="CS73" s="78"/>
      <c r="CT73" s="77"/>
      <c r="CU73" s="78"/>
      <c r="CV73" s="77"/>
      <c r="CW73" s="78"/>
      <c r="CX73" s="77"/>
      <c r="CY73" s="78"/>
      <c r="CZ73" s="77"/>
      <c r="DA73" s="78"/>
      <c r="DB73" s="77"/>
      <c r="DC73" s="78"/>
      <c r="DD73" s="77"/>
      <c r="DE73" s="78"/>
      <c r="DF73" s="77"/>
      <c r="DG73" s="78"/>
      <c r="DH73" s="77"/>
      <c r="DI73" s="78"/>
      <c r="DJ73" s="77"/>
      <c r="DK73" s="78"/>
      <c r="DL73" s="77"/>
      <c r="DM73" s="78"/>
      <c r="DN73" s="77"/>
      <c r="DO73" s="78"/>
      <c r="DP73" s="77"/>
      <c r="DQ73" s="78"/>
      <c r="DR73" s="77"/>
      <c r="DS73" s="78"/>
      <c r="DT73" s="77"/>
      <c r="DU73" s="78"/>
      <c r="DV73" s="77"/>
      <c r="DW73" s="78"/>
      <c r="DX73" s="77"/>
      <c r="DY73" s="78"/>
      <c r="DZ73" s="77"/>
      <c r="EA73" s="78"/>
      <c r="EB73" s="77"/>
      <c r="EC73" s="78"/>
      <c r="ED73" s="77"/>
      <c r="EE73" s="78"/>
      <c r="EF73" s="77"/>
      <c r="EG73" s="78"/>
      <c r="EH73" s="77"/>
      <c r="EI73" s="78"/>
      <c r="EJ73" s="77"/>
      <c r="EK73" s="78"/>
      <c r="EL73" s="77"/>
      <c r="EM73" s="78"/>
      <c r="EN73" s="77"/>
      <c r="EO73" s="78"/>
      <c r="EP73" s="77"/>
      <c r="EQ73" s="78"/>
      <c r="ER73" s="77"/>
      <c r="ES73" s="78"/>
      <c r="ET73" s="77"/>
      <c r="EU73" s="78"/>
      <c r="EV73" s="77"/>
      <c r="EW73" s="78"/>
      <c r="EX73"/>
      <c r="EY73"/>
      <c r="EZ73"/>
      <c r="FA73"/>
      <c r="FB73"/>
      <c r="FC73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/>
      <c r="FR73"/>
      <c r="FS73"/>
      <c r="FT73"/>
      <c r="FU73"/>
      <c r="FV73"/>
      <c r="FW73"/>
      <c r="FX73"/>
      <c r="FY73"/>
      <c r="FZ73"/>
      <c r="GA73"/>
      <c r="GB73"/>
      <c r="GC73"/>
      <c r="GD73"/>
      <c r="GE73"/>
      <c r="GF73"/>
      <c r="GG73"/>
      <c r="GH73"/>
      <c r="GI73"/>
      <c r="GJ73"/>
      <c r="GK73"/>
      <c r="GL73"/>
      <c r="GM73"/>
      <c r="GN73"/>
      <c r="GO73"/>
      <c r="GP73"/>
      <c r="GQ73"/>
      <c r="GR73"/>
      <c r="GS73"/>
      <c r="GT73"/>
      <c r="GU73"/>
      <c r="GV73"/>
      <c r="GW73"/>
      <c r="GX73"/>
      <c r="GY73"/>
      <c r="GZ73"/>
      <c r="HA73"/>
      <c r="HB73"/>
      <c r="HC73"/>
      <c r="HD73"/>
      <c r="HE73"/>
      <c r="HF73"/>
      <c r="HG73"/>
      <c r="HH73"/>
      <c r="HI73"/>
      <c r="HJ73"/>
      <c r="HK73"/>
      <c r="HL73"/>
      <c r="HM73"/>
      <c r="HN73"/>
      <c r="HO73"/>
      <c r="HP73"/>
      <c r="HQ73"/>
      <c r="HR73"/>
      <c r="HS73"/>
      <c r="HT73"/>
      <c r="HU73"/>
      <c r="HV73"/>
      <c r="HW73"/>
      <c r="HX73"/>
      <c r="HY73"/>
      <c r="HZ73"/>
      <c r="IA73"/>
      <c r="IB73"/>
      <c r="IC73"/>
      <c r="ID73"/>
      <c r="IE73"/>
      <c r="IF73"/>
      <c r="IG73"/>
      <c r="IH73"/>
      <c r="II73"/>
      <c r="IJ73"/>
      <c r="IK73"/>
      <c r="IL73"/>
      <c r="IM73"/>
      <c r="IN73"/>
      <c r="IO73"/>
      <c r="IP73"/>
      <c r="IQ73"/>
      <c r="IR73"/>
      <c r="IS73"/>
      <c r="IT73"/>
      <c r="IU73"/>
      <c r="IV73"/>
      <c r="IW73"/>
      <c r="IX73"/>
      <c r="IY73"/>
      <c r="IZ73"/>
      <c r="JA73"/>
      <c r="JB73"/>
      <c r="JC73"/>
      <c r="JD73"/>
      <c r="JE73"/>
      <c r="JF73"/>
      <c r="JG73"/>
      <c r="JH73"/>
      <c r="JI73"/>
      <c r="JJ73"/>
      <c r="JK73"/>
      <c r="JL73"/>
      <c r="JM73"/>
      <c r="JN73"/>
      <c r="JO73"/>
      <c r="JP73"/>
      <c r="JQ73"/>
      <c r="JR73"/>
      <c r="JS73"/>
      <c r="JT73"/>
      <c r="JU73"/>
      <c r="JV73"/>
      <c r="JW73"/>
      <c r="JX73"/>
      <c r="JY73"/>
      <c r="JZ73"/>
      <c r="KA73"/>
      <c r="KB73"/>
      <c r="KC73"/>
      <c r="KD73"/>
      <c r="KE73"/>
      <c r="KF73"/>
      <c r="KG73"/>
      <c r="KH73"/>
      <c r="KI73"/>
      <c r="KJ73"/>
      <c r="KK73"/>
      <c r="KL73"/>
      <c r="KM73"/>
      <c r="KN73"/>
      <c r="KO73"/>
      <c r="KP73"/>
      <c r="KQ73"/>
      <c r="KR73"/>
      <c r="KS73"/>
      <c r="KT73"/>
      <c r="KU73"/>
      <c r="KV73"/>
      <c r="KW73"/>
      <c r="KX73"/>
      <c r="KY73"/>
      <c r="KZ73"/>
      <c r="LA73"/>
      <c r="LB73"/>
      <c r="LC73"/>
      <c r="LD73"/>
      <c r="LE73"/>
      <c r="LF73"/>
      <c r="LG73"/>
      <c r="LH73"/>
      <c r="LI73"/>
      <c r="LJ73"/>
      <c r="LK73"/>
      <c r="LL73"/>
      <c r="LM73"/>
      <c r="LN73"/>
      <c r="LO73"/>
      <c r="LP73"/>
      <c r="LQ73"/>
      <c r="LR73"/>
      <c r="LS73"/>
      <c r="LT73"/>
      <c r="LU73"/>
      <c r="LV73"/>
      <c r="LW73"/>
      <c r="LX73"/>
      <c r="LY73"/>
      <c r="LZ73"/>
      <c r="MA73"/>
      <c r="MB73"/>
      <c r="MC73"/>
      <c r="MD73"/>
      <c r="ME73"/>
      <c r="MF73"/>
      <c r="MG73"/>
      <c r="MH73"/>
      <c r="MI73"/>
      <c r="MJ73"/>
      <c r="MK73"/>
      <c r="ML73"/>
    </row>
    <row r="74" spans="1:350" s="233" customFormat="1" ht="15" customHeight="1" x14ac:dyDescent="0.3">
      <c r="A74" s="77">
        <f>_xlfn.XLOOKUP(DADOS!$B$3,DADOS!$D$2:$DI$2,DADOS!$D74:$DI74,"",0)</f>
        <v>0</v>
      </c>
      <c r="B74" s="78">
        <f>_xlfn.XLOOKUP(DADOS!$B$3,DADOS!$E$112:$AS$112,DADOS!$E182:$AS182,"",0)</f>
        <v>0</v>
      </c>
      <c r="C74" s="295" t="s">
        <v>242</v>
      </c>
      <c r="D74" s="290"/>
      <c r="E74" s="78" cm="1">
        <f t="array" ref="E74">_xlfn.XLOOKUP(D$2,$D$112:$BF$112,$D182:BF182,0,0)</f>
        <v>0</v>
      </c>
      <c r="F74" s="290"/>
      <c r="G74" s="78">
        <f t="shared" si="55"/>
        <v>0</v>
      </c>
      <c r="H74" s="290"/>
      <c r="I74" s="78">
        <f t="shared" si="56"/>
        <v>0</v>
      </c>
      <c r="J74" s="290">
        <v>0</v>
      </c>
      <c r="K74" s="78">
        <f t="shared" si="57"/>
        <v>0</v>
      </c>
      <c r="L74" s="290"/>
      <c r="M74" s="78">
        <f t="shared" si="57"/>
        <v>0</v>
      </c>
      <c r="N74" s="290"/>
      <c r="O74" s="78">
        <f t="shared" si="58"/>
        <v>0</v>
      </c>
      <c r="P74" s="290"/>
      <c r="Q74" s="78">
        <f t="shared" si="59"/>
        <v>0</v>
      </c>
      <c r="R74" s="290"/>
      <c r="S74" s="78">
        <f t="shared" si="60"/>
        <v>0</v>
      </c>
      <c r="T74" s="290"/>
      <c r="U74" s="78">
        <f t="shared" si="61"/>
        <v>0</v>
      </c>
      <c r="V74" s="290"/>
      <c r="W74" s="78">
        <f t="shared" si="62"/>
        <v>0</v>
      </c>
      <c r="X74" s="290"/>
      <c r="Y74" s="78"/>
      <c r="Z74" s="290"/>
      <c r="AA74" s="78"/>
      <c r="AB74" s="290"/>
      <c r="AC74" s="78"/>
      <c r="AD74" s="280"/>
      <c r="AE74" s="78"/>
      <c r="AF74" s="280"/>
      <c r="AG74" s="78"/>
      <c r="AH74" s="280"/>
      <c r="AI74" s="78"/>
      <c r="AJ74" s="280"/>
      <c r="AK74" s="78"/>
      <c r="AL74" s="280"/>
      <c r="AM74" s="78"/>
      <c r="AN74" s="280"/>
      <c r="AO74" s="78"/>
      <c r="AP74" s="280"/>
      <c r="AQ74" s="78"/>
      <c r="AR74" s="280"/>
      <c r="AS74" s="78"/>
      <c r="AT74" s="280"/>
      <c r="AU74" s="78"/>
      <c r="AV74" s="280"/>
      <c r="AW74" s="78"/>
      <c r="AX74" s="280"/>
      <c r="AY74" s="78"/>
      <c r="AZ74" s="280"/>
      <c r="BA74" s="78"/>
      <c r="BB74" s="280"/>
      <c r="BC74" s="78"/>
      <c r="BD74" s="280"/>
      <c r="BE74" s="78"/>
      <c r="BF74" s="280"/>
      <c r="BG74" s="78"/>
      <c r="BH74" s="280"/>
      <c r="BI74" s="78"/>
      <c r="BJ74" s="280"/>
      <c r="BK74" s="78"/>
      <c r="BL74" s="280"/>
      <c r="BM74" s="78"/>
      <c r="BN74" s="280"/>
      <c r="BO74" s="78"/>
      <c r="BP74" s="280"/>
      <c r="BQ74" s="78"/>
      <c r="BR74" s="280"/>
      <c r="BS74" s="78"/>
      <c r="BT74" s="280"/>
      <c r="BU74" s="78"/>
      <c r="BV74" s="280"/>
      <c r="BW74" s="78"/>
      <c r="BX74" s="280"/>
      <c r="BY74" s="78"/>
      <c r="BZ74" s="280"/>
      <c r="CA74" s="78"/>
      <c r="CB74" s="280"/>
      <c r="CC74" s="78"/>
      <c r="CD74" s="280"/>
      <c r="CE74" s="78"/>
      <c r="CF74" s="280"/>
      <c r="CG74" s="78"/>
      <c r="CH74" s="280"/>
      <c r="CI74" s="78"/>
      <c r="CJ74" s="280"/>
      <c r="CK74" s="78"/>
      <c r="CL74" s="280"/>
      <c r="CM74" s="78"/>
      <c r="CN74" s="280"/>
      <c r="CO74" s="78"/>
      <c r="CP74" s="77"/>
      <c r="CQ74" s="78"/>
      <c r="CR74" s="77"/>
      <c r="CS74" s="78"/>
      <c r="CT74" s="77"/>
      <c r="CU74" s="78"/>
      <c r="CV74" s="77"/>
      <c r="CW74" s="78"/>
      <c r="CX74" s="77"/>
      <c r="CY74" s="78"/>
      <c r="CZ74" s="77"/>
      <c r="DA74" s="78"/>
      <c r="DB74" s="77"/>
      <c r="DC74" s="78"/>
      <c r="DD74" s="77"/>
      <c r="DE74" s="78"/>
      <c r="DF74" s="77"/>
      <c r="DG74" s="78"/>
      <c r="DH74" s="77"/>
      <c r="DI74" s="78"/>
      <c r="DJ74" s="77"/>
      <c r="DK74" s="78"/>
      <c r="DL74" s="77"/>
      <c r="DM74" s="78"/>
      <c r="DN74" s="77"/>
      <c r="DO74" s="78"/>
      <c r="DP74" s="77"/>
      <c r="DQ74" s="78"/>
      <c r="DR74" s="77"/>
      <c r="DS74" s="78"/>
      <c r="DT74" s="77"/>
      <c r="DU74" s="78"/>
      <c r="DV74" s="77"/>
      <c r="DW74" s="78"/>
      <c r="DX74" s="77"/>
      <c r="DY74" s="78"/>
      <c r="DZ74" s="77"/>
      <c r="EA74" s="78"/>
      <c r="EB74" s="77"/>
      <c r="EC74" s="78"/>
      <c r="ED74" s="77"/>
      <c r="EE74" s="78"/>
      <c r="EF74" s="77"/>
      <c r="EG74" s="78"/>
      <c r="EH74" s="77"/>
      <c r="EI74" s="78"/>
      <c r="EJ74" s="77"/>
      <c r="EK74" s="78"/>
      <c r="EL74" s="77"/>
      <c r="EM74" s="78"/>
      <c r="EN74" s="77"/>
      <c r="EO74" s="78"/>
      <c r="EP74" s="77"/>
      <c r="EQ74" s="78"/>
      <c r="ER74" s="77"/>
      <c r="ES74" s="78"/>
      <c r="ET74" s="77"/>
      <c r="EU74" s="78"/>
      <c r="EV74" s="77"/>
      <c r="EW74" s="78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/>
      <c r="GL74"/>
      <c r="GM74"/>
      <c r="GN74"/>
      <c r="GO74"/>
      <c r="GP74"/>
      <c r="GQ74"/>
      <c r="GR74"/>
      <c r="GS74"/>
      <c r="GT74"/>
      <c r="GU74"/>
      <c r="GV74"/>
      <c r="GW74"/>
      <c r="GX74"/>
      <c r="GY74"/>
      <c r="GZ74"/>
      <c r="HA74"/>
      <c r="HB74"/>
      <c r="HC74"/>
      <c r="HD74"/>
      <c r="HE74"/>
      <c r="HF74"/>
      <c r="HG74"/>
      <c r="HH74"/>
      <c r="HI74"/>
      <c r="HJ74"/>
      <c r="HK74"/>
      <c r="HL74"/>
      <c r="HM74"/>
      <c r="HN74"/>
      <c r="HO74"/>
      <c r="HP74"/>
      <c r="HQ74"/>
      <c r="HR74"/>
      <c r="HS74"/>
      <c r="HT74"/>
      <c r="HU74"/>
      <c r="HV74"/>
      <c r="HW74"/>
      <c r="HX74"/>
      <c r="HY74"/>
      <c r="HZ74"/>
      <c r="IA74"/>
      <c r="IB74"/>
      <c r="IC74"/>
      <c r="ID74"/>
      <c r="IE74"/>
      <c r="IF74"/>
      <c r="IG74"/>
      <c r="IH74"/>
      <c r="II74"/>
      <c r="IJ74"/>
      <c r="IK74"/>
      <c r="IL74"/>
      <c r="IM74"/>
      <c r="IN74"/>
      <c r="IO74"/>
      <c r="IP74"/>
      <c r="IQ74"/>
      <c r="IR74"/>
      <c r="IS74"/>
      <c r="IT74"/>
      <c r="IU74"/>
      <c r="IV74"/>
      <c r="IW74"/>
      <c r="IX74"/>
      <c r="IY74"/>
      <c r="IZ74"/>
      <c r="JA74"/>
      <c r="JB74"/>
      <c r="JC74"/>
      <c r="JD74"/>
      <c r="JE74"/>
      <c r="JF74"/>
      <c r="JG74"/>
      <c r="JH74"/>
      <c r="JI74"/>
      <c r="JJ74"/>
      <c r="JK74"/>
      <c r="JL74"/>
      <c r="JM74"/>
      <c r="JN74"/>
      <c r="JO74"/>
      <c r="JP74"/>
      <c r="JQ74"/>
      <c r="JR74"/>
      <c r="JS74"/>
      <c r="JT74"/>
      <c r="JU74"/>
      <c r="JV74"/>
      <c r="JW74"/>
      <c r="JX74"/>
      <c r="JY74"/>
      <c r="JZ74"/>
      <c r="KA74"/>
      <c r="KB74"/>
      <c r="KC74"/>
      <c r="KD74"/>
      <c r="KE74"/>
      <c r="KF74"/>
      <c r="KG74"/>
      <c r="KH74"/>
      <c r="KI74"/>
      <c r="KJ74"/>
      <c r="KK74"/>
      <c r="KL74"/>
      <c r="KM74"/>
      <c r="KN74"/>
      <c r="KO74"/>
      <c r="KP74"/>
      <c r="KQ74"/>
      <c r="KR74"/>
      <c r="KS74"/>
      <c r="KT74"/>
      <c r="KU74"/>
      <c r="KV74"/>
      <c r="KW74"/>
      <c r="KX74"/>
      <c r="KY74"/>
      <c r="KZ74"/>
      <c r="LA74"/>
      <c r="LB74"/>
      <c r="LC74"/>
      <c r="LD74"/>
      <c r="LE74"/>
      <c r="LF74"/>
      <c r="LG74"/>
      <c r="LH74"/>
      <c r="LI74"/>
      <c r="LJ74"/>
      <c r="LK74"/>
      <c r="LL74"/>
      <c r="LM74"/>
      <c r="LN74"/>
      <c r="LO74"/>
      <c r="LP74"/>
      <c r="LQ74"/>
      <c r="LR74"/>
      <c r="LS74"/>
      <c r="LT74"/>
      <c r="LU74"/>
      <c r="LV74"/>
      <c r="LW74"/>
      <c r="LX74"/>
      <c r="LY74"/>
      <c r="LZ74"/>
      <c r="MA74"/>
      <c r="MB74"/>
      <c r="MC74"/>
      <c r="MD74"/>
      <c r="ME74"/>
      <c r="MF74"/>
      <c r="MG74"/>
      <c r="MH74"/>
      <c r="MI74"/>
      <c r="MJ74"/>
      <c r="MK74"/>
      <c r="ML74"/>
    </row>
    <row r="75" spans="1:350" s="285" customFormat="1" ht="15" customHeight="1" x14ac:dyDescent="0.3">
      <c r="A75" s="77">
        <f>_xlfn.XLOOKUP(DADOS!$B$3,DADOS!$D$2:$DI$2,DADOS!$D75:$DI75,"",0)</f>
        <v>0</v>
      </c>
      <c r="B75" s="78">
        <f>_xlfn.XLOOKUP(DADOS!$B$3,DADOS!$E$112:$AS$112,DADOS!$E183:$AS183,"",0)</f>
        <v>0</v>
      </c>
      <c r="C75" s="295" t="s">
        <v>243</v>
      </c>
      <c r="D75" s="290"/>
      <c r="E75" s="78" cm="1">
        <f t="array" ref="E75">_xlfn.XLOOKUP(D$2,$D$112:$BF$112,$D183:BF183,0,0)</f>
        <v>0</v>
      </c>
      <c r="F75" s="290"/>
      <c r="G75" s="78">
        <f t="shared" si="55"/>
        <v>0</v>
      </c>
      <c r="H75" s="290"/>
      <c r="I75" s="78">
        <f t="shared" si="56"/>
        <v>0</v>
      </c>
      <c r="J75" s="290">
        <v>0</v>
      </c>
      <c r="K75" s="78">
        <f t="shared" si="57"/>
        <v>0</v>
      </c>
      <c r="L75" s="290"/>
      <c r="M75" s="78">
        <f t="shared" si="57"/>
        <v>0</v>
      </c>
      <c r="N75" s="290"/>
      <c r="O75" s="78">
        <f t="shared" si="58"/>
        <v>0</v>
      </c>
      <c r="P75" s="290"/>
      <c r="Q75" s="78">
        <f t="shared" si="59"/>
        <v>0</v>
      </c>
      <c r="R75" s="290"/>
      <c r="S75" s="78">
        <f t="shared" si="60"/>
        <v>0</v>
      </c>
      <c r="T75" s="290"/>
      <c r="U75" s="78">
        <f t="shared" si="61"/>
        <v>0</v>
      </c>
      <c r="V75" s="290"/>
      <c r="W75" s="78">
        <f t="shared" si="62"/>
        <v>0</v>
      </c>
      <c r="X75" s="290"/>
      <c r="Y75" s="78"/>
      <c r="Z75" s="290"/>
      <c r="AA75" s="78"/>
      <c r="AB75" s="290"/>
      <c r="AC75" s="78"/>
      <c r="AD75" s="280"/>
      <c r="AE75" s="78"/>
      <c r="AF75" s="280"/>
      <c r="AG75" s="78"/>
      <c r="AH75" s="280"/>
      <c r="AI75" s="78"/>
      <c r="AJ75" s="280"/>
      <c r="AK75" s="78"/>
      <c r="AL75" s="280"/>
      <c r="AM75" s="78"/>
      <c r="AN75" s="280"/>
      <c r="AO75" s="78"/>
      <c r="AP75" s="280"/>
      <c r="AQ75" s="78"/>
      <c r="AR75" s="280"/>
      <c r="AS75" s="78"/>
      <c r="AT75" s="280"/>
      <c r="AU75" s="78"/>
      <c r="AV75" s="280"/>
      <c r="AW75" s="78"/>
      <c r="AX75" s="280"/>
      <c r="AY75" s="78"/>
      <c r="AZ75" s="280"/>
      <c r="BA75" s="78"/>
      <c r="BB75" s="280"/>
      <c r="BC75" s="78"/>
      <c r="BD75" s="280"/>
      <c r="BE75" s="78"/>
      <c r="BF75" s="280"/>
      <c r="BG75" s="78"/>
      <c r="BH75" s="280"/>
      <c r="BI75" s="78"/>
      <c r="BJ75" s="280"/>
      <c r="BK75" s="78"/>
      <c r="BL75" s="280"/>
      <c r="BM75" s="78"/>
      <c r="BN75" s="280"/>
      <c r="BO75" s="78"/>
      <c r="BP75" s="280"/>
      <c r="BQ75" s="78"/>
      <c r="BR75" s="280"/>
      <c r="BS75" s="78"/>
      <c r="BT75" s="280"/>
      <c r="BU75" s="78"/>
      <c r="BV75" s="280"/>
      <c r="BW75" s="78"/>
      <c r="BX75" s="280"/>
      <c r="BY75" s="78"/>
      <c r="BZ75" s="280"/>
      <c r="CA75" s="78"/>
      <c r="CB75" s="280"/>
      <c r="CC75" s="78"/>
      <c r="CD75" s="280"/>
      <c r="CE75" s="78"/>
      <c r="CF75" s="280"/>
      <c r="CG75" s="78"/>
      <c r="CH75" s="280"/>
      <c r="CI75" s="78"/>
      <c r="CJ75" s="280"/>
      <c r="CK75" s="78"/>
      <c r="CL75" s="280"/>
      <c r="CM75" s="78"/>
      <c r="CN75" s="280"/>
      <c r="CO75" s="78"/>
      <c r="CP75" s="77"/>
      <c r="CQ75" s="78"/>
      <c r="CR75" s="77"/>
      <c r="CS75" s="78"/>
      <c r="CT75" s="77"/>
      <c r="CU75" s="78"/>
      <c r="CV75" s="77"/>
      <c r="CW75" s="78"/>
      <c r="CX75" s="77"/>
      <c r="CY75" s="78"/>
      <c r="CZ75" s="77"/>
      <c r="DA75" s="78"/>
      <c r="DB75" s="77"/>
      <c r="DC75" s="78"/>
      <c r="DD75" s="77"/>
      <c r="DE75" s="78"/>
      <c r="DF75" s="77"/>
      <c r="DG75" s="78"/>
      <c r="DH75" s="77"/>
      <c r="DI75" s="78"/>
      <c r="DJ75" s="77"/>
      <c r="DK75" s="78"/>
      <c r="DL75" s="77"/>
      <c r="DM75" s="78"/>
      <c r="DN75" s="77"/>
      <c r="DO75" s="78"/>
      <c r="DP75" s="77"/>
      <c r="DQ75" s="78"/>
      <c r="DR75" s="77"/>
      <c r="DS75" s="78"/>
      <c r="DT75" s="77"/>
      <c r="DU75" s="78"/>
      <c r="DV75" s="77"/>
      <c r="DW75" s="78"/>
      <c r="DX75" s="77"/>
      <c r="DY75" s="78"/>
      <c r="DZ75" s="77"/>
      <c r="EA75" s="78"/>
      <c r="EB75" s="77"/>
      <c r="EC75" s="78"/>
      <c r="ED75" s="77"/>
      <c r="EE75" s="78"/>
      <c r="EF75" s="77"/>
      <c r="EG75" s="78"/>
      <c r="EH75" s="77"/>
      <c r="EI75" s="78"/>
      <c r="EJ75" s="77"/>
      <c r="EK75" s="78"/>
      <c r="EL75" s="77"/>
      <c r="EM75" s="78"/>
      <c r="EN75" s="77"/>
      <c r="EO75" s="78"/>
      <c r="EP75" s="77"/>
      <c r="EQ75" s="78"/>
      <c r="ER75" s="77"/>
      <c r="ES75" s="78"/>
      <c r="ET75" s="77"/>
      <c r="EU75" s="78"/>
      <c r="EV75" s="77"/>
      <c r="EW75" s="78"/>
      <c r="EX75"/>
      <c r="EY75"/>
      <c r="EZ75"/>
      <c r="FA75"/>
      <c r="FB75"/>
      <c r="FC75"/>
      <c r="FD75"/>
      <c r="FE75"/>
      <c r="FF75"/>
      <c r="FG75"/>
      <c r="FH75"/>
      <c r="FI75"/>
      <c r="FJ75"/>
      <c r="FK75"/>
      <c r="FL75"/>
      <c r="FM75"/>
      <c r="FN75"/>
      <c r="FO75"/>
      <c r="FP75"/>
      <c r="FQ75"/>
      <c r="FR75"/>
      <c r="FS75"/>
      <c r="FT75"/>
      <c r="FU75"/>
      <c r="FV75"/>
      <c r="FW75"/>
      <c r="FX75"/>
      <c r="FY75"/>
      <c r="FZ75"/>
      <c r="GA75"/>
      <c r="GB75"/>
      <c r="GC75"/>
      <c r="GD75"/>
      <c r="GE75"/>
      <c r="GF75"/>
      <c r="GG75"/>
      <c r="GH75"/>
      <c r="GI75"/>
      <c r="GJ75"/>
      <c r="GK75"/>
      <c r="GL75"/>
      <c r="GM75"/>
      <c r="GN75"/>
      <c r="GO75"/>
      <c r="GP75"/>
      <c r="GQ75"/>
      <c r="GR75"/>
      <c r="GS75"/>
      <c r="GT75"/>
      <c r="GU75"/>
      <c r="GV75"/>
      <c r="GW75"/>
      <c r="GX75"/>
      <c r="GY75"/>
      <c r="GZ75"/>
      <c r="HA75"/>
      <c r="HB75"/>
      <c r="HC75"/>
      <c r="HD75"/>
      <c r="HE75"/>
      <c r="HF75"/>
      <c r="HG75"/>
      <c r="HH75"/>
      <c r="HI75"/>
      <c r="HJ75"/>
      <c r="HK75"/>
      <c r="HL75"/>
      <c r="HM75"/>
      <c r="HN75"/>
      <c r="HO75"/>
      <c r="HP75"/>
      <c r="HQ75"/>
      <c r="HR75"/>
      <c r="HS75"/>
      <c r="HT75"/>
      <c r="HU75"/>
      <c r="HV75"/>
      <c r="HW75"/>
      <c r="HX75"/>
      <c r="HY75"/>
      <c r="HZ75"/>
      <c r="IA75"/>
      <c r="IB75"/>
      <c r="IC75"/>
      <c r="ID75"/>
      <c r="IE75"/>
      <c r="IF75"/>
      <c r="IG75"/>
      <c r="IH75"/>
      <c r="II75"/>
      <c r="IJ75"/>
      <c r="IK75"/>
      <c r="IL75"/>
      <c r="IM75"/>
      <c r="IN75"/>
      <c r="IO75"/>
      <c r="IP75"/>
      <c r="IQ75"/>
      <c r="IR75"/>
      <c r="IS75"/>
      <c r="IT75"/>
      <c r="IU75"/>
      <c r="IV75"/>
      <c r="IW75"/>
      <c r="IX75"/>
      <c r="IY75"/>
      <c r="IZ75"/>
      <c r="JA75"/>
      <c r="JB75"/>
      <c r="JC75"/>
      <c r="JD75"/>
      <c r="JE75"/>
      <c r="JF75"/>
      <c r="JG75"/>
      <c r="JH75"/>
      <c r="JI75"/>
      <c r="JJ75"/>
      <c r="JK75"/>
      <c r="JL75"/>
      <c r="JM75"/>
      <c r="JN75"/>
      <c r="JO75"/>
      <c r="JP75"/>
      <c r="JQ75"/>
      <c r="JR75"/>
      <c r="JS75"/>
      <c r="JT75"/>
      <c r="JU75"/>
      <c r="JV75"/>
      <c r="JW75"/>
      <c r="JX75"/>
      <c r="JY75"/>
      <c r="JZ75"/>
      <c r="KA75"/>
      <c r="KB75"/>
      <c r="KC75"/>
      <c r="KD75"/>
      <c r="KE75"/>
      <c r="KF75"/>
      <c r="KG75"/>
      <c r="KH75"/>
      <c r="KI75"/>
      <c r="KJ75"/>
      <c r="KK75"/>
      <c r="KL75"/>
      <c r="KM75"/>
      <c r="KN75"/>
      <c r="KO75"/>
      <c r="KP75"/>
      <c r="KQ75"/>
      <c r="KR75"/>
      <c r="KS75"/>
      <c r="KT75"/>
      <c r="KU75"/>
      <c r="KV75"/>
      <c r="KW75"/>
    </row>
    <row r="76" spans="1:350" s="284" customFormat="1" ht="15" customHeight="1" x14ac:dyDescent="0.3">
      <c r="A76" s="77">
        <f>_xlfn.XLOOKUP(DADOS!$B$3,DADOS!$D$2:$DI$2,DADOS!$D76:$DI76,"",0)</f>
        <v>0</v>
      </c>
      <c r="B76" s="78">
        <f>_xlfn.XLOOKUP(DADOS!$B$3,DADOS!$E$112:$AS$112,DADOS!$E184:$AS184,"",0)</f>
        <v>0</v>
      </c>
      <c r="C76" s="295" t="s">
        <v>272</v>
      </c>
      <c r="D76" s="290"/>
      <c r="E76" s="78" cm="1">
        <f t="array" ref="E76">_xlfn.XLOOKUP(D$2,$D$112:$BF$112,$D184:BF184,0,0)</f>
        <v>0</v>
      </c>
      <c r="F76" s="290"/>
      <c r="G76" s="78">
        <f t="shared" si="55"/>
        <v>0</v>
      </c>
      <c r="H76" s="290"/>
      <c r="I76" s="78">
        <f t="shared" si="56"/>
        <v>0</v>
      </c>
      <c r="J76" s="290">
        <v>0</v>
      </c>
      <c r="K76" s="78">
        <f t="shared" si="57"/>
        <v>0</v>
      </c>
      <c r="L76" s="290"/>
      <c r="M76" s="78">
        <f t="shared" si="57"/>
        <v>0</v>
      </c>
      <c r="N76" s="290"/>
      <c r="O76" s="78">
        <f t="shared" si="58"/>
        <v>0</v>
      </c>
      <c r="P76" s="290"/>
      <c r="Q76" s="78">
        <f t="shared" si="59"/>
        <v>0</v>
      </c>
      <c r="R76" s="290"/>
      <c r="S76" s="78">
        <f t="shared" si="60"/>
        <v>0</v>
      </c>
      <c r="T76" s="290"/>
      <c r="U76" s="78">
        <f t="shared" si="61"/>
        <v>0</v>
      </c>
      <c r="V76" s="290"/>
      <c r="W76" s="78">
        <f t="shared" si="62"/>
        <v>0</v>
      </c>
      <c r="X76" s="290"/>
      <c r="Y76" s="78"/>
      <c r="Z76" s="290"/>
      <c r="AA76" s="78"/>
      <c r="AB76" s="290"/>
      <c r="AC76" s="78"/>
      <c r="AD76" s="280"/>
      <c r="AE76" s="78"/>
      <c r="AF76" s="280"/>
      <c r="AG76" s="78"/>
      <c r="AH76" s="280"/>
      <c r="AI76" s="78"/>
      <c r="AJ76" s="280"/>
      <c r="AK76" s="78"/>
      <c r="AL76" s="280"/>
      <c r="AM76" s="78"/>
      <c r="AN76" s="280"/>
      <c r="AO76" s="78"/>
      <c r="AP76" s="280"/>
      <c r="AQ76" s="78"/>
      <c r="AR76" s="280"/>
      <c r="AS76" s="78"/>
      <c r="AT76" s="280"/>
      <c r="AU76" s="78"/>
      <c r="AV76" s="280"/>
      <c r="AW76" s="78"/>
      <c r="AX76" s="280"/>
      <c r="AY76" s="78"/>
      <c r="AZ76" s="280"/>
      <c r="BA76" s="78"/>
      <c r="BB76" s="280"/>
      <c r="BC76" s="78"/>
      <c r="BD76" s="280"/>
      <c r="BE76" s="78"/>
      <c r="BF76" s="280"/>
      <c r="BG76" s="78"/>
      <c r="BH76" s="280"/>
      <c r="BI76" s="78"/>
      <c r="BJ76" s="280"/>
      <c r="BK76" s="78"/>
      <c r="BL76" s="280"/>
      <c r="BM76" s="78"/>
      <c r="BN76" s="280"/>
      <c r="BO76" s="78"/>
      <c r="BP76" s="280"/>
      <c r="BQ76" s="78"/>
      <c r="BR76" s="280"/>
      <c r="BS76" s="78"/>
      <c r="BT76" s="280"/>
      <c r="BU76" s="78"/>
      <c r="BV76" s="280"/>
      <c r="BW76" s="78"/>
      <c r="BX76" s="280"/>
      <c r="BY76" s="78"/>
      <c r="BZ76" s="280"/>
      <c r="CA76" s="78"/>
      <c r="CB76" s="280"/>
      <c r="CC76" s="78"/>
      <c r="CD76" s="280"/>
      <c r="CE76" s="78"/>
      <c r="CF76" s="280"/>
      <c r="CG76" s="78"/>
      <c r="CH76" s="280"/>
      <c r="CI76" s="78"/>
      <c r="CJ76" s="280"/>
      <c r="CK76" s="78"/>
      <c r="CL76" s="280"/>
      <c r="CM76" s="78"/>
      <c r="CN76" s="280"/>
      <c r="CO76" s="78"/>
      <c r="CP76" s="77"/>
      <c r="CQ76" s="78"/>
      <c r="CR76" s="77"/>
      <c r="CS76" s="78"/>
      <c r="CT76" s="77"/>
      <c r="CU76" s="78"/>
      <c r="CV76" s="77"/>
      <c r="CW76" s="78"/>
      <c r="CX76" s="77"/>
      <c r="CY76" s="78"/>
      <c r="CZ76" s="77"/>
      <c r="DA76" s="78"/>
      <c r="DB76" s="77"/>
      <c r="DC76" s="78"/>
      <c r="DD76" s="77"/>
      <c r="DE76" s="78"/>
      <c r="DF76" s="77"/>
      <c r="DG76" s="78"/>
      <c r="DH76" s="77"/>
      <c r="DI76" s="78"/>
      <c r="DJ76" s="77"/>
      <c r="DK76" s="78"/>
      <c r="DL76" s="77"/>
      <c r="DM76" s="78"/>
      <c r="DN76" s="77"/>
      <c r="DO76" s="78"/>
      <c r="DP76" s="77"/>
      <c r="DQ76" s="78"/>
      <c r="DR76" s="77"/>
      <c r="DS76" s="78"/>
      <c r="DT76" s="77"/>
      <c r="DU76" s="78"/>
      <c r="DV76" s="77"/>
      <c r="DW76" s="78"/>
      <c r="DX76" s="77"/>
      <c r="DY76" s="78"/>
      <c r="DZ76" s="77"/>
      <c r="EA76" s="78"/>
      <c r="EB76" s="77"/>
      <c r="EC76" s="78"/>
      <c r="ED76" s="77"/>
      <c r="EE76" s="78"/>
      <c r="EF76" s="77"/>
      <c r="EG76" s="78"/>
      <c r="EH76" s="77"/>
      <c r="EI76" s="78"/>
      <c r="EJ76" s="77"/>
      <c r="EK76" s="78"/>
      <c r="EL76" s="77"/>
      <c r="EM76" s="78"/>
      <c r="EN76" s="77"/>
      <c r="EO76" s="78"/>
      <c r="EP76" s="77"/>
      <c r="EQ76" s="78"/>
      <c r="ER76" s="77"/>
      <c r="ES76" s="78"/>
      <c r="ET76" s="77"/>
      <c r="EU76" s="78"/>
      <c r="EV76" s="77"/>
      <c r="EW76" s="78"/>
      <c r="EX76"/>
      <c r="EY76"/>
      <c r="EZ76"/>
      <c r="FA76"/>
      <c r="FB76"/>
      <c r="FC76"/>
      <c r="FD76"/>
      <c r="FE76"/>
      <c r="FF76"/>
      <c r="FG76"/>
      <c r="FH76"/>
      <c r="FI76"/>
      <c r="FJ76"/>
      <c r="FK76"/>
      <c r="FL76"/>
      <c r="FM76"/>
      <c r="FN76"/>
      <c r="FO76"/>
      <c r="FP76"/>
      <c r="FQ76"/>
      <c r="FR76"/>
      <c r="FS76"/>
      <c r="FT76"/>
      <c r="FU76"/>
      <c r="FV76"/>
      <c r="FW76"/>
      <c r="FX76"/>
      <c r="FY76"/>
      <c r="FZ76"/>
      <c r="GA76"/>
      <c r="GB76"/>
      <c r="GC76"/>
      <c r="GD76"/>
      <c r="GE76"/>
      <c r="GF76"/>
      <c r="GG76"/>
      <c r="GH76"/>
      <c r="GI76"/>
      <c r="GJ76"/>
      <c r="GK76"/>
      <c r="GL76"/>
      <c r="GM76"/>
      <c r="GN76"/>
      <c r="GO76"/>
      <c r="GP76"/>
      <c r="GQ76"/>
      <c r="GR76"/>
      <c r="GS76"/>
      <c r="GT76"/>
      <c r="GU76"/>
      <c r="GV76"/>
      <c r="GW76"/>
      <c r="GX76"/>
      <c r="GY76"/>
      <c r="GZ76"/>
      <c r="HA76"/>
      <c r="HB76"/>
      <c r="HC76"/>
      <c r="HD76"/>
      <c r="HE76"/>
      <c r="HF76"/>
      <c r="HG76"/>
      <c r="HH76"/>
      <c r="HI76"/>
      <c r="HJ76"/>
      <c r="HK76"/>
      <c r="HL76"/>
      <c r="HM76"/>
      <c r="HN76"/>
      <c r="HO76"/>
      <c r="HP76"/>
      <c r="HQ76"/>
      <c r="HR76"/>
      <c r="HS76"/>
      <c r="HT76"/>
      <c r="HU76"/>
      <c r="HV76"/>
      <c r="HW76"/>
      <c r="HX76"/>
      <c r="HY76"/>
      <c r="HZ76"/>
      <c r="IA76"/>
      <c r="IB76"/>
      <c r="IC76"/>
      <c r="ID76"/>
      <c r="IE76"/>
      <c r="IF76"/>
      <c r="IG76"/>
      <c r="IH76"/>
      <c r="II76"/>
      <c r="IJ76"/>
      <c r="IK76"/>
      <c r="IL76"/>
      <c r="IM76"/>
      <c r="IN76"/>
      <c r="IO76"/>
      <c r="IP76"/>
      <c r="IQ76"/>
      <c r="IR76"/>
      <c r="IS76"/>
      <c r="IT76"/>
      <c r="IU76"/>
      <c r="IV76"/>
      <c r="IW76"/>
      <c r="IX76"/>
      <c r="IY76"/>
      <c r="IZ76"/>
      <c r="JA76"/>
      <c r="JB76"/>
      <c r="JC76"/>
      <c r="JD76"/>
      <c r="JE76"/>
      <c r="JF76"/>
      <c r="JG76"/>
      <c r="JH76"/>
      <c r="JI76"/>
      <c r="JJ76"/>
      <c r="JK76"/>
      <c r="JL76"/>
      <c r="JM76"/>
      <c r="JN76"/>
      <c r="JO76"/>
      <c r="JP76"/>
      <c r="JQ76"/>
      <c r="JR76"/>
      <c r="JS76"/>
      <c r="JT76"/>
      <c r="JU76"/>
      <c r="JV76"/>
      <c r="JW76"/>
      <c r="JX76"/>
      <c r="JY76"/>
      <c r="JZ76"/>
      <c r="KA76"/>
      <c r="KB76"/>
      <c r="KC76"/>
      <c r="KD76"/>
      <c r="KE76"/>
      <c r="KF76"/>
      <c r="KG76"/>
      <c r="KH76"/>
      <c r="KI76"/>
      <c r="KJ76"/>
      <c r="KK76"/>
      <c r="KL76"/>
      <c r="KM76"/>
      <c r="KN76"/>
      <c r="KO76"/>
      <c r="KP76"/>
      <c r="KQ76"/>
      <c r="KR76"/>
      <c r="KS76"/>
      <c r="KT76"/>
      <c r="KU76"/>
      <c r="KV76"/>
      <c r="KW76"/>
    </row>
    <row r="77" spans="1:350" ht="15" customHeight="1" x14ac:dyDescent="0.3">
      <c r="A77" s="77">
        <f>_xlfn.XLOOKUP(DADOS!$B$3,DADOS!$D$2:$DI$2,DADOS!$D77:$DI77,"",0)</f>
        <v>0</v>
      </c>
      <c r="B77" s="78">
        <f>_xlfn.XLOOKUP(DADOS!$B$3,DADOS!$E$112:$AS$112,DADOS!$E185:$AS185,"",0)</f>
        <v>0</v>
      </c>
      <c r="C77" s="295" t="s">
        <v>273</v>
      </c>
      <c r="D77" s="290"/>
      <c r="E77" s="78" cm="1">
        <f t="array" ref="E77">_xlfn.XLOOKUP(D$2,$D$112:$BF$112,$D185:BF185,0,0)</f>
        <v>0</v>
      </c>
      <c r="F77" s="290"/>
      <c r="G77" s="78">
        <f t="shared" si="55"/>
        <v>0</v>
      </c>
      <c r="H77" s="290"/>
      <c r="I77" s="78">
        <f t="shared" si="56"/>
        <v>0</v>
      </c>
      <c r="J77" s="290">
        <v>0</v>
      </c>
      <c r="K77" s="78">
        <f t="shared" si="57"/>
        <v>0</v>
      </c>
      <c r="L77" s="290"/>
      <c r="M77" s="78">
        <f t="shared" si="57"/>
        <v>0</v>
      </c>
      <c r="N77" s="290"/>
      <c r="O77" s="78">
        <f t="shared" si="58"/>
        <v>0</v>
      </c>
      <c r="P77" s="290"/>
      <c r="Q77" s="78">
        <f t="shared" si="59"/>
        <v>0</v>
      </c>
      <c r="R77" s="290"/>
      <c r="S77" s="78">
        <f t="shared" si="60"/>
        <v>0</v>
      </c>
      <c r="T77" s="290"/>
      <c r="U77" s="78">
        <f t="shared" si="61"/>
        <v>0</v>
      </c>
      <c r="V77" s="290"/>
      <c r="W77" s="78">
        <f t="shared" si="62"/>
        <v>0</v>
      </c>
      <c r="X77" s="290"/>
      <c r="Y77" s="78"/>
      <c r="Z77" s="290"/>
      <c r="AA77" s="78"/>
      <c r="AB77" s="290"/>
      <c r="AC77" s="78"/>
      <c r="AD77" s="280"/>
      <c r="AE77" s="78"/>
      <c r="AF77" s="280"/>
      <c r="AG77" s="78"/>
      <c r="AH77" s="280"/>
      <c r="AI77" s="78"/>
      <c r="AJ77" s="280"/>
      <c r="AK77" s="78"/>
      <c r="AL77" s="280"/>
      <c r="AM77" s="78"/>
      <c r="AN77" s="280"/>
      <c r="AO77" s="78"/>
      <c r="AP77" s="280"/>
      <c r="AQ77" s="78"/>
      <c r="AR77" s="280"/>
      <c r="AS77" s="78"/>
      <c r="AT77" s="280"/>
      <c r="AU77" s="78"/>
      <c r="AV77" s="280"/>
      <c r="AW77" s="78"/>
      <c r="AX77" s="280"/>
      <c r="AY77" s="78"/>
      <c r="AZ77" s="280"/>
      <c r="BA77" s="78"/>
      <c r="BB77" s="280"/>
      <c r="BC77" s="78"/>
      <c r="BD77" s="280"/>
      <c r="BE77" s="78"/>
      <c r="BF77" s="280"/>
      <c r="BG77" s="78"/>
      <c r="BH77" s="280"/>
      <c r="BI77" s="78"/>
      <c r="BJ77" s="280"/>
      <c r="BK77" s="78"/>
      <c r="BL77" s="280"/>
      <c r="BM77" s="78"/>
      <c r="BN77" s="280"/>
      <c r="BO77" s="78"/>
      <c r="BP77" s="280"/>
      <c r="BQ77" s="78"/>
      <c r="BR77" s="280"/>
      <c r="BS77" s="78"/>
      <c r="BT77" s="280"/>
      <c r="BU77" s="78"/>
      <c r="BV77" s="280"/>
      <c r="BW77" s="78"/>
      <c r="BX77" s="280"/>
      <c r="BY77" s="78"/>
      <c r="BZ77" s="280"/>
      <c r="CA77" s="78"/>
      <c r="CB77" s="280"/>
      <c r="CC77" s="78"/>
      <c r="CD77" s="280"/>
      <c r="CE77" s="78"/>
      <c r="CF77" s="280"/>
      <c r="CG77" s="78"/>
      <c r="CH77" s="280"/>
      <c r="CI77" s="78"/>
      <c r="CJ77" s="280"/>
      <c r="CK77" s="78"/>
      <c r="CL77" s="280"/>
      <c r="CM77" s="78"/>
      <c r="CN77" s="280"/>
      <c r="CO77" s="78"/>
      <c r="CP77" s="77"/>
      <c r="CQ77" s="78"/>
      <c r="CR77" s="77"/>
      <c r="CS77" s="78"/>
      <c r="CT77" s="77"/>
      <c r="CU77" s="78"/>
      <c r="CV77" s="77"/>
      <c r="CW77" s="78"/>
      <c r="CX77" s="77"/>
      <c r="CY77" s="78"/>
      <c r="CZ77" s="77"/>
      <c r="DA77" s="78"/>
      <c r="DB77" s="77"/>
      <c r="DC77" s="78"/>
      <c r="DD77" s="77"/>
      <c r="DE77" s="78"/>
      <c r="DF77" s="77"/>
      <c r="DG77" s="78"/>
      <c r="DH77" s="77"/>
      <c r="DI77" s="78"/>
      <c r="DJ77" s="77"/>
      <c r="DK77" s="78"/>
      <c r="DL77" s="77"/>
      <c r="DM77" s="78"/>
      <c r="DN77" s="77"/>
      <c r="DO77" s="78"/>
      <c r="DP77" s="77"/>
      <c r="DQ77" s="78"/>
      <c r="DR77" s="77"/>
      <c r="DS77" s="78"/>
      <c r="DT77" s="77"/>
      <c r="DU77" s="78"/>
      <c r="DV77" s="77"/>
      <c r="DW77" s="78"/>
      <c r="DX77" s="77"/>
      <c r="DY77" s="78"/>
      <c r="DZ77" s="77"/>
      <c r="EA77" s="78"/>
      <c r="EB77" s="77"/>
      <c r="EC77" s="78"/>
      <c r="ED77" s="77"/>
      <c r="EE77" s="78"/>
      <c r="EF77" s="77"/>
      <c r="EG77" s="78"/>
      <c r="EH77" s="77"/>
      <c r="EI77" s="78"/>
      <c r="EJ77" s="77"/>
      <c r="EK77" s="78"/>
      <c r="EL77" s="77"/>
      <c r="EM77" s="78"/>
      <c r="EN77" s="77"/>
      <c r="EO77" s="78"/>
      <c r="EP77" s="77"/>
      <c r="EQ77" s="78"/>
      <c r="ER77" s="77"/>
      <c r="ES77" s="78"/>
      <c r="ET77" s="77"/>
      <c r="EU77" s="78"/>
      <c r="EV77" s="77"/>
      <c r="EW77" s="78"/>
    </row>
    <row r="78" spans="1:350" ht="15" customHeight="1" x14ac:dyDescent="0.3">
      <c r="A78" s="77">
        <f>_xlfn.XLOOKUP(DADOS!$B$3,DADOS!$D$2:$DI$2,DADOS!$D78:$DI78,"",0)</f>
        <v>0</v>
      </c>
      <c r="B78" s="78">
        <f>_xlfn.XLOOKUP(DADOS!$B$3,DADOS!$E$112:$AS$112,DADOS!$E186:$AS186,"",0)</f>
        <v>0</v>
      </c>
      <c r="C78" s="295" t="s">
        <v>246</v>
      </c>
      <c r="D78" s="290"/>
      <c r="E78" s="78" cm="1">
        <f t="array" ref="E78">_xlfn.XLOOKUP(D$2,$D$112:$BF$112,$D186:BF186,0,0)</f>
        <v>0</v>
      </c>
      <c r="F78" s="290"/>
      <c r="G78" s="78">
        <f t="shared" si="55"/>
        <v>0</v>
      </c>
      <c r="H78" s="290"/>
      <c r="I78" s="78">
        <f t="shared" si="56"/>
        <v>0</v>
      </c>
      <c r="J78" s="290">
        <v>0</v>
      </c>
      <c r="K78" s="78">
        <f t="shared" si="57"/>
        <v>0</v>
      </c>
      <c r="L78" s="290"/>
      <c r="M78" s="78">
        <f t="shared" si="57"/>
        <v>0</v>
      </c>
      <c r="N78" s="290"/>
      <c r="O78" s="78">
        <f t="shared" si="58"/>
        <v>0</v>
      </c>
      <c r="P78" s="290"/>
      <c r="Q78" s="78">
        <f t="shared" si="59"/>
        <v>0</v>
      </c>
      <c r="R78" s="290"/>
      <c r="S78" s="78">
        <f t="shared" si="60"/>
        <v>0</v>
      </c>
      <c r="T78" s="290"/>
      <c r="U78" s="78">
        <f t="shared" si="61"/>
        <v>0</v>
      </c>
      <c r="V78" s="290"/>
      <c r="W78" s="78">
        <f t="shared" si="62"/>
        <v>0</v>
      </c>
      <c r="X78" s="290"/>
      <c r="Y78" s="78"/>
      <c r="Z78" s="290"/>
      <c r="AA78" s="78"/>
      <c r="AB78" s="290"/>
      <c r="AC78" s="78"/>
      <c r="AD78" s="280"/>
      <c r="AE78" s="78"/>
      <c r="AF78" s="280"/>
      <c r="AG78" s="78"/>
      <c r="AH78" s="280"/>
      <c r="AI78" s="78"/>
      <c r="AJ78" s="280"/>
      <c r="AK78" s="78"/>
      <c r="AL78" s="280"/>
      <c r="AM78" s="78"/>
      <c r="AN78" s="280"/>
      <c r="AO78" s="78"/>
      <c r="AP78" s="280"/>
      <c r="AQ78" s="78"/>
      <c r="AR78" s="280"/>
      <c r="AS78" s="78"/>
      <c r="AT78" s="280"/>
      <c r="AU78" s="78"/>
      <c r="AV78" s="280"/>
      <c r="AW78" s="78"/>
      <c r="AX78" s="280"/>
      <c r="AY78" s="78"/>
      <c r="AZ78" s="280"/>
      <c r="BA78" s="78"/>
      <c r="BB78" s="280"/>
      <c r="BC78" s="78"/>
      <c r="BD78" s="280"/>
      <c r="BE78" s="78"/>
      <c r="BF78" s="280"/>
      <c r="BG78" s="78"/>
      <c r="BH78" s="280"/>
      <c r="BI78" s="78"/>
      <c r="BJ78" s="280"/>
      <c r="BK78" s="78"/>
      <c r="BL78" s="280"/>
      <c r="BM78" s="78"/>
      <c r="BN78" s="280"/>
      <c r="BO78" s="78"/>
      <c r="BP78" s="280"/>
      <c r="BQ78" s="78"/>
      <c r="BR78" s="280"/>
      <c r="BS78" s="78"/>
      <c r="BT78" s="280"/>
      <c r="BU78" s="78"/>
      <c r="BV78" s="280"/>
      <c r="BW78" s="78"/>
      <c r="BX78" s="280"/>
      <c r="BY78" s="78"/>
      <c r="BZ78" s="280"/>
      <c r="CA78" s="78"/>
      <c r="CB78" s="280"/>
      <c r="CC78" s="78"/>
      <c r="CD78" s="280"/>
      <c r="CE78" s="78"/>
      <c r="CF78" s="280"/>
      <c r="CG78" s="78"/>
      <c r="CH78" s="280"/>
      <c r="CI78" s="78"/>
      <c r="CJ78" s="280"/>
      <c r="CK78" s="78"/>
      <c r="CL78" s="280"/>
      <c r="CM78" s="78"/>
      <c r="CN78" s="280"/>
      <c r="CO78" s="78"/>
      <c r="CP78" s="77"/>
      <c r="CQ78" s="78"/>
      <c r="CR78" s="77"/>
      <c r="CS78" s="78"/>
      <c r="CT78" s="77"/>
      <c r="CU78" s="78"/>
      <c r="CV78" s="77"/>
      <c r="CW78" s="78"/>
      <c r="CX78" s="77"/>
      <c r="CY78" s="78"/>
      <c r="CZ78" s="77"/>
      <c r="DA78" s="78"/>
      <c r="DB78" s="77"/>
      <c r="DC78" s="78"/>
      <c r="DD78" s="77"/>
      <c r="DE78" s="78"/>
      <c r="DF78" s="77"/>
      <c r="DG78" s="78"/>
      <c r="DH78" s="77"/>
      <c r="DI78" s="78"/>
      <c r="DJ78" s="77"/>
      <c r="DK78" s="78"/>
      <c r="DL78" s="77"/>
      <c r="DM78" s="78"/>
      <c r="DN78" s="77"/>
      <c r="DO78" s="78"/>
      <c r="DP78" s="77"/>
      <c r="DQ78" s="78"/>
      <c r="DR78" s="77"/>
      <c r="DS78" s="78"/>
      <c r="DT78" s="77"/>
      <c r="DU78" s="78"/>
      <c r="DV78" s="77"/>
      <c r="DW78" s="78"/>
      <c r="DX78" s="77"/>
      <c r="DY78" s="78"/>
      <c r="DZ78" s="77"/>
      <c r="EA78" s="78"/>
      <c r="EB78" s="77"/>
      <c r="EC78" s="78"/>
      <c r="ED78" s="77"/>
      <c r="EE78" s="78"/>
      <c r="EF78" s="77"/>
      <c r="EG78" s="78"/>
      <c r="EH78" s="77"/>
      <c r="EI78" s="78"/>
      <c r="EJ78" s="77"/>
      <c r="EK78" s="78"/>
      <c r="EL78" s="77"/>
      <c r="EM78" s="78"/>
      <c r="EN78" s="77"/>
      <c r="EO78" s="78"/>
      <c r="EP78" s="77"/>
      <c r="EQ78" s="78"/>
      <c r="ER78" s="77"/>
      <c r="ES78" s="78"/>
      <c r="ET78" s="77"/>
      <c r="EU78" s="78"/>
      <c r="EV78" s="77"/>
      <c r="EW78" s="78"/>
    </row>
    <row r="79" spans="1:350" ht="15" customHeight="1" x14ac:dyDescent="0.3">
      <c r="A79" s="77">
        <f>_xlfn.XLOOKUP(DADOS!$B$3,DADOS!$D$2:$DI$2,DADOS!$D79:$DI79,"",0)</f>
        <v>0</v>
      </c>
      <c r="B79" s="78">
        <f>_xlfn.XLOOKUP(DADOS!$B$3,DADOS!$E$112:$AS$112,DADOS!$E187:$AS187,"",0)</f>
        <v>0</v>
      </c>
      <c r="C79" s="295" t="s">
        <v>247</v>
      </c>
      <c r="D79" s="290"/>
      <c r="E79" s="78" cm="1">
        <f t="array" ref="E79">_xlfn.XLOOKUP(D$2,$D$112:$BF$112,$D187:BF187,0,0)</f>
        <v>0</v>
      </c>
      <c r="F79" s="290"/>
      <c r="G79" s="78">
        <f t="shared" si="55"/>
        <v>0</v>
      </c>
      <c r="H79" s="290"/>
      <c r="I79" s="78">
        <f t="shared" si="56"/>
        <v>0</v>
      </c>
      <c r="J79" s="290">
        <v>0</v>
      </c>
      <c r="K79" s="78">
        <f t="shared" si="57"/>
        <v>0</v>
      </c>
      <c r="L79" s="290"/>
      <c r="M79" s="78">
        <f t="shared" si="57"/>
        <v>0</v>
      </c>
      <c r="N79" s="290"/>
      <c r="O79" s="78">
        <f t="shared" si="58"/>
        <v>0</v>
      </c>
      <c r="P79" s="290"/>
      <c r="Q79" s="78">
        <f t="shared" si="59"/>
        <v>0</v>
      </c>
      <c r="R79" s="290"/>
      <c r="S79" s="78">
        <f t="shared" si="60"/>
        <v>0</v>
      </c>
      <c r="T79" s="290"/>
      <c r="U79" s="78">
        <f t="shared" si="61"/>
        <v>0</v>
      </c>
      <c r="V79" s="290"/>
      <c r="W79" s="78">
        <f t="shared" si="62"/>
        <v>0</v>
      </c>
      <c r="X79" s="290"/>
      <c r="Y79" s="78"/>
      <c r="Z79" s="290"/>
      <c r="AA79" s="78"/>
      <c r="AB79" s="290"/>
      <c r="AC79" s="78"/>
      <c r="AD79" s="280"/>
      <c r="AE79" s="78"/>
      <c r="AF79" s="280"/>
      <c r="AG79" s="78"/>
      <c r="AH79" s="280"/>
      <c r="AI79" s="78"/>
      <c r="AJ79" s="280"/>
      <c r="AK79" s="78"/>
      <c r="AL79" s="280"/>
      <c r="AM79" s="78"/>
      <c r="AN79" s="280"/>
      <c r="AO79" s="78"/>
      <c r="AP79" s="280"/>
      <c r="AQ79" s="78"/>
      <c r="AR79" s="280"/>
      <c r="AS79" s="78"/>
      <c r="AT79" s="280"/>
      <c r="AU79" s="78"/>
      <c r="AV79" s="280"/>
      <c r="AW79" s="78"/>
      <c r="AX79" s="280"/>
      <c r="AY79" s="78"/>
      <c r="AZ79" s="280"/>
      <c r="BA79" s="78"/>
      <c r="BB79" s="280"/>
      <c r="BC79" s="78"/>
      <c r="BD79" s="280"/>
      <c r="BE79" s="78"/>
      <c r="BF79" s="280"/>
      <c r="BG79" s="78"/>
      <c r="BH79" s="280"/>
      <c r="BI79" s="78"/>
      <c r="BJ79" s="280"/>
      <c r="BK79" s="78"/>
      <c r="BL79" s="280"/>
      <c r="BM79" s="78"/>
      <c r="BN79" s="280"/>
      <c r="BO79" s="78"/>
      <c r="BP79" s="280"/>
      <c r="BQ79" s="78"/>
      <c r="BR79" s="280"/>
      <c r="BS79" s="78"/>
      <c r="BT79" s="280"/>
      <c r="BU79" s="78"/>
      <c r="BV79" s="280"/>
      <c r="BW79" s="78"/>
      <c r="BX79" s="280"/>
      <c r="BY79" s="78"/>
      <c r="BZ79" s="280"/>
      <c r="CA79" s="78"/>
      <c r="CB79" s="280"/>
      <c r="CC79" s="78"/>
      <c r="CD79" s="280"/>
      <c r="CE79" s="78"/>
      <c r="CF79" s="280"/>
      <c r="CG79" s="78"/>
      <c r="CH79" s="280"/>
      <c r="CI79" s="78"/>
      <c r="CJ79" s="280"/>
      <c r="CK79" s="78"/>
      <c r="CL79" s="280"/>
      <c r="CM79" s="78"/>
      <c r="CN79" s="280"/>
      <c r="CO79" s="78"/>
      <c r="CP79" s="77"/>
      <c r="CQ79" s="78"/>
      <c r="CR79" s="77"/>
      <c r="CS79" s="78"/>
      <c r="CT79" s="77"/>
      <c r="CU79" s="78"/>
      <c r="CV79" s="77"/>
      <c r="CW79" s="78"/>
      <c r="CX79" s="77"/>
      <c r="CY79" s="78"/>
      <c r="CZ79" s="77"/>
      <c r="DA79" s="78"/>
      <c r="DB79" s="77"/>
      <c r="DC79" s="78"/>
      <c r="DD79" s="77"/>
      <c r="DE79" s="78"/>
      <c r="DF79" s="77"/>
      <c r="DG79" s="78"/>
      <c r="DH79" s="77"/>
      <c r="DI79" s="78"/>
      <c r="DJ79" s="77"/>
      <c r="DK79" s="78"/>
      <c r="DL79" s="77"/>
      <c r="DM79" s="78"/>
      <c r="DN79" s="77"/>
      <c r="DO79" s="78"/>
      <c r="DP79" s="77"/>
      <c r="DQ79" s="78"/>
      <c r="DR79" s="77"/>
      <c r="DS79" s="78"/>
      <c r="DT79" s="77"/>
      <c r="DU79" s="78"/>
      <c r="DV79" s="77"/>
      <c r="DW79" s="78"/>
      <c r="DX79" s="77"/>
      <c r="DY79" s="78"/>
      <c r="DZ79" s="77"/>
      <c r="EA79" s="78"/>
      <c r="EB79" s="77"/>
      <c r="EC79" s="78"/>
      <c r="ED79" s="77"/>
      <c r="EE79" s="78"/>
      <c r="EF79" s="77"/>
      <c r="EG79" s="78"/>
      <c r="EH79" s="77"/>
      <c r="EI79" s="78"/>
      <c r="EJ79" s="77"/>
      <c r="EK79" s="78"/>
      <c r="EL79" s="77"/>
      <c r="EM79" s="78"/>
      <c r="EN79" s="77"/>
      <c r="EO79" s="78"/>
      <c r="EP79" s="77"/>
      <c r="EQ79" s="78"/>
      <c r="ER79" s="77"/>
      <c r="ES79" s="78"/>
      <c r="ET79" s="77"/>
      <c r="EU79" s="78"/>
      <c r="EV79" s="77"/>
      <c r="EW79" s="78"/>
    </row>
    <row r="80" spans="1:350" ht="15" customHeight="1" x14ac:dyDescent="0.3">
      <c r="A80" s="77">
        <f>_xlfn.XLOOKUP(DADOS!$B$3,DADOS!$D$2:$DI$2,DADOS!$D80:$DI80,"",0)</f>
        <v>0</v>
      </c>
      <c r="B80" s="78">
        <f>_xlfn.XLOOKUP(DADOS!$B$3,DADOS!$E$112:$AS$112,DADOS!$E188:$AS188,"",0)</f>
        <v>0</v>
      </c>
      <c r="C80" s="295" t="s">
        <v>248</v>
      </c>
      <c r="D80" s="290"/>
      <c r="E80" s="78" cm="1">
        <f t="array" ref="E80">_xlfn.XLOOKUP(D$2,$D$112:$BF$112,$D188:BF188,0,0)</f>
        <v>0</v>
      </c>
      <c r="F80" s="290"/>
      <c r="G80" s="78">
        <f t="shared" si="55"/>
        <v>0</v>
      </c>
      <c r="H80" s="290"/>
      <c r="I80" s="78">
        <f t="shared" si="56"/>
        <v>0</v>
      </c>
      <c r="J80" s="290">
        <v>0</v>
      </c>
      <c r="K80" s="78">
        <f t="shared" si="57"/>
        <v>0</v>
      </c>
      <c r="L80" s="290"/>
      <c r="M80" s="78">
        <f t="shared" si="57"/>
        <v>0</v>
      </c>
      <c r="N80" s="290"/>
      <c r="O80" s="78">
        <f t="shared" si="58"/>
        <v>0</v>
      </c>
      <c r="P80" s="290"/>
      <c r="Q80" s="78">
        <f t="shared" si="59"/>
        <v>0</v>
      </c>
      <c r="R80" s="290"/>
      <c r="S80" s="78">
        <f t="shared" si="60"/>
        <v>0</v>
      </c>
      <c r="T80" s="290"/>
      <c r="U80" s="78">
        <f t="shared" si="61"/>
        <v>0</v>
      </c>
      <c r="V80" s="290"/>
      <c r="W80" s="78">
        <f t="shared" si="62"/>
        <v>0</v>
      </c>
      <c r="X80" s="290"/>
      <c r="Y80" s="78"/>
      <c r="Z80" s="290"/>
      <c r="AA80" s="78"/>
      <c r="AB80" s="290"/>
      <c r="AC80" s="78"/>
      <c r="AD80" s="280"/>
      <c r="AE80" s="78"/>
      <c r="AF80" s="280"/>
      <c r="AG80" s="78"/>
      <c r="AH80" s="280"/>
      <c r="AI80" s="78"/>
      <c r="AJ80" s="280"/>
      <c r="AK80" s="78"/>
      <c r="AL80" s="280"/>
      <c r="AM80" s="78"/>
      <c r="AN80" s="280"/>
      <c r="AO80" s="78"/>
      <c r="AP80" s="280"/>
      <c r="AQ80" s="78"/>
      <c r="AR80" s="280"/>
      <c r="AS80" s="78"/>
      <c r="AT80" s="280"/>
      <c r="AU80" s="78"/>
      <c r="AV80" s="280"/>
      <c r="AW80" s="78"/>
      <c r="AX80" s="280"/>
      <c r="AY80" s="78"/>
      <c r="AZ80" s="280"/>
      <c r="BA80" s="78"/>
      <c r="BB80" s="280"/>
      <c r="BC80" s="78"/>
      <c r="BD80" s="280"/>
      <c r="BE80" s="78"/>
      <c r="BF80" s="280"/>
      <c r="BG80" s="78"/>
      <c r="BH80" s="280"/>
      <c r="BI80" s="78"/>
      <c r="BJ80" s="280"/>
      <c r="BK80" s="78"/>
      <c r="BL80" s="280"/>
      <c r="BM80" s="78"/>
      <c r="BN80" s="280"/>
      <c r="BO80" s="78"/>
      <c r="BP80" s="280"/>
      <c r="BQ80" s="78"/>
      <c r="BR80" s="280"/>
      <c r="BS80" s="78"/>
      <c r="BT80" s="280"/>
      <c r="BU80" s="78"/>
      <c r="BV80" s="280"/>
      <c r="BW80" s="78"/>
      <c r="BX80" s="280"/>
      <c r="BY80" s="78"/>
      <c r="BZ80" s="280"/>
      <c r="CA80" s="78"/>
      <c r="CB80" s="280"/>
      <c r="CC80" s="78"/>
      <c r="CD80" s="280"/>
      <c r="CE80" s="78"/>
      <c r="CF80" s="280"/>
      <c r="CG80" s="78"/>
      <c r="CH80" s="280"/>
      <c r="CI80" s="78"/>
      <c r="CJ80" s="280"/>
      <c r="CK80" s="78"/>
      <c r="CL80" s="280"/>
      <c r="CM80" s="78"/>
      <c r="CN80" s="280"/>
      <c r="CO80" s="78"/>
      <c r="CP80" s="77"/>
      <c r="CQ80" s="78"/>
      <c r="CR80" s="77"/>
      <c r="CS80" s="78"/>
      <c r="CT80" s="77"/>
      <c r="CU80" s="78"/>
      <c r="CV80" s="77"/>
      <c r="CW80" s="78"/>
      <c r="CX80" s="77"/>
      <c r="CY80" s="78"/>
      <c r="CZ80" s="77"/>
      <c r="DA80" s="78"/>
      <c r="DB80" s="77"/>
      <c r="DC80" s="78"/>
      <c r="DD80" s="77"/>
      <c r="DE80" s="78"/>
      <c r="DF80" s="77"/>
      <c r="DG80" s="78"/>
      <c r="DH80" s="77"/>
      <c r="DI80" s="78"/>
      <c r="DJ80" s="77"/>
      <c r="DK80" s="78"/>
      <c r="DL80" s="77"/>
      <c r="DM80" s="78"/>
      <c r="DN80" s="77"/>
      <c r="DO80" s="78"/>
      <c r="DP80" s="77"/>
      <c r="DQ80" s="78"/>
      <c r="DR80" s="77"/>
      <c r="DS80" s="78"/>
      <c r="DT80" s="77"/>
      <c r="DU80" s="78"/>
      <c r="DV80" s="77"/>
      <c r="DW80" s="78"/>
      <c r="DX80" s="77"/>
      <c r="DY80" s="78"/>
      <c r="DZ80" s="77"/>
      <c r="EA80" s="78"/>
      <c r="EB80" s="77"/>
      <c r="EC80" s="78"/>
      <c r="ED80" s="77"/>
      <c r="EE80" s="78"/>
      <c r="EF80" s="77"/>
      <c r="EG80" s="78"/>
      <c r="EH80" s="77"/>
      <c r="EI80" s="78"/>
      <c r="EJ80" s="77"/>
      <c r="EK80" s="78"/>
      <c r="EL80" s="77"/>
      <c r="EM80" s="78"/>
      <c r="EN80" s="77"/>
      <c r="EO80" s="78"/>
      <c r="EP80" s="77"/>
      <c r="EQ80" s="78"/>
      <c r="ER80" s="77"/>
      <c r="ES80" s="78"/>
      <c r="ET80" s="77"/>
      <c r="EU80" s="78"/>
      <c r="EV80" s="77"/>
      <c r="EW80" s="78"/>
    </row>
    <row r="81" spans="1:309" ht="15" customHeight="1" x14ac:dyDescent="0.3">
      <c r="A81" s="77">
        <f>_xlfn.XLOOKUP(DADOS!$B$3,DADOS!$D$2:$DI$2,DADOS!$D81:$DI81,"",0)</f>
        <v>0</v>
      </c>
      <c r="B81" s="78">
        <f>_xlfn.XLOOKUP(DADOS!$B$3,DADOS!$E$112:$AS$112,DADOS!$E189:$AS189,"",0)</f>
        <v>0</v>
      </c>
      <c r="C81" s="295" t="s">
        <v>249</v>
      </c>
      <c r="D81" s="290"/>
      <c r="E81" s="78" cm="1">
        <f t="array" ref="E81">_xlfn.XLOOKUP(D$2,$D$112:$BF$112,$D189:BF189,0,0)</f>
        <v>0</v>
      </c>
      <c r="F81" s="290"/>
      <c r="G81" s="78">
        <f t="shared" si="55"/>
        <v>0</v>
      </c>
      <c r="H81" s="290"/>
      <c r="I81" s="78">
        <f t="shared" si="56"/>
        <v>0</v>
      </c>
      <c r="J81" s="290">
        <v>0</v>
      </c>
      <c r="K81" s="78">
        <f t="shared" si="57"/>
        <v>0</v>
      </c>
      <c r="L81" s="290"/>
      <c r="M81" s="78">
        <f t="shared" si="57"/>
        <v>0</v>
      </c>
      <c r="N81" s="290"/>
      <c r="O81" s="78">
        <f t="shared" si="58"/>
        <v>0</v>
      </c>
      <c r="P81" s="290"/>
      <c r="Q81" s="78">
        <f t="shared" si="59"/>
        <v>0</v>
      </c>
      <c r="R81" s="290"/>
      <c r="S81" s="78">
        <f t="shared" si="60"/>
        <v>0</v>
      </c>
      <c r="T81" s="290"/>
      <c r="U81" s="78">
        <f t="shared" si="61"/>
        <v>0</v>
      </c>
      <c r="V81" s="290"/>
      <c r="W81" s="78">
        <f t="shared" si="62"/>
        <v>0</v>
      </c>
      <c r="X81" s="290"/>
      <c r="Y81" s="78"/>
      <c r="Z81" s="290"/>
      <c r="AA81" s="78"/>
      <c r="AB81" s="290"/>
      <c r="AC81" s="78"/>
      <c r="AD81" s="280"/>
      <c r="AE81" s="78"/>
      <c r="AF81" s="280"/>
      <c r="AG81" s="78"/>
      <c r="AH81" s="280"/>
      <c r="AI81" s="78"/>
      <c r="AJ81" s="280"/>
      <c r="AK81" s="78"/>
      <c r="AL81" s="280"/>
      <c r="AM81" s="78"/>
      <c r="AN81" s="280"/>
      <c r="AO81" s="78"/>
      <c r="AP81" s="280"/>
      <c r="AQ81" s="78"/>
      <c r="AR81" s="280"/>
      <c r="AS81" s="78"/>
      <c r="AT81" s="280"/>
      <c r="AU81" s="78"/>
      <c r="AV81" s="280"/>
      <c r="AW81" s="78"/>
      <c r="AX81" s="280"/>
      <c r="AY81" s="78"/>
      <c r="AZ81" s="280"/>
      <c r="BA81" s="78"/>
      <c r="BB81" s="280"/>
      <c r="BC81" s="78"/>
      <c r="BD81" s="280"/>
      <c r="BE81" s="78"/>
      <c r="BF81" s="280"/>
      <c r="BG81" s="78"/>
      <c r="BH81" s="280"/>
      <c r="BI81" s="78"/>
      <c r="BJ81" s="280"/>
      <c r="BK81" s="78"/>
      <c r="BL81" s="280"/>
      <c r="BM81" s="78"/>
      <c r="BN81" s="280"/>
      <c r="BO81" s="78"/>
      <c r="BP81" s="280"/>
      <c r="BQ81" s="78"/>
      <c r="BR81" s="280"/>
      <c r="BS81" s="78"/>
      <c r="BT81" s="280"/>
      <c r="BU81" s="78"/>
      <c r="BV81" s="280"/>
      <c r="BW81" s="78"/>
      <c r="BX81" s="280"/>
      <c r="BY81" s="78"/>
      <c r="BZ81" s="280"/>
      <c r="CA81" s="78"/>
      <c r="CB81" s="280"/>
      <c r="CC81" s="78"/>
      <c r="CD81" s="280"/>
      <c r="CE81" s="78"/>
      <c r="CF81" s="280"/>
      <c r="CG81" s="78"/>
      <c r="CH81" s="280"/>
      <c r="CI81" s="78"/>
      <c r="CJ81" s="280"/>
      <c r="CK81" s="78"/>
      <c r="CL81" s="280"/>
      <c r="CM81" s="78"/>
      <c r="CN81" s="280"/>
      <c r="CO81" s="78"/>
      <c r="CP81" s="77"/>
      <c r="CQ81" s="78"/>
      <c r="CR81" s="77"/>
      <c r="CS81" s="78"/>
      <c r="CT81" s="77"/>
      <c r="CU81" s="78"/>
      <c r="CV81" s="77"/>
      <c r="CW81" s="78"/>
      <c r="CX81" s="77"/>
      <c r="CY81" s="78"/>
      <c r="CZ81" s="77"/>
      <c r="DA81" s="78"/>
      <c r="DB81" s="77"/>
      <c r="DC81" s="78"/>
      <c r="DD81" s="77"/>
      <c r="DE81" s="78"/>
      <c r="DF81" s="77"/>
      <c r="DG81" s="78"/>
      <c r="DH81" s="77"/>
      <c r="DI81" s="78"/>
      <c r="DJ81" s="77"/>
      <c r="DK81" s="78"/>
      <c r="DL81" s="77"/>
      <c r="DM81" s="78"/>
      <c r="DN81" s="77"/>
      <c r="DO81" s="78"/>
      <c r="DP81" s="77"/>
      <c r="DQ81" s="78"/>
      <c r="DR81" s="77"/>
      <c r="DS81" s="78"/>
      <c r="DT81" s="77"/>
      <c r="DU81" s="78"/>
      <c r="DV81" s="77"/>
      <c r="DW81" s="78"/>
      <c r="DX81" s="77"/>
      <c r="DY81" s="78"/>
      <c r="DZ81" s="77"/>
      <c r="EA81" s="78"/>
      <c r="EB81" s="77"/>
      <c r="EC81" s="78"/>
      <c r="ED81" s="77"/>
      <c r="EE81" s="78"/>
      <c r="EF81" s="77"/>
      <c r="EG81" s="78"/>
      <c r="EH81" s="77"/>
      <c r="EI81" s="78"/>
      <c r="EJ81" s="77"/>
      <c r="EK81" s="78"/>
      <c r="EL81" s="77"/>
      <c r="EM81" s="78"/>
      <c r="EN81" s="77"/>
      <c r="EO81" s="78"/>
      <c r="EP81" s="77"/>
      <c r="EQ81" s="78"/>
      <c r="ER81" s="77"/>
      <c r="ES81" s="78"/>
      <c r="ET81" s="77"/>
      <c r="EU81" s="78"/>
      <c r="EV81" s="77"/>
      <c r="EW81" s="78"/>
    </row>
    <row r="82" spans="1:309" ht="15" customHeight="1" x14ac:dyDescent="0.3">
      <c r="A82" s="77">
        <f>_xlfn.XLOOKUP(DADOS!$B$3,DADOS!$D$2:$DI$2,DADOS!$D82:$DI82,"",0)</f>
        <v>0</v>
      </c>
      <c r="B82" s="78">
        <f>_xlfn.XLOOKUP(DADOS!$B$3,DADOS!$E$112:$AS$112,DADOS!$E190:$AS190,"",0)</f>
        <v>0</v>
      </c>
      <c r="C82" s="295" t="s">
        <v>274</v>
      </c>
      <c r="D82" s="290"/>
      <c r="E82" s="78" cm="1">
        <f t="array" ref="E82">_xlfn.XLOOKUP(D$2,$D$112:$BF$112,$D190:BF190,0,0)</f>
        <v>0</v>
      </c>
      <c r="F82" s="290"/>
      <c r="G82" s="78">
        <f t="shared" si="55"/>
        <v>0</v>
      </c>
      <c r="H82" s="290"/>
      <c r="I82" s="78">
        <f t="shared" si="56"/>
        <v>0</v>
      </c>
      <c r="J82" s="290">
        <v>0</v>
      </c>
      <c r="K82" s="78">
        <f t="shared" si="57"/>
        <v>0</v>
      </c>
      <c r="L82" s="290"/>
      <c r="M82" s="78">
        <f t="shared" si="57"/>
        <v>0</v>
      </c>
      <c r="N82" s="290"/>
      <c r="O82" s="78">
        <f t="shared" si="58"/>
        <v>0</v>
      </c>
      <c r="P82" s="290"/>
      <c r="Q82" s="78">
        <f t="shared" si="59"/>
        <v>0</v>
      </c>
      <c r="R82" s="290"/>
      <c r="S82" s="78">
        <f t="shared" si="60"/>
        <v>0</v>
      </c>
      <c r="T82" s="290"/>
      <c r="U82" s="78">
        <f t="shared" si="61"/>
        <v>0</v>
      </c>
      <c r="V82" s="290"/>
      <c r="W82" s="78">
        <f t="shared" si="62"/>
        <v>0</v>
      </c>
      <c r="X82" s="290"/>
      <c r="Y82" s="78"/>
      <c r="Z82" s="290"/>
      <c r="AA82" s="78"/>
      <c r="AB82" s="290"/>
      <c r="AC82" s="78"/>
      <c r="AD82" s="280"/>
      <c r="AE82" s="78"/>
      <c r="AF82" s="280"/>
      <c r="AG82" s="78"/>
      <c r="AH82" s="280"/>
      <c r="AI82" s="78"/>
      <c r="AJ82" s="280"/>
      <c r="AK82" s="78"/>
      <c r="AL82" s="280"/>
      <c r="AM82" s="78"/>
      <c r="AN82" s="280"/>
      <c r="AO82" s="78"/>
      <c r="AP82" s="280"/>
      <c r="AQ82" s="78"/>
      <c r="AR82" s="280"/>
      <c r="AS82" s="78"/>
      <c r="AT82" s="280"/>
      <c r="AU82" s="78"/>
      <c r="AV82" s="280"/>
      <c r="AW82" s="78"/>
      <c r="AX82" s="280"/>
      <c r="AY82" s="78"/>
      <c r="AZ82" s="280"/>
      <c r="BA82" s="78"/>
      <c r="BB82" s="280"/>
      <c r="BC82" s="78"/>
      <c r="BD82" s="280"/>
      <c r="BE82" s="78"/>
      <c r="BF82" s="280"/>
      <c r="BG82" s="78"/>
      <c r="BH82" s="280"/>
      <c r="BI82" s="78"/>
      <c r="BJ82" s="280"/>
      <c r="BK82" s="78"/>
      <c r="BL82" s="280"/>
      <c r="BM82" s="78"/>
      <c r="BN82" s="280"/>
      <c r="BO82" s="78"/>
      <c r="BP82" s="280"/>
      <c r="BQ82" s="78"/>
      <c r="BR82" s="280"/>
      <c r="BS82" s="78"/>
      <c r="BT82" s="280"/>
      <c r="BU82" s="78"/>
      <c r="BV82" s="280"/>
      <c r="BW82" s="78"/>
      <c r="BX82" s="280"/>
      <c r="BY82" s="78"/>
      <c r="BZ82" s="280"/>
      <c r="CA82" s="78"/>
      <c r="CB82" s="280"/>
      <c r="CC82" s="78"/>
      <c r="CD82" s="280"/>
      <c r="CE82" s="78"/>
      <c r="CF82" s="280"/>
      <c r="CG82" s="78"/>
      <c r="CH82" s="280"/>
      <c r="CI82" s="78"/>
      <c r="CJ82" s="280"/>
      <c r="CK82" s="78"/>
      <c r="CL82" s="280"/>
      <c r="CM82" s="78"/>
      <c r="CN82" s="280"/>
      <c r="CO82" s="78"/>
      <c r="CP82" s="77"/>
      <c r="CQ82" s="78"/>
      <c r="CR82" s="77"/>
      <c r="CS82" s="78"/>
      <c r="CT82" s="77"/>
      <c r="CU82" s="78"/>
      <c r="CV82" s="77"/>
      <c r="CW82" s="78"/>
      <c r="CX82" s="77"/>
      <c r="CY82" s="78"/>
      <c r="CZ82" s="77"/>
      <c r="DA82" s="78"/>
      <c r="DB82" s="77"/>
      <c r="DC82" s="78"/>
      <c r="DD82" s="77"/>
      <c r="DE82" s="78"/>
      <c r="DF82" s="77"/>
      <c r="DG82" s="78"/>
      <c r="DH82" s="77"/>
      <c r="DI82" s="78"/>
      <c r="DJ82" s="77"/>
      <c r="DK82" s="78"/>
      <c r="DL82" s="77"/>
      <c r="DM82" s="78"/>
      <c r="DN82" s="77"/>
      <c r="DO82" s="78"/>
      <c r="DP82" s="77"/>
      <c r="DQ82" s="78"/>
      <c r="DR82" s="77"/>
      <c r="DS82" s="78"/>
      <c r="DT82" s="77"/>
      <c r="DU82" s="78"/>
      <c r="DV82" s="77"/>
      <c r="DW82" s="78"/>
      <c r="DX82" s="77"/>
      <c r="DY82" s="78"/>
      <c r="DZ82" s="77"/>
      <c r="EA82" s="78"/>
      <c r="EB82" s="77"/>
      <c r="EC82" s="78"/>
      <c r="ED82" s="77"/>
      <c r="EE82" s="78"/>
      <c r="EF82" s="77"/>
      <c r="EG82" s="78"/>
      <c r="EH82" s="77"/>
      <c r="EI82" s="78"/>
      <c r="EJ82" s="77"/>
      <c r="EK82" s="78"/>
      <c r="EL82" s="77"/>
      <c r="EM82" s="78"/>
      <c r="EN82" s="77"/>
      <c r="EO82" s="78"/>
      <c r="EP82" s="77"/>
      <c r="EQ82" s="78"/>
      <c r="ER82" s="77"/>
      <c r="ES82" s="78"/>
      <c r="ET82" s="77"/>
      <c r="EU82" s="78"/>
      <c r="EV82" s="77"/>
      <c r="EW82" s="78"/>
    </row>
    <row r="83" spans="1:309" s="284" customFormat="1" ht="15" customHeight="1" x14ac:dyDescent="0.3">
      <c r="A83" s="77">
        <f>_xlfn.XLOOKUP(DADOS!$B$3,DADOS!$D$2:$DI$2,DADOS!$D83:$DI83,"",0)</f>
        <v>0</v>
      </c>
      <c r="B83" s="78">
        <f>_xlfn.XLOOKUP(DADOS!$B$3,DADOS!$E$112:$AS$112,DADOS!$E191:$AS191,"",0)</f>
        <v>0</v>
      </c>
      <c r="C83" s="287" t="s">
        <v>260</v>
      </c>
      <c r="D83" s="290"/>
      <c r="E83" s="78" cm="1">
        <f t="array" ref="E83">_xlfn.XLOOKUP(D$2,$D$112:$BF$112,$D191:BF191,0,0)</f>
        <v>0</v>
      </c>
      <c r="F83" s="290"/>
      <c r="G83" s="78">
        <f t="shared" si="55"/>
        <v>0</v>
      </c>
      <c r="H83" s="290"/>
      <c r="I83" s="78">
        <f t="shared" si="56"/>
        <v>0</v>
      </c>
      <c r="J83" s="290">
        <v>0</v>
      </c>
      <c r="K83" s="78">
        <f t="shared" si="57"/>
        <v>0</v>
      </c>
      <c r="L83" s="290"/>
      <c r="M83" s="78">
        <f t="shared" si="57"/>
        <v>0</v>
      </c>
      <c r="N83" s="290"/>
      <c r="O83" s="78">
        <f t="shared" si="58"/>
        <v>0</v>
      </c>
      <c r="P83" s="290"/>
      <c r="Q83" s="78">
        <f t="shared" si="59"/>
        <v>0</v>
      </c>
      <c r="R83" s="290"/>
      <c r="S83" s="78">
        <f t="shared" si="60"/>
        <v>0</v>
      </c>
      <c r="T83" s="290"/>
      <c r="U83" s="78">
        <f t="shared" si="61"/>
        <v>0</v>
      </c>
      <c r="V83" s="290"/>
      <c r="W83" s="78">
        <f t="shared" si="62"/>
        <v>0</v>
      </c>
      <c r="X83" s="290"/>
      <c r="Y83" s="78"/>
      <c r="Z83" s="290"/>
      <c r="AA83" s="78"/>
      <c r="AB83" s="290"/>
      <c r="AC83" s="78"/>
      <c r="AD83" s="280"/>
      <c r="AE83" s="78"/>
      <c r="AF83" s="280"/>
      <c r="AG83" s="78"/>
      <c r="AH83" s="280"/>
      <c r="AI83" s="78"/>
      <c r="AJ83" s="280"/>
      <c r="AK83" s="78"/>
      <c r="AL83" s="280"/>
      <c r="AM83" s="78"/>
      <c r="AN83" s="280"/>
      <c r="AO83" s="78"/>
      <c r="AP83" s="280"/>
      <c r="AQ83" s="78"/>
      <c r="AR83" s="280"/>
      <c r="AS83" s="78"/>
      <c r="AT83" s="280"/>
      <c r="AU83" s="78"/>
      <c r="AV83" s="280"/>
      <c r="AW83" s="78"/>
      <c r="AX83" s="280"/>
      <c r="AY83" s="78"/>
      <c r="AZ83" s="280"/>
      <c r="BA83" s="78"/>
      <c r="BB83" s="280"/>
      <c r="BC83" s="78"/>
      <c r="BD83" s="280"/>
      <c r="BE83" s="78"/>
      <c r="BF83" s="280"/>
      <c r="BG83" s="78"/>
      <c r="BH83" s="280"/>
      <c r="BI83" s="78"/>
      <c r="BJ83" s="280"/>
      <c r="BK83" s="78"/>
      <c r="BL83" s="280"/>
      <c r="BM83" s="78"/>
      <c r="BN83" s="280"/>
      <c r="BO83" s="78"/>
      <c r="BP83" s="280"/>
      <c r="BQ83" s="78"/>
      <c r="BR83" s="280"/>
      <c r="BS83" s="78"/>
      <c r="BT83" s="280"/>
      <c r="BU83" s="78"/>
      <c r="BV83" s="280"/>
      <c r="BW83" s="78"/>
      <c r="BX83" s="280"/>
      <c r="BY83" s="78"/>
      <c r="BZ83" s="280"/>
      <c r="CA83" s="78"/>
      <c r="CB83" s="280"/>
      <c r="CC83" s="78"/>
      <c r="CD83" s="280"/>
      <c r="CE83" s="78"/>
      <c r="CF83" s="280"/>
      <c r="CG83" s="78"/>
      <c r="CH83" s="280"/>
      <c r="CI83" s="78"/>
      <c r="CJ83" s="280"/>
      <c r="CK83" s="78"/>
      <c r="CL83" s="280"/>
      <c r="CM83" s="78"/>
      <c r="CN83" s="280"/>
      <c r="CO83" s="78"/>
      <c r="CP83" s="77"/>
      <c r="CQ83" s="78"/>
      <c r="CR83" s="77"/>
      <c r="CS83" s="78"/>
      <c r="CT83" s="77"/>
      <c r="CU83" s="78"/>
      <c r="CV83" s="77"/>
      <c r="CW83" s="78"/>
      <c r="CX83" s="77"/>
      <c r="CY83" s="78"/>
      <c r="CZ83" s="77"/>
      <c r="DA83" s="78"/>
      <c r="DB83" s="77"/>
      <c r="DC83" s="78"/>
      <c r="DD83" s="77"/>
      <c r="DE83" s="78"/>
      <c r="DF83" s="77"/>
      <c r="DG83" s="78"/>
      <c r="DH83" s="77"/>
      <c r="DI83" s="78"/>
      <c r="DJ83" s="77"/>
      <c r="DK83" s="78"/>
      <c r="DL83" s="77"/>
      <c r="DM83" s="78"/>
      <c r="DN83" s="77"/>
      <c r="DO83" s="78"/>
      <c r="DP83" s="77"/>
      <c r="DQ83" s="78"/>
      <c r="DR83" s="77"/>
      <c r="DS83" s="78"/>
      <c r="DT83" s="77"/>
      <c r="DU83" s="78"/>
      <c r="DV83" s="77"/>
      <c r="DW83" s="78"/>
      <c r="DX83" s="77"/>
      <c r="DY83" s="78"/>
      <c r="DZ83" s="77"/>
      <c r="EA83" s="78"/>
      <c r="EB83" s="77"/>
      <c r="EC83" s="78"/>
      <c r="ED83" s="77"/>
      <c r="EE83" s="78"/>
      <c r="EF83" s="77"/>
      <c r="EG83" s="78"/>
      <c r="EH83" s="77"/>
      <c r="EI83" s="78"/>
      <c r="EJ83" s="77"/>
      <c r="EK83" s="78"/>
      <c r="EL83" s="77"/>
      <c r="EM83" s="78"/>
      <c r="EN83" s="77"/>
      <c r="EO83" s="78"/>
      <c r="EP83" s="77"/>
      <c r="EQ83" s="78"/>
      <c r="ER83" s="77"/>
      <c r="ES83" s="78"/>
      <c r="ET83" s="77"/>
      <c r="EU83" s="78"/>
      <c r="EV83" s="77"/>
      <c r="EW83" s="78"/>
      <c r="EX83"/>
      <c r="EY83"/>
      <c r="EZ83"/>
      <c r="FA83"/>
      <c r="FB83"/>
      <c r="FC83"/>
      <c r="FD83"/>
      <c r="FE83"/>
      <c r="FF83"/>
      <c r="FG83"/>
      <c r="FH83"/>
      <c r="FI83"/>
      <c r="FJ83"/>
      <c r="FK83"/>
      <c r="FL83"/>
      <c r="FM83"/>
      <c r="FN83"/>
      <c r="FO83"/>
      <c r="FP83"/>
      <c r="FQ83"/>
      <c r="FR83"/>
      <c r="FS83"/>
      <c r="FT83"/>
      <c r="FU83"/>
      <c r="FV83"/>
      <c r="FW83"/>
      <c r="FX83"/>
      <c r="FY83"/>
      <c r="FZ83"/>
      <c r="GA83"/>
      <c r="GB83"/>
      <c r="GC83"/>
      <c r="GD83"/>
      <c r="GE83"/>
      <c r="GF83"/>
      <c r="GG83"/>
      <c r="GH83"/>
      <c r="GI83"/>
      <c r="GJ83"/>
      <c r="GK83"/>
      <c r="GL83"/>
      <c r="GM83"/>
      <c r="GN83"/>
      <c r="GO83"/>
      <c r="GP83"/>
      <c r="GQ83"/>
      <c r="GR83"/>
      <c r="GS83"/>
      <c r="GT83"/>
      <c r="GU83"/>
      <c r="GV83"/>
      <c r="GW83"/>
      <c r="GX83"/>
      <c r="GY83"/>
      <c r="GZ83"/>
      <c r="HA83"/>
      <c r="HB83"/>
      <c r="HC83"/>
      <c r="HD83"/>
      <c r="HE83"/>
      <c r="HF83"/>
      <c r="HG83"/>
      <c r="HH83"/>
      <c r="HI83"/>
      <c r="HJ83"/>
      <c r="HK83"/>
      <c r="HL83"/>
      <c r="HM83"/>
      <c r="HN83"/>
      <c r="HO83"/>
      <c r="HP83"/>
      <c r="HQ83"/>
      <c r="HR83"/>
      <c r="HS83"/>
      <c r="HT83"/>
      <c r="HU83"/>
      <c r="HV83"/>
      <c r="HW83"/>
      <c r="HX83"/>
      <c r="HY83"/>
      <c r="HZ83"/>
      <c r="IA83"/>
      <c r="IB83"/>
      <c r="IC83"/>
      <c r="ID83"/>
      <c r="IE83"/>
      <c r="IF83"/>
      <c r="IG83"/>
      <c r="IH83"/>
      <c r="II83"/>
      <c r="IJ83"/>
      <c r="IK83"/>
      <c r="IL83"/>
      <c r="IM83"/>
      <c r="IN83"/>
      <c r="IO83"/>
      <c r="IP83"/>
      <c r="IQ83"/>
      <c r="IR83"/>
      <c r="IS83"/>
      <c r="IT83"/>
      <c r="IU83"/>
      <c r="IV83"/>
      <c r="IW83"/>
      <c r="IX83"/>
      <c r="IY83"/>
      <c r="IZ83"/>
      <c r="JA83"/>
      <c r="JB83"/>
      <c r="JC83"/>
      <c r="JD83"/>
      <c r="JE83"/>
      <c r="JF83"/>
      <c r="JG83"/>
      <c r="JH83"/>
      <c r="JI83"/>
      <c r="JJ83"/>
      <c r="JK83"/>
      <c r="JL83"/>
      <c r="JM83"/>
      <c r="JN83"/>
      <c r="JO83"/>
      <c r="JP83"/>
      <c r="JQ83"/>
      <c r="JR83"/>
      <c r="JS83"/>
      <c r="JT83"/>
      <c r="JU83"/>
      <c r="JV83"/>
      <c r="JW83"/>
      <c r="JX83"/>
      <c r="JY83"/>
      <c r="JZ83"/>
      <c r="KA83"/>
      <c r="KB83"/>
      <c r="KC83"/>
      <c r="KD83"/>
      <c r="KE83"/>
      <c r="KF83"/>
      <c r="KG83"/>
      <c r="KH83"/>
      <c r="KI83"/>
      <c r="KJ83"/>
      <c r="KK83"/>
      <c r="KL83"/>
      <c r="KM83"/>
      <c r="KN83"/>
      <c r="KO83"/>
      <c r="KP83"/>
      <c r="KQ83"/>
      <c r="KR83"/>
      <c r="KS83"/>
      <c r="KT83"/>
      <c r="KU83"/>
      <c r="KV83"/>
      <c r="KW83"/>
    </row>
    <row r="84" spans="1:309" ht="15" customHeight="1" x14ac:dyDescent="0.3">
      <c r="A84" s="77">
        <f>_xlfn.XLOOKUP(DADOS!$B$3,DADOS!$D$2:$DI$2,DADOS!$D84:$DI84,"",0)</f>
        <v>0</v>
      </c>
      <c r="B84" s="78">
        <f>_xlfn.XLOOKUP(DADOS!$B$3,DADOS!$E$112:$AS$112,DADOS!$E192:$AS192,"",0)</f>
        <v>0</v>
      </c>
      <c r="C84" s="295" t="s">
        <v>237</v>
      </c>
      <c r="D84" s="290"/>
      <c r="E84" s="78" cm="1">
        <f t="array" ref="E84">_xlfn.XLOOKUP(D$2,$D$112:$BF$112,$D192:BF192,0,0)</f>
        <v>0</v>
      </c>
      <c r="F84" s="290"/>
      <c r="G84" s="78">
        <f t="shared" si="55"/>
        <v>0</v>
      </c>
      <c r="H84" s="290"/>
      <c r="I84" s="78">
        <f t="shared" si="56"/>
        <v>0</v>
      </c>
      <c r="J84" s="290">
        <v>0</v>
      </c>
      <c r="K84" s="78">
        <f t="shared" si="57"/>
        <v>0</v>
      </c>
      <c r="L84" s="290"/>
      <c r="M84" s="78">
        <f t="shared" si="57"/>
        <v>0</v>
      </c>
      <c r="N84" s="290"/>
      <c r="O84" s="78">
        <f t="shared" si="58"/>
        <v>0</v>
      </c>
      <c r="P84" s="290"/>
      <c r="Q84" s="78">
        <f t="shared" si="59"/>
        <v>0</v>
      </c>
      <c r="R84" s="290"/>
      <c r="S84" s="78">
        <f t="shared" si="60"/>
        <v>0</v>
      </c>
      <c r="T84" s="290"/>
      <c r="U84" s="78">
        <f t="shared" si="61"/>
        <v>0</v>
      </c>
      <c r="V84" s="290"/>
      <c r="W84" s="78">
        <f t="shared" si="62"/>
        <v>0</v>
      </c>
      <c r="X84" s="290"/>
      <c r="Y84" s="78"/>
      <c r="Z84" s="290"/>
      <c r="AA84" s="78"/>
      <c r="AB84" s="290"/>
      <c r="AC84" s="78"/>
      <c r="AD84" s="280"/>
      <c r="AE84" s="78"/>
      <c r="AF84" s="280"/>
      <c r="AG84" s="78"/>
      <c r="AH84" s="280"/>
      <c r="AI84" s="78"/>
      <c r="AJ84" s="280"/>
      <c r="AK84" s="78"/>
      <c r="AL84" s="280"/>
      <c r="AM84" s="78"/>
      <c r="AN84" s="280"/>
      <c r="AO84" s="78"/>
      <c r="AP84" s="280"/>
      <c r="AQ84" s="78"/>
      <c r="AR84" s="280"/>
      <c r="AS84" s="78"/>
      <c r="AT84" s="280"/>
      <c r="AU84" s="78"/>
      <c r="AV84" s="280"/>
      <c r="AW84" s="78"/>
      <c r="AX84" s="280"/>
      <c r="AY84" s="78"/>
      <c r="AZ84" s="280"/>
      <c r="BA84" s="78"/>
      <c r="BB84" s="280"/>
      <c r="BC84" s="78"/>
      <c r="BD84" s="280"/>
      <c r="BE84" s="78"/>
      <c r="BF84" s="280"/>
      <c r="BG84" s="78"/>
      <c r="BH84" s="280"/>
      <c r="BI84" s="78"/>
      <c r="BJ84" s="280"/>
      <c r="BK84" s="78"/>
      <c r="BL84" s="280"/>
      <c r="BM84" s="78"/>
      <c r="BN84" s="280"/>
      <c r="BO84" s="78"/>
      <c r="BP84" s="280"/>
      <c r="BQ84" s="78"/>
      <c r="BR84" s="280"/>
      <c r="BS84" s="78"/>
      <c r="BT84" s="280"/>
      <c r="BU84" s="78"/>
      <c r="BV84" s="280"/>
      <c r="BW84" s="78"/>
      <c r="BX84" s="280"/>
      <c r="BY84" s="78"/>
      <c r="BZ84" s="280"/>
      <c r="CA84" s="78"/>
      <c r="CB84" s="280"/>
      <c r="CC84" s="78"/>
      <c r="CD84" s="280"/>
      <c r="CE84" s="78"/>
      <c r="CF84" s="280"/>
      <c r="CG84" s="78"/>
      <c r="CH84" s="280"/>
      <c r="CI84" s="78"/>
      <c r="CJ84" s="280"/>
      <c r="CK84" s="78"/>
      <c r="CL84" s="280"/>
      <c r="CM84" s="78"/>
      <c r="CN84" s="280"/>
      <c r="CO84" s="78"/>
      <c r="CP84" s="77"/>
      <c r="CQ84" s="78"/>
      <c r="CR84" s="77"/>
      <c r="CS84" s="78"/>
      <c r="CT84" s="77"/>
      <c r="CU84" s="78"/>
      <c r="CV84" s="77"/>
      <c r="CW84" s="78"/>
      <c r="CX84" s="77"/>
      <c r="CY84" s="78"/>
      <c r="CZ84" s="77"/>
      <c r="DA84" s="78"/>
      <c r="DB84" s="77"/>
      <c r="DC84" s="78"/>
      <c r="DD84" s="77"/>
      <c r="DE84" s="78"/>
      <c r="DF84" s="77"/>
      <c r="DG84" s="78"/>
      <c r="DH84" s="77"/>
      <c r="DI84" s="78"/>
      <c r="DJ84" s="77"/>
      <c r="DK84" s="78"/>
      <c r="DL84" s="77"/>
      <c r="DM84" s="78"/>
      <c r="DN84" s="77"/>
      <c r="DO84" s="78"/>
      <c r="DP84" s="77"/>
      <c r="DQ84" s="78"/>
      <c r="DR84" s="77"/>
      <c r="DS84" s="78"/>
      <c r="DT84" s="77"/>
      <c r="DU84" s="78"/>
      <c r="DV84" s="77"/>
      <c r="DW84" s="78"/>
      <c r="DX84" s="77"/>
      <c r="DY84" s="78"/>
      <c r="DZ84" s="77"/>
      <c r="EA84" s="78"/>
      <c r="EB84" s="77"/>
      <c r="EC84" s="78"/>
      <c r="ED84" s="77"/>
      <c r="EE84" s="78"/>
      <c r="EF84" s="77"/>
      <c r="EG84" s="78"/>
      <c r="EH84" s="77"/>
      <c r="EI84" s="78"/>
      <c r="EJ84" s="77"/>
      <c r="EK84" s="78"/>
      <c r="EL84" s="77"/>
      <c r="EM84" s="78"/>
      <c r="EN84" s="77"/>
      <c r="EO84" s="78"/>
      <c r="EP84" s="77"/>
      <c r="EQ84" s="78"/>
      <c r="ER84" s="77"/>
      <c r="ES84" s="78"/>
      <c r="ET84" s="77"/>
      <c r="EU84" s="78"/>
      <c r="EV84" s="77"/>
      <c r="EW84" s="78"/>
    </row>
    <row r="85" spans="1:309" ht="15" customHeight="1" x14ac:dyDescent="0.3">
      <c r="A85" s="77">
        <f>_xlfn.XLOOKUP(DADOS!$B$3,DADOS!$D$2:$DI$2,DADOS!$D85:$DI85,"",0)</f>
        <v>0</v>
      </c>
      <c r="B85" s="78">
        <f>_xlfn.XLOOKUP(DADOS!$B$3,DADOS!$E$112:$AS$112,DADOS!$E193:$AS193,"",0)</f>
        <v>0</v>
      </c>
      <c r="C85" s="295" t="s">
        <v>254</v>
      </c>
      <c r="D85" s="290"/>
      <c r="E85" s="78" cm="1">
        <f t="array" ref="E85">_xlfn.XLOOKUP(D$2,$D$112:$BF$112,$D193:BF193,0,0)</f>
        <v>0</v>
      </c>
      <c r="F85" s="290"/>
      <c r="G85" s="78">
        <f t="shared" si="55"/>
        <v>0</v>
      </c>
      <c r="H85" s="290"/>
      <c r="I85" s="78">
        <f t="shared" si="56"/>
        <v>0</v>
      </c>
      <c r="J85" s="290">
        <v>0</v>
      </c>
      <c r="K85" s="78">
        <f t="shared" si="57"/>
        <v>0</v>
      </c>
      <c r="L85" s="290"/>
      <c r="M85" s="78">
        <f t="shared" si="57"/>
        <v>0</v>
      </c>
      <c r="N85" s="290"/>
      <c r="O85" s="78">
        <f t="shared" si="58"/>
        <v>0</v>
      </c>
      <c r="P85" s="290"/>
      <c r="Q85" s="78">
        <f t="shared" si="59"/>
        <v>0</v>
      </c>
      <c r="R85" s="290"/>
      <c r="S85" s="78">
        <f t="shared" si="60"/>
        <v>0</v>
      </c>
      <c r="T85" s="290"/>
      <c r="U85" s="78">
        <f t="shared" si="61"/>
        <v>0</v>
      </c>
      <c r="V85" s="290"/>
      <c r="W85" s="78">
        <f t="shared" si="62"/>
        <v>0</v>
      </c>
      <c r="X85" s="290"/>
      <c r="Y85" s="78"/>
      <c r="Z85" s="290"/>
      <c r="AA85" s="78"/>
      <c r="AB85" s="290"/>
      <c r="AC85" s="78"/>
      <c r="AD85" s="280"/>
      <c r="AE85" s="78"/>
      <c r="AF85" s="280"/>
      <c r="AG85" s="78"/>
      <c r="AH85" s="280"/>
      <c r="AI85" s="78"/>
      <c r="AJ85" s="280"/>
      <c r="AK85" s="78"/>
      <c r="AL85" s="280"/>
      <c r="AM85" s="78"/>
      <c r="AN85" s="280"/>
      <c r="AO85" s="78"/>
      <c r="AP85" s="280"/>
      <c r="AQ85" s="78"/>
      <c r="AR85" s="280"/>
      <c r="AS85" s="78"/>
      <c r="AT85" s="280"/>
      <c r="AU85" s="78"/>
      <c r="AV85" s="280"/>
      <c r="AW85" s="78"/>
      <c r="AX85" s="280"/>
      <c r="AY85" s="78"/>
      <c r="AZ85" s="280"/>
      <c r="BA85" s="78"/>
      <c r="BB85" s="280"/>
      <c r="BC85" s="78"/>
      <c r="BD85" s="280"/>
      <c r="BE85" s="78"/>
      <c r="BF85" s="280"/>
      <c r="BG85" s="78"/>
      <c r="BH85" s="280"/>
      <c r="BI85" s="78"/>
      <c r="BJ85" s="280"/>
      <c r="BK85" s="78"/>
      <c r="BL85" s="280"/>
      <c r="BM85" s="78"/>
      <c r="BN85" s="280"/>
      <c r="BO85" s="78"/>
      <c r="BP85" s="280"/>
      <c r="BQ85" s="78"/>
      <c r="BR85" s="280"/>
      <c r="BS85" s="78"/>
      <c r="BT85" s="280"/>
      <c r="BU85" s="78"/>
      <c r="BV85" s="280"/>
      <c r="BW85" s="78"/>
      <c r="BX85" s="280"/>
      <c r="BY85" s="78"/>
      <c r="BZ85" s="280"/>
      <c r="CA85" s="78"/>
      <c r="CB85" s="280"/>
      <c r="CC85" s="78"/>
      <c r="CD85" s="280"/>
      <c r="CE85" s="78"/>
      <c r="CF85" s="280"/>
      <c r="CG85" s="78"/>
      <c r="CH85" s="280"/>
      <c r="CI85" s="78"/>
      <c r="CJ85" s="280"/>
      <c r="CK85" s="78"/>
      <c r="CL85" s="280"/>
      <c r="CM85" s="78"/>
      <c r="CN85" s="280"/>
      <c r="CO85" s="78"/>
      <c r="CP85" s="77"/>
      <c r="CQ85" s="78"/>
      <c r="CR85" s="77"/>
      <c r="CS85" s="78"/>
      <c r="CT85" s="77"/>
      <c r="CU85" s="78"/>
      <c r="CV85" s="77"/>
      <c r="CW85" s="78"/>
      <c r="CX85" s="77"/>
      <c r="CY85" s="78"/>
      <c r="CZ85" s="77"/>
      <c r="DA85" s="78"/>
      <c r="DB85" s="77"/>
      <c r="DC85" s="78"/>
      <c r="DD85" s="77"/>
      <c r="DE85" s="78"/>
      <c r="DF85" s="77"/>
      <c r="DG85" s="78"/>
      <c r="DH85" s="77"/>
      <c r="DI85" s="78"/>
      <c r="DJ85" s="77"/>
      <c r="DK85" s="78"/>
      <c r="DL85" s="77"/>
      <c r="DM85" s="78"/>
      <c r="DN85" s="77"/>
      <c r="DO85" s="78"/>
      <c r="DP85" s="77"/>
      <c r="DQ85" s="78"/>
      <c r="DR85" s="77"/>
      <c r="DS85" s="78"/>
      <c r="DT85" s="77"/>
      <c r="DU85" s="78"/>
      <c r="DV85" s="77"/>
      <c r="DW85" s="78"/>
      <c r="DX85" s="77"/>
      <c r="DY85" s="78"/>
      <c r="DZ85" s="77"/>
      <c r="EA85" s="78"/>
      <c r="EB85" s="77"/>
      <c r="EC85" s="78"/>
      <c r="ED85" s="77"/>
      <c r="EE85" s="78"/>
      <c r="EF85" s="77"/>
      <c r="EG85" s="78"/>
      <c r="EH85" s="77"/>
      <c r="EI85" s="78"/>
      <c r="EJ85" s="77"/>
      <c r="EK85" s="78"/>
      <c r="EL85" s="77"/>
      <c r="EM85" s="78"/>
      <c r="EN85" s="77"/>
      <c r="EO85" s="78"/>
      <c r="EP85" s="77"/>
      <c r="EQ85" s="78"/>
      <c r="ER85" s="77"/>
      <c r="ES85" s="78"/>
      <c r="ET85" s="77"/>
      <c r="EU85" s="78"/>
      <c r="EV85" s="77"/>
      <c r="EW85" s="78"/>
    </row>
    <row r="86" spans="1:309" ht="15" customHeight="1" x14ac:dyDescent="0.3">
      <c r="A86" s="77">
        <f>_xlfn.XLOOKUP(DADOS!$B$3,DADOS!$D$2:$DI$2,DADOS!$D86:$DI86,"",0)</f>
        <v>0</v>
      </c>
      <c r="B86" s="78">
        <f>_xlfn.XLOOKUP(DADOS!$B$3,DADOS!$E$112:$AS$112,DADOS!$E194:$AS194,"",0)</f>
        <v>0</v>
      </c>
      <c r="C86" s="295" t="s">
        <v>239</v>
      </c>
      <c r="D86" s="290"/>
      <c r="E86" s="78" cm="1">
        <f t="array" ref="E86">_xlfn.XLOOKUP(D$2,$D$112:$BF$112,$D194:BF194,0,0)</f>
        <v>0</v>
      </c>
      <c r="F86" s="290"/>
      <c r="G86" s="78">
        <f t="shared" si="55"/>
        <v>0</v>
      </c>
      <c r="H86" s="290"/>
      <c r="I86" s="78">
        <f t="shared" si="56"/>
        <v>0</v>
      </c>
      <c r="J86" s="290">
        <v>0</v>
      </c>
      <c r="K86" s="78">
        <f t="shared" si="57"/>
        <v>0</v>
      </c>
      <c r="L86" s="290"/>
      <c r="M86" s="78">
        <f t="shared" si="57"/>
        <v>0</v>
      </c>
      <c r="N86" s="290"/>
      <c r="O86" s="78">
        <f t="shared" si="58"/>
        <v>0</v>
      </c>
      <c r="P86" s="290"/>
      <c r="Q86" s="78">
        <f t="shared" si="59"/>
        <v>0</v>
      </c>
      <c r="R86" s="290"/>
      <c r="S86" s="78">
        <f t="shared" si="60"/>
        <v>0</v>
      </c>
      <c r="T86" s="290"/>
      <c r="U86" s="78">
        <f t="shared" si="61"/>
        <v>0</v>
      </c>
      <c r="V86" s="290"/>
      <c r="W86" s="78">
        <f t="shared" si="62"/>
        <v>0</v>
      </c>
      <c r="X86" s="290"/>
      <c r="Y86" s="78"/>
      <c r="Z86" s="290"/>
      <c r="AA86" s="78"/>
      <c r="AB86" s="290"/>
      <c r="AC86" s="78"/>
      <c r="AD86" s="280"/>
      <c r="AE86" s="78"/>
      <c r="AF86" s="280"/>
      <c r="AG86" s="78"/>
      <c r="AH86" s="280"/>
      <c r="AI86" s="78"/>
      <c r="AJ86" s="280"/>
      <c r="AK86" s="78"/>
      <c r="AL86" s="280"/>
      <c r="AM86" s="78"/>
      <c r="AN86" s="280"/>
      <c r="AO86" s="78"/>
      <c r="AP86" s="280"/>
      <c r="AQ86" s="78"/>
      <c r="AR86" s="280"/>
      <c r="AS86" s="78"/>
      <c r="AT86" s="280"/>
      <c r="AU86" s="78"/>
      <c r="AV86" s="280"/>
      <c r="AW86" s="78"/>
      <c r="AX86" s="280"/>
      <c r="AY86" s="78"/>
      <c r="AZ86" s="280"/>
      <c r="BA86" s="78"/>
      <c r="BB86" s="280"/>
      <c r="BC86" s="78"/>
      <c r="BD86" s="280"/>
      <c r="BE86" s="78"/>
      <c r="BF86" s="280"/>
      <c r="BG86" s="78"/>
      <c r="BH86" s="280"/>
      <c r="BI86" s="78"/>
      <c r="BJ86" s="280"/>
      <c r="BK86" s="78"/>
      <c r="BL86" s="280"/>
      <c r="BM86" s="78"/>
      <c r="BN86" s="280"/>
      <c r="BO86" s="78"/>
      <c r="BP86" s="280"/>
      <c r="BQ86" s="78"/>
      <c r="BR86" s="280"/>
      <c r="BS86" s="78"/>
      <c r="BT86" s="280"/>
      <c r="BU86" s="78"/>
      <c r="BV86" s="280"/>
      <c r="BW86" s="78"/>
      <c r="BX86" s="280"/>
      <c r="BY86" s="78"/>
      <c r="BZ86" s="280"/>
      <c r="CA86" s="78"/>
      <c r="CB86" s="280"/>
      <c r="CC86" s="78"/>
      <c r="CD86" s="280"/>
      <c r="CE86" s="78"/>
      <c r="CF86" s="280"/>
      <c r="CG86" s="78"/>
      <c r="CH86" s="280"/>
      <c r="CI86" s="78"/>
      <c r="CJ86" s="280"/>
      <c r="CK86" s="78"/>
      <c r="CL86" s="280"/>
      <c r="CM86" s="78"/>
      <c r="CN86" s="280"/>
      <c r="CO86" s="78"/>
      <c r="CP86" s="77"/>
      <c r="CQ86" s="78"/>
      <c r="CR86" s="77"/>
      <c r="CS86" s="78"/>
      <c r="CT86" s="77"/>
      <c r="CU86" s="78"/>
      <c r="CV86" s="77"/>
      <c r="CW86" s="78"/>
      <c r="CX86" s="77"/>
      <c r="CY86" s="78"/>
      <c r="CZ86" s="77"/>
      <c r="DA86" s="78"/>
      <c r="DB86" s="77"/>
      <c r="DC86" s="78"/>
      <c r="DD86" s="77"/>
      <c r="DE86" s="78"/>
      <c r="DF86" s="77"/>
      <c r="DG86" s="78"/>
      <c r="DH86" s="77"/>
      <c r="DI86" s="78"/>
      <c r="DJ86" s="77"/>
      <c r="DK86" s="78"/>
      <c r="DL86" s="77"/>
      <c r="DM86" s="78"/>
      <c r="DN86" s="77"/>
      <c r="DO86" s="78"/>
      <c r="DP86" s="77"/>
      <c r="DQ86" s="78"/>
      <c r="DR86" s="77"/>
      <c r="DS86" s="78"/>
      <c r="DT86" s="77"/>
      <c r="DU86" s="78"/>
      <c r="DV86" s="77"/>
      <c r="DW86" s="78"/>
      <c r="DX86" s="77"/>
      <c r="DY86" s="78"/>
      <c r="DZ86" s="77"/>
      <c r="EA86" s="78"/>
      <c r="EB86" s="77"/>
      <c r="EC86" s="78"/>
      <c r="ED86" s="77"/>
      <c r="EE86" s="78"/>
      <c r="EF86" s="77"/>
      <c r="EG86" s="78"/>
      <c r="EH86" s="77"/>
      <c r="EI86" s="78"/>
      <c r="EJ86" s="77"/>
      <c r="EK86" s="78"/>
      <c r="EL86" s="77"/>
      <c r="EM86" s="78"/>
      <c r="EN86" s="77"/>
      <c r="EO86" s="78"/>
      <c r="EP86" s="77"/>
      <c r="EQ86" s="78"/>
      <c r="ER86" s="77"/>
      <c r="ES86" s="78"/>
      <c r="ET86" s="77"/>
      <c r="EU86" s="78"/>
      <c r="EV86" s="77"/>
      <c r="EW86" s="78"/>
    </row>
    <row r="87" spans="1:309" ht="15" customHeight="1" x14ac:dyDescent="0.3">
      <c r="A87" s="77">
        <f>_xlfn.XLOOKUP(DADOS!$B$3,DADOS!$D$2:$DI$2,DADOS!$D87:$DI87,"",0)</f>
        <v>0</v>
      </c>
      <c r="B87" s="78">
        <f>_xlfn.XLOOKUP(DADOS!$B$3,DADOS!$E$112:$AS$112,DADOS!$E195:$AS195,"",0)</f>
        <v>0</v>
      </c>
      <c r="C87" s="295" t="s">
        <v>252</v>
      </c>
      <c r="D87" s="290"/>
      <c r="E87" s="78" cm="1">
        <f t="array" ref="E87">_xlfn.XLOOKUP(D$2,$D$112:$BF$112,$D195:BF195,0,0)</f>
        <v>0</v>
      </c>
      <c r="F87" s="290"/>
      <c r="G87" s="78">
        <f t="shared" si="55"/>
        <v>0</v>
      </c>
      <c r="H87" s="290"/>
      <c r="I87" s="78">
        <f t="shared" si="56"/>
        <v>0</v>
      </c>
      <c r="J87" s="290">
        <v>0</v>
      </c>
      <c r="K87" s="78">
        <f t="shared" si="57"/>
        <v>0</v>
      </c>
      <c r="L87" s="290"/>
      <c r="M87" s="78">
        <f t="shared" si="57"/>
        <v>0</v>
      </c>
      <c r="N87" s="290"/>
      <c r="O87" s="78">
        <f t="shared" si="58"/>
        <v>0</v>
      </c>
      <c r="P87" s="290"/>
      <c r="Q87" s="78">
        <f t="shared" si="59"/>
        <v>0</v>
      </c>
      <c r="R87" s="290"/>
      <c r="S87" s="78">
        <f t="shared" si="60"/>
        <v>0</v>
      </c>
      <c r="T87" s="290"/>
      <c r="U87" s="78">
        <f t="shared" si="61"/>
        <v>0</v>
      </c>
      <c r="V87" s="290"/>
      <c r="W87" s="78">
        <f t="shared" si="62"/>
        <v>0</v>
      </c>
      <c r="X87" s="290"/>
      <c r="Y87" s="78"/>
      <c r="Z87" s="290"/>
      <c r="AA87" s="78"/>
      <c r="AB87" s="290"/>
      <c r="AC87" s="78"/>
      <c r="AD87" s="280"/>
      <c r="AE87" s="78"/>
      <c r="AF87" s="280"/>
      <c r="AG87" s="78"/>
      <c r="AH87" s="280"/>
      <c r="AI87" s="78"/>
      <c r="AJ87" s="280"/>
      <c r="AK87" s="78"/>
      <c r="AL87" s="280"/>
      <c r="AM87" s="78"/>
      <c r="AN87" s="280"/>
      <c r="AO87" s="78"/>
      <c r="AP87" s="280"/>
      <c r="AQ87" s="78"/>
      <c r="AR87" s="280"/>
      <c r="AS87" s="78"/>
      <c r="AT87" s="280"/>
      <c r="AU87" s="78"/>
      <c r="AV87" s="280"/>
      <c r="AW87" s="78"/>
      <c r="AX87" s="280"/>
      <c r="AY87" s="78"/>
      <c r="AZ87" s="280"/>
      <c r="BA87" s="78"/>
      <c r="BB87" s="280"/>
      <c r="BC87" s="78"/>
      <c r="BD87" s="280"/>
      <c r="BE87" s="78"/>
      <c r="BF87" s="280"/>
      <c r="BG87" s="78"/>
      <c r="BH87" s="280"/>
      <c r="BI87" s="78"/>
      <c r="BJ87" s="280"/>
      <c r="BK87" s="78"/>
      <c r="BL87" s="280"/>
      <c r="BM87" s="78"/>
      <c r="BN87" s="280"/>
      <c r="BO87" s="78"/>
      <c r="BP87" s="280"/>
      <c r="BQ87" s="78"/>
      <c r="BR87" s="280"/>
      <c r="BS87" s="78"/>
      <c r="BT87" s="280"/>
      <c r="BU87" s="78"/>
      <c r="BV87" s="280"/>
      <c r="BW87" s="78"/>
      <c r="BX87" s="280"/>
      <c r="BY87" s="78"/>
      <c r="BZ87" s="280"/>
      <c r="CA87" s="78"/>
      <c r="CB87" s="280"/>
      <c r="CC87" s="78"/>
      <c r="CD87" s="280"/>
      <c r="CE87" s="78"/>
      <c r="CF87" s="280"/>
      <c r="CG87" s="78"/>
      <c r="CH87" s="280"/>
      <c r="CI87" s="78"/>
      <c r="CJ87" s="280"/>
      <c r="CK87" s="78"/>
      <c r="CL87" s="280"/>
      <c r="CM87" s="78"/>
      <c r="CN87" s="280"/>
      <c r="CO87" s="78"/>
      <c r="CP87" s="77"/>
      <c r="CQ87" s="78"/>
      <c r="CR87" s="77"/>
      <c r="CS87" s="78"/>
      <c r="CT87" s="77"/>
      <c r="CU87" s="78"/>
      <c r="CV87" s="77"/>
      <c r="CW87" s="78"/>
      <c r="CX87" s="77"/>
      <c r="CY87" s="78"/>
      <c r="CZ87" s="77"/>
      <c r="DA87" s="78"/>
      <c r="DB87" s="77"/>
      <c r="DC87" s="78"/>
      <c r="DD87" s="77"/>
      <c r="DE87" s="78"/>
      <c r="DF87" s="77"/>
      <c r="DG87" s="78"/>
      <c r="DH87" s="77"/>
      <c r="DI87" s="78"/>
      <c r="DJ87" s="77"/>
      <c r="DK87" s="78"/>
      <c r="DL87" s="77"/>
      <c r="DM87" s="78"/>
      <c r="DN87" s="77"/>
      <c r="DO87" s="78"/>
      <c r="DP87" s="77"/>
      <c r="DQ87" s="78"/>
      <c r="DR87" s="77"/>
      <c r="DS87" s="78"/>
      <c r="DT87" s="77"/>
      <c r="DU87" s="78"/>
      <c r="DV87" s="77"/>
      <c r="DW87" s="78"/>
      <c r="DX87" s="77"/>
      <c r="DY87" s="78"/>
      <c r="DZ87" s="77"/>
      <c r="EA87" s="78"/>
      <c r="EB87" s="77"/>
      <c r="EC87" s="78"/>
      <c r="ED87" s="77"/>
      <c r="EE87" s="78"/>
      <c r="EF87" s="77"/>
      <c r="EG87" s="78"/>
      <c r="EH87" s="77"/>
      <c r="EI87" s="78"/>
      <c r="EJ87" s="77"/>
      <c r="EK87" s="78"/>
      <c r="EL87" s="77"/>
      <c r="EM87" s="78"/>
      <c r="EN87" s="77"/>
      <c r="EO87" s="78"/>
      <c r="EP87" s="77"/>
      <c r="EQ87" s="78"/>
      <c r="ER87" s="77"/>
      <c r="ES87" s="78"/>
      <c r="ET87" s="77"/>
      <c r="EU87" s="78"/>
      <c r="EV87" s="77"/>
      <c r="EW87" s="78"/>
    </row>
    <row r="88" spans="1:309" ht="15" customHeight="1" x14ac:dyDescent="0.3">
      <c r="A88" s="77">
        <f>_xlfn.XLOOKUP(DADOS!$B$3,DADOS!$D$2:$DI$2,DADOS!$D88:$DI88,"",0)</f>
        <v>0</v>
      </c>
      <c r="B88" s="78">
        <f>_xlfn.XLOOKUP(DADOS!$B$3,DADOS!$E$112:$AS$112,DADOS!$E196:$AS196,"",0)</f>
        <v>0</v>
      </c>
      <c r="C88" s="295" t="s">
        <v>241</v>
      </c>
      <c r="D88" s="290"/>
      <c r="E88" s="78" cm="1">
        <f t="array" ref="E88">_xlfn.XLOOKUP(D$2,$D$112:$BF$112,$D196:BF196,0,0)</f>
        <v>0</v>
      </c>
      <c r="F88" s="290"/>
      <c r="G88" s="78">
        <f t="shared" si="55"/>
        <v>0</v>
      </c>
      <c r="H88" s="290"/>
      <c r="I88" s="78">
        <f t="shared" si="56"/>
        <v>0</v>
      </c>
      <c r="J88" s="290">
        <v>0</v>
      </c>
      <c r="K88" s="78">
        <f t="shared" si="57"/>
        <v>0</v>
      </c>
      <c r="L88" s="290"/>
      <c r="M88" s="78">
        <f t="shared" si="57"/>
        <v>0</v>
      </c>
      <c r="N88" s="290"/>
      <c r="O88" s="78">
        <f t="shared" si="58"/>
        <v>0</v>
      </c>
      <c r="P88" s="290"/>
      <c r="Q88" s="78">
        <f t="shared" si="59"/>
        <v>0</v>
      </c>
      <c r="R88" s="290"/>
      <c r="S88" s="78">
        <f t="shared" si="60"/>
        <v>0</v>
      </c>
      <c r="T88" s="290"/>
      <c r="U88" s="78">
        <f t="shared" si="61"/>
        <v>0</v>
      </c>
      <c r="V88" s="290"/>
      <c r="W88" s="78">
        <f t="shared" si="62"/>
        <v>0</v>
      </c>
      <c r="X88" s="290"/>
      <c r="Y88" s="78"/>
      <c r="Z88" s="290"/>
      <c r="AA88" s="78"/>
      <c r="AB88" s="290"/>
      <c r="AC88" s="78"/>
      <c r="AD88" s="280"/>
      <c r="AE88" s="78"/>
      <c r="AF88" s="280"/>
      <c r="AG88" s="78"/>
      <c r="AH88" s="280"/>
      <c r="AI88" s="78"/>
      <c r="AJ88" s="280"/>
      <c r="AK88" s="78"/>
      <c r="AL88" s="280"/>
      <c r="AM88" s="78"/>
      <c r="AN88" s="280"/>
      <c r="AO88" s="78"/>
      <c r="AP88" s="280"/>
      <c r="AQ88" s="78"/>
      <c r="AR88" s="280"/>
      <c r="AS88" s="78"/>
      <c r="AT88" s="280"/>
      <c r="AU88" s="78"/>
      <c r="AV88" s="280"/>
      <c r="AW88" s="78"/>
      <c r="AX88" s="280"/>
      <c r="AY88" s="78"/>
      <c r="AZ88" s="280"/>
      <c r="BA88" s="78"/>
      <c r="BB88" s="280"/>
      <c r="BC88" s="78"/>
      <c r="BD88" s="280"/>
      <c r="BE88" s="78"/>
      <c r="BF88" s="280"/>
      <c r="BG88" s="78"/>
      <c r="BH88" s="280"/>
      <c r="BI88" s="78"/>
      <c r="BJ88" s="280"/>
      <c r="BK88" s="78"/>
      <c r="BL88" s="280"/>
      <c r="BM88" s="78"/>
      <c r="BN88" s="280"/>
      <c r="BO88" s="78"/>
      <c r="BP88" s="280"/>
      <c r="BQ88" s="78"/>
      <c r="BR88" s="280"/>
      <c r="BS88" s="78"/>
      <c r="BT88" s="280"/>
      <c r="BU88" s="78"/>
      <c r="BV88" s="280"/>
      <c r="BW88" s="78"/>
      <c r="BX88" s="280"/>
      <c r="BY88" s="78"/>
      <c r="BZ88" s="280"/>
      <c r="CA88" s="78"/>
      <c r="CB88" s="280"/>
      <c r="CC88" s="78"/>
      <c r="CD88" s="280"/>
      <c r="CE88" s="78"/>
      <c r="CF88" s="280"/>
      <c r="CG88" s="78"/>
      <c r="CH88" s="280"/>
      <c r="CI88" s="78"/>
      <c r="CJ88" s="280"/>
      <c r="CK88" s="78"/>
      <c r="CL88" s="280"/>
      <c r="CM88" s="78"/>
      <c r="CN88" s="280"/>
      <c r="CO88" s="78"/>
      <c r="CP88" s="77"/>
      <c r="CQ88" s="78"/>
      <c r="CR88" s="77"/>
      <c r="CS88" s="78"/>
      <c r="CT88" s="77"/>
      <c r="CU88" s="78"/>
      <c r="CV88" s="77"/>
      <c r="CW88" s="78"/>
      <c r="CX88" s="77"/>
      <c r="CY88" s="78"/>
      <c r="CZ88" s="77"/>
      <c r="DA88" s="78"/>
      <c r="DB88" s="77"/>
      <c r="DC88" s="78"/>
      <c r="DD88" s="77"/>
      <c r="DE88" s="78"/>
      <c r="DF88" s="77"/>
      <c r="DG88" s="78"/>
      <c r="DH88" s="77"/>
      <c r="DI88" s="78"/>
      <c r="DJ88" s="77"/>
      <c r="DK88" s="78"/>
      <c r="DL88" s="77"/>
      <c r="DM88" s="78"/>
      <c r="DN88" s="77"/>
      <c r="DO88" s="78"/>
      <c r="DP88" s="77"/>
      <c r="DQ88" s="78"/>
      <c r="DR88" s="77"/>
      <c r="DS88" s="78"/>
      <c r="DT88" s="77"/>
      <c r="DU88" s="78"/>
      <c r="DV88" s="77"/>
      <c r="DW88" s="78"/>
      <c r="DX88" s="77"/>
      <c r="DY88" s="78"/>
      <c r="DZ88" s="77"/>
      <c r="EA88" s="78"/>
      <c r="EB88" s="77"/>
      <c r="EC88" s="78"/>
      <c r="ED88" s="77"/>
      <c r="EE88" s="78"/>
      <c r="EF88" s="77"/>
      <c r="EG88" s="78"/>
      <c r="EH88" s="77"/>
      <c r="EI88" s="78"/>
      <c r="EJ88" s="77"/>
      <c r="EK88" s="78"/>
      <c r="EL88" s="77"/>
      <c r="EM88" s="78"/>
      <c r="EN88" s="77"/>
      <c r="EO88" s="78"/>
      <c r="EP88" s="77"/>
      <c r="EQ88" s="78"/>
      <c r="ER88" s="77"/>
      <c r="ES88" s="78"/>
      <c r="ET88" s="77"/>
      <c r="EU88" s="78"/>
      <c r="EV88" s="77"/>
      <c r="EW88" s="78"/>
    </row>
    <row r="89" spans="1:309" s="284" customFormat="1" ht="15" customHeight="1" x14ac:dyDescent="0.3">
      <c r="A89" s="77">
        <f>_xlfn.XLOOKUP(DADOS!$B$3,DADOS!$D$2:$DI$2,DADOS!$D89:$DI89,"",0)</f>
        <v>0</v>
      </c>
      <c r="B89" s="78">
        <f>_xlfn.XLOOKUP(DADOS!$B$3,DADOS!$E$112:$AS$112,DADOS!$E197:$AS197,"",0)</f>
        <v>0</v>
      </c>
      <c r="C89" s="295" t="s">
        <v>242</v>
      </c>
      <c r="D89" s="290"/>
      <c r="E89" s="78" cm="1">
        <f t="array" ref="E89">_xlfn.XLOOKUP(D$2,$D$112:$BF$112,$D197:BF197,0,0)</f>
        <v>0</v>
      </c>
      <c r="F89" s="290"/>
      <c r="G89" s="78">
        <f t="shared" si="55"/>
        <v>0</v>
      </c>
      <c r="H89" s="290"/>
      <c r="I89" s="78">
        <f t="shared" si="56"/>
        <v>0</v>
      </c>
      <c r="J89" s="290">
        <v>0</v>
      </c>
      <c r="K89" s="78">
        <f t="shared" si="57"/>
        <v>0</v>
      </c>
      <c r="L89" s="290"/>
      <c r="M89" s="78">
        <f t="shared" si="57"/>
        <v>0</v>
      </c>
      <c r="N89" s="290"/>
      <c r="O89" s="78">
        <f t="shared" si="58"/>
        <v>0</v>
      </c>
      <c r="P89" s="290"/>
      <c r="Q89" s="78">
        <f t="shared" si="59"/>
        <v>0</v>
      </c>
      <c r="R89" s="290"/>
      <c r="S89" s="78">
        <f t="shared" si="60"/>
        <v>0</v>
      </c>
      <c r="T89" s="290"/>
      <c r="U89" s="78">
        <f t="shared" si="61"/>
        <v>0</v>
      </c>
      <c r="V89" s="290"/>
      <c r="W89" s="78">
        <f t="shared" si="62"/>
        <v>0</v>
      </c>
      <c r="X89" s="290"/>
      <c r="Y89" s="78"/>
      <c r="Z89" s="290"/>
      <c r="AA89" s="78"/>
      <c r="AB89" s="290"/>
      <c r="AC89" s="78"/>
      <c r="AD89" s="280"/>
      <c r="AE89" s="78"/>
      <c r="AF89" s="280"/>
      <c r="AG89" s="78"/>
      <c r="AH89" s="280"/>
      <c r="AI89" s="78"/>
      <c r="AJ89" s="280"/>
      <c r="AK89" s="78"/>
      <c r="AL89" s="280"/>
      <c r="AM89" s="78"/>
      <c r="AN89" s="280"/>
      <c r="AO89" s="78"/>
      <c r="AP89" s="280"/>
      <c r="AQ89" s="78"/>
      <c r="AR89" s="280"/>
      <c r="AS89" s="78"/>
      <c r="AT89" s="280"/>
      <c r="AU89" s="78"/>
      <c r="AV89" s="280"/>
      <c r="AW89" s="78"/>
      <c r="AX89" s="280"/>
      <c r="AY89" s="78"/>
      <c r="AZ89" s="280"/>
      <c r="BA89" s="78"/>
      <c r="BB89" s="280"/>
      <c r="BC89" s="78"/>
      <c r="BD89" s="280"/>
      <c r="BE89" s="78"/>
      <c r="BF89" s="280"/>
      <c r="BG89" s="78"/>
      <c r="BH89" s="280"/>
      <c r="BI89" s="78"/>
      <c r="BJ89" s="280"/>
      <c r="BK89" s="78"/>
      <c r="BL89" s="280"/>
      <c r="BM89" s="78"/>
      <c r="BN89" s="280"/>
      <c r="BO89" s="78"/>
      <c r="BP89" s="280"/>
      <c r="BQ89" s="78"/>
      <c r="BR89" s="280"/>
      <c r="BS89" s="78"/>
      <c r="BT89" s="280"/>
      <c r="BU89" s="78"/>
      <c r="BV89" s="280"/>
      <c r="BW89" s="78"/>
      <c r="BX89" s="280"/>
      <c r="BY89" s="78"/>
      <c r="BZ89" s="280"/>
      <c r="CA89" s="78"/>
      <c r="CB89" s="280"/>
      <c r="CC89" s="78"/>
      <c r="CD89" s="280"/>
      <c r="CE89" s="78"/>
      <c r="CF89" s="280"/>
      <c r="CG89" s="78"/>
      <c r="CH89" s="280"/>
      <c r="CI89" s="78"/>
      <c r="CJ89" s="280"/>
      <c r="CK89" s="78"/>
      <c r="CL89" s="280"/>
      <c r="CM89" s="78"/>
      <c r="CN89" s="280"/>
      <c r="CO89" s="78"/>
      <c r="CP89" s="77"/>
      <c r="CQ89" s="78"/>
      <c r="CR89" s="77"/>
      <c r="CS89" s="78"/>
      <c r="CT89" s="77"/>
      <c r="CU89" s="78"/>
      <c r="CV89" s="77"/>
      <c r="CW89" s="78"/>
      <c r="CX89" s="77"/>
      <c r="CY89" s="78"/>
      <c r="CZ89" s="77"/>
      <c r="DA89" s="78"/>
      <c r="DB89" s="77"/>
      <c r="DC89" s="78"/>
      <c r="DD89" s="77"/>
      <c r="DE89" s="78"/>
      <c r="DF89" s="77"/>
      <c r="DG89" s="78"/>
      <c r="DH89" s="77"/>
      <c r="DI89" s="78"/>
      <c r="DJ89" s="77"/>
      <c r="DK89" s="78"/>
      <c r="DL89" s="77"/>
      <c r="DM89" s="78"/>
      <c r="DN89" s="77"/>
      <c r="DO89" s="78"/>
      <c r="DP89" s="77"/>
      <c r="DQ89" s="78"/>
      <c r="DR89" s="77"/>
      <c r="DS89" s="78"/>
      <c r="DT89" s="77"/>
      <c r="DU89" s="78"/>
      <c r="DV89" s="77"/>
      <c r="DW89" s="78"/>
      <c r="DX89" s="77"/>
      <c r="DY89" s="78"/>
      <c r="DZ89" s="77"/>
      <c r="EA89" s="78"/>
      <c r="EB89" s="77"/>
      <c r="EC89" s="78"/>
      <c r="ED89" s="77"/>
      <c r="EE89" s="78"/>
      <c r="EF89" s="77"/>
      <c r="EG89" s="78"/>
      <c r="EH89" s="77"/>
      <c r="EI89" s="78"/>
      <c r="EJ89" s="77"/>
      <c r="EK89" s="78"/>
      <c r="EL89" s="77"/>
      <c r="EM89" s="78"/>
      <c r="EN89" s="77"/>
      <c r="EO89" s="78"/>
      <c r="EP89" s="77"/>
      <c r="EQ89" s="78"/>
      <c r="ER89" s="77"/>
      <c r="ES89" s="78"/>
      <c r="ET89" s="77"/>
      <c r="EU89" s="78"/>
      <c r="EV89" s="77"/>
      <c r="EW89" s="78"/>
      <c r="EX89"/>
      <c r="EY89"/>
      <c r="EZ89"/>
      <c r="FA89"/>
      <c r="FB89"/>
      <c r="FC89"/>
      <c r="FD89"/>
      <c r="FE89"/>
      <c r="FF89"/>
      <c r="FG89"/>
      <c r="FH89"/>
      <c r="FI89"/>
      <c r="FJ89"/>
      <c r="FK89"/>
      <c r="FL89"/>
      <c r="FM89"/>
      <c r="FN89"/>
      <c r="FO89"/>
      <c r="FP89"/>
      <c r="FQ89"/>
      <c r="FR89"/>
      <c r="FS89"/>
      <c r="FT89"/>
      <c r="FU89"/>
      <c r="FV89"/>
      <c r="FW89"/>
      <c r="FX89"/>
      <c r="FY89"/>
      <c r="FZ89"/>
      <c r="GA89"/>
      <c r="GB89"/>
      <c r="GC89"/>
      <c r="GD89"/>
      <c r="GE89"/>
      <c r="GF89"/>
      <c r="GG89"/>
      <c r="GH89"/>
      <c r="GI89"/>
      <c r="GJ89"/>
      <c r="GK89"/>
      <c r="GL89"/>
      <c r="GM89"/>
      <c r="GN89"/>
      <c r="GO89"/>
      <c r="GP89"/>
      <c r="GQ89"/>
      <c r="GR89"/>
      <c r="GS89"/>
      <c r="GT89"/>
      <c r="GU89"/>
      <c r="GV89"/>
      <c r="GW89"/>
      <c r="GX89"/>
      <c r="GY89"/>
      <c r="GZ89"/>
      <c r="HA89"/>
      <c r="HB89"/>
      <c r="HC89"/>
      <c r="HD89"/>
      <c r="HE89"/>
      <c r="HF89"/>
      <c r="HG89"/>
      <c r="HH89"/>
      <c r="HI89"/>
      <c r="HJ89"/>
      <c r="HK89"/>
      <c r="HL89"/>
      <c r="HM89"/>
      <c r="HN89"/>
      <c r="HO89"/>
      <c r="HP89"/>
      <c r="HQ89"/>
      <c r="HR89"/>
      <c r="HS89"/>
      <c r="HT89"/>
      <c r="HU89"/>
      <c r="HV89"/>
      <c r="HW89"/>
      <c r="HX89"/>
      <c r="HY89"/>
      <c r="HZ89"/>
      <c r="IA89"/>
      <c r="IB89"/>
      <c r="IC89"/>
      <c r="ID89"/>
      <c r="IE89"/>
      <c r="IF89"/>
      <c r="IG89"/>
      <c r="IH89"/>
      <c r="II89"/>
      <c r="IJ89"/>
      <c r="IK89"/>
      <c r="IL89"/>
      <c r="IM89"/>
      <c r="IN89"/>
      <c r="IO89"/>
      <c r="IP89"/>
      <c r="IQ89"/>
      <c r="IR89"/>
      <c r="IS89"/>
      <c r="IT89"/>
      <c r="IU89"/>
      <c r="IV89"/>
      <c r="IW89"/>
      <c r="IX89"/>
      <c r="IY89"/>
      <c r="IZ89"/>
      <c r="JA89"/>
      <c r="JB89"/>
      <c r="JC89"/>
      <c r="JD89"/>
      <c r="JE89"/>
      <c r="JF89"/>
      <c r="JG89"/>
      <c r="JH89"/>
      <c r="JI89"/>
      <c r="JJ89"/>
      <c r="JK89"/>
      <c r="JL89"/>
      <c r="JM89"/>
      <c r="JN89"/>
      <c r="JO89"/>
      <c r="JP89"/>
      <c r="JQ89"/>
      <c r="JR89"/>
      <c r="JS89"/>
      <c r="JT89"/>
      <c r="JU89"/>
      <c r="JV89"/>
      <c r="JW89"/>
      <c r="JX89"/>
      <c r="JY89"/>
      <c r="JZ89"/>
      <c r="KA89"/>
      <c r="KB89"/>
      <c r="KC89"/>
      <c r="KD89"/>
      <c r="KE89"/>
      <c r="KF89"/>
      <c r="KG89"/>
      <c r="KH89"/>
      <c r="KI89"/>
      <c r="KJ89"/>
      <c r="KK89"/>
      <c r="KL89"/>
      <c r="KM89"/>
      <c r="KN89"/>
      <c r="KO89"/>
      <c r="KP89"/>
      <c r="KQ89"/>
      <c r="KR89"/>
      <c r="KS89"/>
      <c r="KT89"/>
      <c r="KU89"/>
      <c r="KV89"/>
      <c r="KW89"/>
    </row>
    <row r="90" spans="1:309" ht="15" customHeight="1" x14ac:dyDescent="0.3">
      <c r="A90" s="77">
        <f>_xlfn.XLOOKUP(DADOS!$B$3,DADOS!$D$2:$DI$2,DADOS!$D90:$DI90,"",0)</f>
        <v>0</v>
      </c>
      <c r="B90" s="78">
        <f>_xlfn.XLOOKUP(DADOS!$B$3,DADOS!$E$112:$AS$112,DADOS!$E198:$AS198,"",0)</f>
        <v>0</v>
      </c>
      <c r="C90" s="295" t="s">
        <v>243</v>
      </c>
      <c r="D90" s="290"/>
      <c r="E90" s="78" cm="1">
        <f t="array" ref="E90">_xlfn.XLOOKUP(D$2,$D$112:$BF$112,$D198:BF198,0,0)</f>
        <v>0</v>
      </c>
      <c r="F90" s="290"/>
      <c r="G90" s="78">
        <f t="shared" si="55"/>
        <v>0</v>
      </c>
      <c r="H90" s="290"/>
      <c r="I90" s="78">
        <f t="shared" si="56"/>
        <v>0</v>
      </c>
      <c r="J90" s="290">
        <v>0</v>
      </c>
      <c r="K90" s="78">
        <f t="shared" si="57"/>
        <v>0</v>
      </c>
      <c r="L90" s="290"/>
      <c r="M90" s="78">
        <f t="shared" si="57"/>
        <v>0</v>
      </c>
      <c r="N90" s="290"/>
      <c r="O90" s="78">
        <f t="shared" si="58"/>
        <v>0</v>
      </c>
      <c r="P90" s="290"/>
      <c r="Q90" s="78">
        <f t="shared" si="59"/>
        <v>0</v>
      </c>
      <c r="R90" s="290"/>
      <c r="S90" s="78">
        <f t="shared" si="60"/>
        <v>0</v>
      </c>
      <c r="T90" s="290"/>
      <c r="U90" s="78">
        <f t="shared" si="61"/>
        <v>0</v>
      </c>
      <c r="V90" s="290"/>
      <c r="W90" s="78">
        <f t="shared" si="62"/>
        <v>0</v>
      </c>
      <c r="X90" s="290"/>
      <c r="Y90" s="78"/>
      <c r="Z90" s="290"/>
      <c r="AA90" s="78"/>
      <c r="AB90" s="290"/>
      <c r="AC90" s="78"/>
      <c r="AD90" s="280"/>
      <c r="AE90" s="78"/>
      <c r="AF90" s="280"/>
      <c r="AG90" s="78"/>
      <c r="AH90" s="280"/>
      <c r="AI90" s="78"/>
      <c r="AJ90" s="280"/>
      <c r="AK90" s="78"/>
      <c r="AL90" s="280"/>
      <c r="AM90" s="78"/>
      <c r="AN90" s="280"/>
      <c r="AO90" s="78"/>
      <c r="AP90" s="280"/>
      <c r="AQ90" s="78"/>
      <c r="AR90" s="280"/>
      <c r="AS90" s="78"/>
      <c r="AT90" s="280"/>
      <c r="AU90" s="78"/>
      <c r="AV90" s="280"/>
      <c r="AW90" s="78"/>
      <c r="AX90" s="280"/>
      <c r="AY90" s="78"/>
      <c r="AZ90" s="280"/>
      <c r="BA90" s="78"/>
      <c r="BB90" s="280"/>
      <c r="BC90" s="78"/>
      <c r="BD90" s="280"/>
      <c r="BE90" s="78"/>
      <c r="BF90" s="280"/>
      <c r="BG90" s="78"/>
      <c r="BH90" s="280"/>
      <c r="BI90" s="78"/>
      <c r="BJ90" s="280"/>
      <c r="BK90" s="78"/>
      <c r="BL90" s="280"/>
      <c r="BM90" s="78"/>
      <c r="BN90" s="280"/>
      <c r="BO90" s="78"/>
      <c r="BP90" s="280"/>
      <c r="BQ90" s="78"/>
      <c r="BR90" s="280"/>
      <c r="BS90" s="78"/>
      <c r="BT90" s="280"/>
      <c r="BU90" s="78"/>
      <c r="BV90" s="280"/>
      <c r="BW90" s="78"/>
      <c r="BX90" s="280"/>
      <c r="BY90" s="78"/>
      <c r="BZ90" s="280"/>
      <c r="CA90" s="78"/>
      <c r="CB90" s="280"/>
      <c r="CC90" s="78"/>
      <c r="CD90" s="280"/>
      <c r="CE90" s="78"/>
      <c r="CF90" s="280"/>
      <c r="CG90" s="78"/>
      <c r="CH90" s="280"/>
      <c r="CI90" s="78"/>
      <c r="CJ90" s="280"/>
      <c r="CK90" s="78"/>
      <c r="CL90" s="280"/>
      <c r="CM90" s="78"/>
      <c r="CN90" s="280"/>
      <c r="CO90" s="78"/>
      <c r="CP90" s="77"/>
      <c r="CQ90" s="78"/>
      <c r="CR90" s="77"/>
      <c r="CS90" s="78"/>
      <c r="CT90" s="77"/>
      <c r="CU90" s="78"/>
      <c r="CV90" s="77"/>
      <c r="CW90" s="78"/>
      <c r="CX90" s="77"/>
      <c r="CY90" s="78"/>
      <c r="CZ90" s="77"/>
      <c r="DA90" s="78"/>
      <c r="DB90" s="77"/>
      <c r="DC90" s="78"/>
      <c r="DD90" s="77"/>
      <c r="DE90" s="78"/>
      <c r="DF90" s="77"/>
      <c r="DG90" s="78"/>
      <c r="DH90" s="77"/>
      <c r="DI90" s="78"/>
      <c r="DJ90" s="77"/>
      <c r="DK90" s="78"/>
      <c r="DL90" s="77"/>
      <c r="DM90" s="78"/>
      <c r="DN90" s="77"/>
      <c r="DO90" s="78"/>
      <c r="DP90" s="77"/>
      <c r="DQ90" s="78"/>
      <c r="DR90" s="77"/>
      <c r="DS90" s="78"/>
      <c r="DT90" s="77"/>
      <c r="DU90" s="78"/>
      <c r="DV90" s="77"/>
      <c r="DW90" s="78"/>
      <c r="DX90" s="77"/>
      <c r="DY90" s="78"/>
      <c r="DZ90" s="77"/>
      <c r="EA90" s="78"/>
      <c r="EB90" s="77"/>
      <c r="EC90" s="78"/>
      <c r="ED90" s="77"/>
      <c r="EE90" s="78"/>
      <c r="EF90" s="77"/>
      <c r="EG90" s="78"/>
      <c r="EH90" s="77"/>
      <c r="EI90" s="78"/>
      <c r="EJ90" s="77"/>
      <c r="EK90" s="78"/>
      <c r="EL90" s="77"/>
      <c r="EM90" s="78"/>
      <c r="EN90" s="77"/>
      <c r="EO90" s="78"/>
      <c r="EP90" s="77"/>
      <c r="EQ90" s="78"/>
      <c r="ER90" s="77"/>
      <c r="ES90" s="78"/>
      <c r="ET90" s="77"/>
      <c r="EU90" s="78"/>
      <c r="EV90" s="77"/>
      <c r="EW90" s="78"/>
    </row>
    <row r="91" spans="1:309" ht="15" customHeight="1" x14ac:dyDescent="0.3">
      <c r="A91" s="77">
        <f>_xlfn.XLOOKUP(DADOS!$B$3,DADOS!$D$2:$DI$2,DADOS!$D91:$DI91,"",0)</f>
        <v>0</v>
      </c>
      <c r="B91" s="78">
        <f>_xlfn.XLOOKUP(DADOS!$B$3,DADOS!$E$112:$AS$112,DADOS!$E199:$AS199,"",0)</f>
        <v>0</v>
      </c>
      <c r="C91" s="295" t="s">
        <v>272</v>
      </c>
      <c r="D91" s="290"/>
      <c r="E91" s="78" cm="1">
        <f t="array" ref="E91">_xlfn.XLOOKUP(D$2,$D$112:$BF$112,$D199:BF199,0,0)</f>
        <v>0</v>
      </c>
      <c r="F91" s="290"/>
      <c r="G91" s="78">
        <f t="shared" si="55"/>
        <v>0</v>
      </c>
      <c r="H91" s="290"/>
      <c r="I91" s="78">
        <f t="shared" si="56"/>
        <v>0</v>
      </c>
      <c r="J91" s="290">
        <v>0</v>
      </c>
      <c r="K91" s="78">
        <f t="shared" si="57"/>
        <v>0</v>
      </c>
      <c r="L91" s="290"/>
      <c r="M91" s="78">
        <f t="shared" si="57"/>
        <v>0</v>
      </c>
      <c r="N91" s="290"/>
      <c r="O91" s="78">
        <f t="shared" si="58"/>
        <v>0</v>
      </c>
      <c r="P91" s="290"/>
      <c r="Q91" s="78">
        <f t="shared" si="59"/>
        <v>0</v>
      </c>
      <c r="R91" s="290"/>
      <c r="S91" s="78">
        <f t="shared" si="60"/>
        <v>0</v>
      </c>
      <c r="T91" s="290"/>
      <c r="U91" s="78">
        <f t="shared" si="61"/>
        <v>0</v>
      </c>
      <c r="V91" s="290"/>
      <c r="W91" s="78">
        <f t="shared" si="62"/>
        <v>0</v>
      </c>
      <c r="X91" s="290"/>
      <c r="Y91" s="78"/>
      <c r="Z91" s="290"/>
      <c r="AA91" s="78"/>
      <c r="AB91" s="290"/>
      <c r="AC91" s="78"/>
      <c r="AD91" s="280"/>
      <c r="AE91" s="78"/>
      <c r="AF91" s="280"/>
      <c r="AG91" s="78"/>
      <c r="AH91" s="280"/>
      <c r="AI91" s="78"/>
      <c r="AJ91" s="280"/>
      <c r="AK91" s="78"/>
      <c r="AL91" s="280"/>
      <c r="AM91" s="78"/>
      <c r="AN91" s="280"/>
      <c r="AO91" s="78"/>
      <c r="AP91" s="280"/>
      <c r="AQ91" s="78"/>
      <c r="AR91" s="280"/>
      <c r="AS91" s="78"/>
      <c r="AT91" s="280"/>
      <c r="AU91" s="78"/>
      <c r="AV91" s="280"/>
      <c r="AW91" s="78"/>
      <c r="AX91" s="280"/>
      <c r="AY91" s="78"/>
      <c r="AZ91" s="280"/>
      <c r="BA91" s="78"/>
      <c r="BB91" s="280"/>
      <c r="BC91" s="78"/>
      <c r="BD91" s="280"/>
      <c r="BE91" s="78"/>
      <c r="BF91" s="280"/>
      <c r="BG91" s="78"/>
      <c r="BH91" s="280"/>
      <c r="BI91" s="78"/>
      <c r="BJ91" s="280"/>
      <c r="BK91" s="78"/>
      <c r="BL91" s="280"/>
      <c r="BM91" s="78"/>
      <c r="BN91" s="280"/>
      <c r="BO91" s="78"/>
      <c r="BP91" s="280"/>
      <c r="BQ91" s="78"/>
      <c r="BR91" s="280"/>
      <c r="BS91" s="78"/>
      <c r="BT91" s="280"/>
      <c r="BU91" s="78"/>
      <c r="BV91" s="280"/>
      <c r="BW91" s="78"/>
      <c r="BX91" s="280"/>
      <c r="BY91" s="78"/>
      <c r="BZ91" s="280"/>
      <c r="CA91" s="78"/>
      <c r="CB91" s="280"/>
      <c r="CC91" s="78"/>
      <c r="CD91" s="280"/>
      <c r="CE91" s="78"/>
      <c r="CF91" s="280"/>
      <c r="CG91" s="78"/>
      <c r="CH91" s="280"/>
      <c r="CI91" s="78"/>
      <c r="CJ91" s="280"/>
      <c r="CK91" s="78"/>
      <c r="CL91" s="280"/>
      <c r="CM91" s="78"/>
      <c r="CN91" s="280"/>
      <c r="CO91" s="78"/>
      <c r="CP91" s="77"/>
      <c r="CQ91" s="78"/>
      <c r="CR91" s="77"/>
      <c r="CS91" s="78"/>
      <c r="CT91" s="77"/>
      <c r="CU91" s="78"/>
      <c r="CV91" s="77"/>
      <c r="CW91" s="78"/>
      <c r="CX91" s="77"/>
      <c r="CY91" s="78"/>
      <c r="CZ91" s="77"/>
      <c r="DA91" s="78"/>
      <c r="DB91" s="77"/>
      <c r="DC91" s="78"/>
      <c r="DD91" s="77"/>
      <c r="DE91" s="78"/>
      <c r="DF91" s="77"/>
      <c r="DG91" s="78"/>
      <c r="DH91" s="77"/>
      <c r="DI91" s="78"/>
      <c r="DJ91" s="77"/>
      <c r="DK91" s="78"/>
      <c r="DL91" s="77"/>
      <c r="DM91" s="78"/>
      <c r="DN91" s="77"/>
      <c r="DO91" s="78"/>
      <c r="DP91" s="77"/>
      <c r="DQ91" s="78"/>
      <c r="DR91" s="77"/>
      <c r="DS91" s="78"/>
      <c r="DT91" s="77"/>
      <c r="DU91" s="78"/>
      <c r="DV91" s="77"/>
      <c r="DW91" s="78"/>
      <c r="DX91" s="77"/>
      <c r="DY91" s="78"/>
      <c r="DZ91" s="77"/>
      <c r="EA91" s="78"/>
      <c r="EB91" s="77"/>
      <c r="EC91" s="78"/>
      <c r="ED91" s="77"/>
      <c r="EE91" s="78"/>
      <c r="EF91" s="77"/>
      <c r="EG91" s="78"/>
      <c r="EH91" s="77"/>
      <c r="EI91" s="78"/>
      <c r="EJ91" s="77"/>
      <c r="EK91" s="78"/>
      <c r="EL91" s="77"/>
      <c r="EM91" s="78"/>
      <c r="EN91" s="77"/>
      <c r="EO91" s="78"/>
      <c r="EP91" s="77"/>
      <c r="EQ91" s="78"/>
      <c r="ER91" s="77"/>
      <c r="ES91" s="78"/>
      <c r="ET91" s="77"/>
      <c r="EU91" s="78"/>
      <c r="EV91" s="77"/>
      <c r="EW91" s="78"/>
    </row>
    <row r="92" spans="1:309" ht="15" customHeight="1" x14ac:dyDescent="0.3">
      <c r="A92" s="77">
        <f>_xlfn.XLOOKUP(DADOS!$B$3,DADOS!$D$2:$DI$2,DADOS!$D92:$DI92,"",0)</f>
        <v>0</v>
      </c>
      <c r="B92" s="78">
        <f>_xlfn.XLOOKUP(DADOS!$B$3,DADOS!$E$112:$AS$112,DADOS!$E200:$AS200,"",0)</f>
        <v>0</v>
      </c>
      <c r="C92" s="295" t="s">
        <v>273</v>
      </c>
      <c r="D92" s="290"/>
      <c r="E92" s="78" cm="1">
        <f t="array" ref="E92">_xlfn.XLOOKUP(D$2,$D$112:$BF$112,$D200:BF200,0,0)</f>
        <v>0</v>
      </c>
      <c r="F92" s="290"/>
      <c r="G92" s="78">
        <f t="shared" si="55"/>
        <v>0</v>
      </c>
      <c r="H92" s="290"/>
      <c r="I92" s="78">
        <f t="shared" si="56"/>
        <v>0</v>
      </c>
      <c r="J92" s="290">
        <v>0</v>
      </c>
      <c r="K92" s="78">
        <f t="shared" si="57"/>
        <v>0</v>
      </c>
      <c r="L92" s="290"/>
      <c r="M92" s="78">
        <f t="shared" si="57"/>
        <v>0</v>
      </c>
      <c r="N92" s="290"/>
      <c r="O92" s="78">
        <f t="shared" si="58"/>
        <v>0</v>
      </c>
      <c r="P92" s="290"/>
      <c r="Q92" s="78">
        <f t="shared" si="59"/>
        <v>0</v>
      </c>
      <c r="R92" s="290"/>
      <c r="S92" s="78">
        <f t="shared" si="60"/>
        <v>0</v>
      </c>
      <c r="T92" s="290"/>
      <c r="U92" s="78">
        <f t="shared" si="61"/>
        <v>0</v>
      </c>
      <c r="V92" s="290"/>
      <c r="W92" s="78">
        <f t="shared" si="62"/>
        <v>0</v>
      </c>
      <c r="X92" s="290"/>
      <c r="Y92" s="78"/>
      <c r="Z92" s="290"/>
      <c r="AA92" s="78"/>
      <c r="AB92" s="290"/>
      <c r="AC92" s="78"/>
      <c r="AD92" s="280"/>
      <c r="AE92" s="78"/>
      <c r="AF92" s="280"/>
      <c r="AG92" s="78"/>
      <c r="AH92" s="280"/>
      <c r="AI92" s="78"/>
      <c r="AJ92" s="280"/>
      <c r="AK92" s="78"/>
      <c r="AL92" s="280"/>
      <c r="AM92" s="78"/>
      <c r="AN92" s="280"/>
      <c r="AO92" s="78"/>
      <c r="AP92" s="280"/>
      <c r="AQ92" s="78"/>
      <c r="AR92" s="280"/>
      <c r="AS92" s="78"/>
      <c r="AT92" s="280"/>
      <c r="AU92" s="78"/>
      <c r="AV92" s="280"/>
      <c r="AW92" s="78"/>
      <c r="AX92" s="280"/>
      <c r="AY92" s="78"/>
      <c r="AZ92" s="280"/>
      <c r="BA92" s="78"/>
      <c r="BB92" s="280"/>
      <c r="BC92" s="78"/>
      <c r="BD92" s="280"/>
      <c r="BE92" s="78"/>
      <c r="BF92" s="280"/>
      <c r="BG92" s="78"/>
      <c r="BH92" s="280"/>
      <c r="BI92" s="78"/>
      <c r="BJ92" s="280"/>
      <c r="BK92" s="78"/>
      <c r="BL92" s="280"/>
      <c r="BM92" s="78"/>
      <c r="BN92" s="280"/>
      <c r="BO92" s="78"/>
      <c r="BP92" s="280"/>
      <c r="BQ92" s="78"/>
      <c r="BR92" s="280"/>
      <c r="BS92" s="78"/>
      <c r="BT92" s="280"/>
      <c r="BU92" s="78"/>
      <c r="BV92" s="280"/>
      <c r="BW92" s="78"/>
      <c r="BX92" s="280"/>
      <c r="BY92" s="78"/>
      <c r="BZ92" s="280"/>
      <c r="CA92" s="78"/>
      <c r="CB92" s="280"/>
      <c r="CC92" s="78"/>
      <c r="CD92" s="280"/>
      <c r="CE92" s="78"/>
      <c r="CF92" s="280"/>
      <c r="CG92" s="78"/>
      <c r="CH92" s="280"/>
      <c r="CI92" s="78"/>
      <c r="CJ92" s="280"/>
      <c r="CK92" s="78"/>
      <c r="CL92" s="280"/>
      <c r="CM92" s="78"/>
      <c r="CN92" s="280"/>
      <c r="CO92" s="78"/>
      <c r="CP92" s="77"/>
      <c r="CQ92" s="78"/>
      <c r="CR92" s="77"/>
      <c r="CS92" s="78"/>
      <c r="CT92" s="77"/>
      <c r="CU92" s="78"/>
      <c r="CV92" s="77"/>
      <c r="CW92" s="78"/>
      <c r="CX92" s="77"/>
      <c r="CY92" s="78"/>
      <c r="CZ92" s="77"/>
      <c r="DA92" s="78"/>
      <c r="DB92" s="77"/>
      <c r="DC92" s="78"/>
      <c r="DD92" s="77"/>
      <c r="DE92" s="78"/>
      <c r="DF92" s="77"/>
      <c r="DG92" s="78"/>
      <c r="DH92" s="77"/>
      <c r="DI92" s="78"/>
      <c r="DJ92" s="77"/>
      <c r="DK92" s="78"/>
      <c r="DL92" s="77"/>
      <c r="DM92" s="78"/>
      <c r="DN92" s="77"/>
      <c r="DO92" s="78"/>
      <c r="DP92" s="77"/>
      <c r="DQ92" s="78"/>
      <c r="DR92" s="77"/>
      <c r="DS92" s="78"/>
      <c r="DT92" s="77"/>
      <c r="DU92" s="78"/>
      <c r="DV92" s="77"/>
      <c r="DW92" s="78"/>
      <c r="DX92" s="77"/>
      <c r="DY92" s="78"/>
      <c r="DZ92" s="77"/>
      <c r="EA92" s="78"/>
      <c r="EB92" s="77"/>
      <c r="EC92" s="78"/>
      <c r="ED92" s="77"/>
      <c r="EE92" s="78"/>
      <c r="EF92" s="77"/>
      <c r="EG92" s="78"/>
      <c r="EH92" s="77"/>
      <c r="EI92" s="78"/>
      <c r="EJ92" s="77"/>
      <c r="EK92" s="78"/>
      <c r="EL92" s="77"/>
      <c r="EM92" s="78"/>
      <c r="EN92" s="77"/>
      <c r="EO92" s="78"/>
      <c r="EP92" s="77"/>
      <c r="EQ92" s="78"/>
      <c r="ER92" s="77"/>
      <c r="ES92" s="78"/>
      <c r="ET92" s="77"/>
      <c r="EU92" s="78"/>
      <c r="EV92" s="77"/>
      <c r="EW92" s="78"/>
    </row>
    <row r="93" spans="1:309" ht="15" customHeight="1" x14ac:dyDescent="0.3">
      <c r="A93" s="77">
        <f>_xlfn.XLOOKUP(DADOS!$B$3,DADOS!$D$2:$DI$2,DADOS!$D93:$DI93,"",0)</f>
        <v>0</v>
      </c>
      <c r="B93" s="78">
        <f>_xlfn.XLOOKUP(DADOS!$B$3,DADOS!$E$112:$AS$112,DADOS!$E201:$AS201,"",0)</f>
        <v>0</v>
      </c>
      <c r="C93" s="295" t="s">
        <v>246</v>
      </c>
      <c r="D93" s="290"/>
      <c r="E93" s="78" cm="1">
        <f t="array" ref="E93">_xlfn.XLOOKUP(D$2,$D$112:$BF$112,$D201:BF201,0,0)</f>
        <v>0</v>
      </c>
      <c r="F93" s="290"/>
      <c r="G93" s="78">
        <f t="shared" si="55"/>
        <v>0</v>
      </c>
      <c r="H93" s="290"/>
      <c r="I93" s="78">
        <f t="shared" si="56"/>
        <v>0</v>
      </c>
      <c r="J93" s="290">
        <v>0</v>
      </c>
      <c r="K93" s="78">
        <f t="shared" si="57"/>
        <v>0</v>
      </c>
      <c r="L93" s="290"/>
      <c r="M93" s="78">
        <f t="shared" si="57"/>
        <v>0</v>
      </c>
      <c r="N93" s="290"/>
      <c r="O93" s="78">
        <f t="shared" si="58"/>
        <v>0</v>
      </c>
      <c r="P93" s="290"/>
      <c r="Q93" s="78">
        <f t="shared" si="59"/>
        <v>0</v>
      </c>
      <c r="R93" s="290"/>
      <c r="S93" s="78">
        <f t="shared" si="60"/>
        <v>0</v>
      </c>
      <c r="T93" s="290"/>
      <c r="U93" s="78">
        <f t="shared" si="61"/>
        <v>0</v>
      </c>
      <c r="V93" s="290"/>
      <c r="W93" s="78">
        <f t="shared" si="62"/>
        <v>0</v>
      </c>
      <c r="X93" s="290"/>
      <c r="Y93" s="78"/>
      <c r="Z93" s="290"/>
      <c r="AA93" s="78"/>
      <c r="AB93" s="290"/>
      <c r="AC93" s="78"/>
      <c r="AD93" s="280"/>
      <c r="AE93" s="78"/>
      <c r="AF93" s="280"/>
      <c r="AG93" s="78"/>
      <c r="AH93" s="280"/>
      <c r="AI93" s="78"/>
      <c r="AJ93" s="280"/>
      <c r="AK93" s="78"/>
      <c r="AL93" s="280"/>
      <c r="AM93" s="78"/>
      <c r="AN93" s="280"/>
      <c r="AO93" s="78"/>
      <c r="AP93" s="280"/>
      <c r="AQ93" s="78"/>
      <c r="AR93" s="280"/>
      <c r="AS93" s="78"/>
      <c r="AT93" s="280"/>
      <c r="AU93" s="78"/>
      <c r="AV93" s="280"/>
      <c r="AW93" s="78"/>
      <c r="AX93" s="280"/>
      <c r="AY93" s="78"/>
      <c r="AZ93" s="280"/>
      <c r="BA93" s="78"/>
      <c r="BB93" s="280"/>
      <c r="BC93" s="78"/>
      <c r="BD93" s="280"/>
      <c r="BE93" s="78"/>
      <c r="BF93" s="280"/>
      <c r="BG93" s="78"/>
      <c r="BH93" s="280"/>
      <c r="BI93" s="78"/>
      <c r="BJ93" s="280"/>
      <c r="BK93" s="78"/>
      <c r="BL93" s="280"/>
      <c r="BM93" s="78"/>
      <c r="BN93" s="280"/>
      <c r="BO93" s="78"/>
      <c r="BP93" s="280"/>
      <c r="BQ93" s="78"/>
      <c r="BR93" s="280"/>
      <c r="BS93" s="78"/>
      <c r="BT93" s="280"/>
      <c r="BU93" s="78"/>
      <c r="BV93" s="280"/>
      <c r="BW93" s="78"/>
      <c r="BX93" s="280"/>
      <c r="BY93" s="78"/>
      <c r="BZ93" s="280"/>
      <c r="CA93" s="78"/>
      <c r="CB93" s="280"/>
      <c r="CC93" s="78"/>
      <c r="CD93" s="280"/>
      <c r="CE93" s="78"/>
      <c r="CF93" s="280"/>
      <c r="CG93" s="78"/>
      <c r="CH93" s="280"/>
      <c r="CI93" s="78"/>
      <c r="CJ93" s="280"/>
      <c r="CK93" s="78"/>
      <c r="CL93" s="280"/>
      <c r="CM93" s="78"/>
      <c r="CN93" s="280"/>
      <c r="CO93" s="78"/>
      <c r="CP93" s="77"/>
      <c r="CQ93" s="78"/>
      <c r="CR93" s="77"/>
      <c r="CS93" s="78"/>
      <c r="CT93" s="77"/>
      <c r="CU93" s="78"/>
      <c r="CV93" s="77"/>
      <c r="CW93" s="78"/>
      <c r="CX93" s="77"/>
      <c r="CY93" s="78"/>
      <c r="CZ93" s="77"/>
      <c r="DA93" s="78"/>
      <c r="DB93" s="77"/>
      <c r="DC93" s="78"/>
      <c r="DD93" s="77"/>
      <c r="DE93" s="78"/>
      <c r="DF93" s="77"/>
      <c r="DG93" s="78"/>
      <c r="DH93" s="77"/>
      <c r="DI93" s="78"/>
      <c r="DJ93" s="77"/>
      <c r="DK93" s="78"/>
      <c r="DL93" s="77"/>
      <c r="DM93" s="78"/>
      <c r="DN93" s="77"/>
      <c r="DO93" s="78"/>
      <c r="DP93" s="77"/>
      <c r="DQ93" s="78"/>
      <c r="DR93" s="77"/>
      <c r="DS93" s="78"/>
      <c r="DT93" s="77"/>
      <c r="DU93" s="78"/>
      <c r="DV93" s="77"/>
      <c r="DW93" s="78"/>
      <c r="DX93" s="77"/>
      <c r="DY93" s="78"/>
      <c r="DZ93" s="77"/>
      <c r="EA93" s="78"/>
      <c r="EB93" s="77"/>
      <c r="EC93" s="78"/>
      <c r="ED93" s="77"/>
      <c r="EE93" s="78"/>
      <c r="EF93" s="77"/>
      <c r="EG93" s="78"/>
      <c r="EH93" s="77"/>
      <c r="EI93" s="78"/>
      <c r="EJ93" s="77"/>
      <c r="EK93" s="78"/>
      <c r="EL93" s="77"/>
      <c r="EM93" s="78"/>
      <c r="EN93" s="77"/>
      <c r="EO93" s="78"/>
      <c r="EP93" s="77"/>
      <c r="EQ93" s="78"/>
      <c r="ER93" s="77"/>
      <c r="ES93" s="78"/>
      <c r="ET93" s="77"/>
      <c r="EU93" s="78"/>
      <c r="EV93" s="77"/>
      <c r="EW93" s="78"/>
    </row>
    <row r="94" spans="1:309" ht="15" customHeight="1" x14ac:dyDescent="0.3">
      <c r="A94" s="77">
        <f>_xlfn.XLOOKUP(DADOS!$B$3,DADOS!$D$2:$DI$2,DADOS!$D94:$DI94,"",0)</f>
        <v>0</v>
      </c>
      <c r="B94" s="78">
        <f>_xlfn.XLOOKUP(DADOS!$B$3,DADOS!$E$112:$AS$112,DADOS!$E202:$AS202,"",0)</f>
        <v>0</v>
      </c>
      <c r="C94" s="295" t="s">
        <v>247</v>
      </c>
      <c r="D94" s="290"/>
      <c r="E94" s="78" cm="1">
        <f t="array" ref="E94">_xlfn.XLOOKUP(D$2,$D$112:$BF$112,$D202:BF202,0,0)</f>
        <v>0</v>
      </c>
      <c r="F94" s="290"/>
      <c r="G94" s="78">
        <f t="shared" si="55"/>
        <v>0</v>
      </c>
      <c r="H94" s="290"/>
      <c r="I94" s="78">
        <f t="shared" si="56"/>
        <v>0</v>
      </c>
      <c r="J94" s="290">
        <v>0</v>
      </c>
      <c r="K94" s="78">
        <f t="shared" si="57"/>
        <v>0</v>
      </c>
      <c r="L94" s="290"/>
      <c r="M94" s="78">
        <f t="shared" si="57"/>
        <v>0</v>
      </c>
      <c r="N94" s="290"/>
      <c r="O94" s="78">
        <f t="shared" si="58"/>
        <v>0</v>
      </c>
      <c r="P94" s="290"/>
      <c r="Q94" s="78">
        <f t="shared" si="59"/>
        <v>0</v>
      </c>
      <c r="R94" s="290"/>
      <c r="S94" s="78">
        <f t="shared" si="60"/>
        <v>0</v>
      </c>
      <c r="T94" s="290"/>
      <c r="U94" s="78">
        <f t="shared" si="61"/>
        <v>0</v>
      </c>
      <c r="V94" s="290"/>
      <c r="W94" s="78">
        <f t="shared" si="62"/>
        <v>0</v>
      </c>
      <c r="X94" s="290"/>
      <c r="Y94" s="78"/>
      <c r="Z94" s="290"/>
      <c r="AA94" s="78"/>
      <c r="AB94" s="290"/>
      <c r="AC94" s="78"/>
      <c r="AD94" s="280"/>
      <c r="AE94" s="78"/>
      <c r="AF94" s="280"/>
      <c r="AG94" s="78"/>
      <c r="AH94" s="280"/>
      <c r="AI94" s="78"/>
      <c r="AJ94" s="280"/>
      <c r="AK94" s="78"/>
      <c r="AL94" s="280"/>
      <c r="AM94" s="78"/>
      <c r="AN94" s="280"/>
      <c r="AO94" s="78"/>
      <c r="AP94" s="280"/>
      <c r="AQ94" s="78"/>
      <c r="AR94" s="280"/>
      <c r="AS94" s="78"/>
      <c r="AT94" s="280"/>
      <c r="AU94" s="78"/>
      <c r="AV94" s="280"/>
      <c r="AW94" s="78"/>
      <c r="AX94" s="280"/>
      <c r="AY94" s="78"/>
      <c r="AZ94" s="280"/>
      <c r="BA94" s="78"/>
      <c r="BB94" s="280"/>
      <c r="BC94" s="78"/>
      <c r="BD94" s="280"/>
      <c r="BE94" s="78"/>
      <c r="BF94" s="280"/>
      <c r="BG94" s="78"/>
      <c r="BH94" s="280"/>
      <c r="BI94" s="78"/>
      <c r="BJ94" s="280"/>
      <c r="BK94" s="78"/>
      <c r="BL94" s="280"/>
      <c r="BM94" s="78"/>
      <c r="BN94" s="280"/>
      <c r="BO94" s="78"/>
      <c r="BP94" s="280"/>
      <c r="BQ94" s="78"/>
      <c r="BR94" s="280"/>
      <c r="BS94" s="78"/>
      <c r="BT94" s="280"/>
      <c r="BU94" s="78"/>
      <c r="BV94" s="280"/>
      <c r="BW94" s="78"/>
      <c r="BX94" s="280"/>
      <c r="BY94" s="78"/>
      <c r="BZ94" s="280"/>
      <c r="CA94" s="78"/>
      <c r="CB94" s="280"/>
      <c r="CC94" s="78"/>
      <c r="CD94" s="280"/>
      <c r="CE94" s="78"/>
      <c r="CF94" s="280"/>
      <c r="CG94" s="78"/>
      <c r="CH94" s="280"/>
      <c r="CI94" s="78"/>
      <c r="CJ94" s="280"/>
      <c r="CK94" s="78"/>
      <c r="CL94" s="280"/>
      <c r="CM94" s="78"/>
      <c r="CN94" s="280"/>
      <c r="CO94" s="78"/>
      <c r="CP94" s="77"/>
      <c r="CQ94" s="78"/>
      <c r="CR94" s="77"/>
      <c r="CS94" s="78"/>
      <c r="CT94" s="77"/>
      <c r="CU94" s="78"/>
      <c r="CV94" s="77"/>
      <c r="CW94" s="78"/>
      <c r="CX94" s="77"/>
      <c r="CY94" s="78"/>
      <c r="CZ94" s="77"/>
      <c r="DA94" s="78"/>
      <c r="DB94" s="77"/>
      <c r="DC94" s="78"/>
      <c r="DD94" s="77"/>
      <c r="DE94" s="78"/>
      <c r="DF94" s="77"/>
      <c r="DG94" s="78"/>
      <c r="DH94" s="77"/>
      <c r="DI94" s="78"/>
      <c r="DJ94" s="77"/>
      <c r="DK94" s="78"/>
      <c r="DL94" s="77"/>
      <c r="DM94" s="78"/>
      <c r="DN94" s="77"/>
      <c r="DO94" s="78"/>
      <c r="DP94" s="77"/>
      <c r="DQ94" s="78"/>
      <c r="DR94" s="77"/>
      <c r="DS94" s="78"/>
      <c r="DT94" s="77"/>
      <c r="DU94" s="78"/>
      <c r="DV94" s="77"/>
      <c r="DW94" s="78"/>
      <c r="DX94" s="77"/>
      <c r="DY94" s="78"/>
      <c r="DZ94" s="77"/>
      <c r="EA94" s="78"/>
      <c r="EB94" s="77"/>
      <c r="EC94" s="78"/>
      <c r="ED94" s="77"/>
      <c r="EE94" s="78"/>
      <c r="EF94" s="77"/>
      <c r="EG94" s="78"/>
      <c r="EH94" s="77"/>
      <c r="EI94" s="78"/>
      <c r="EJ94" s="77"/>
      <c r="EK94" s="78"/>
      <c r="EL94" s="77"/>
      <c r="EM94" s="78"/>
      <c r="EN94" s="77"/>
      <c r="EO94" s="78"/>
      <c r="EP94" s="77"/>
      <c r="EQ94" s="78"/>
      <c r="ER94" s="77"/>
      <c r="ES94" s="78"/>
      <c r="ET94" s="77"/>
      <c r="EU94" s="78"/>
      <c r="EV94" s="77"/>
      <c r="EW94" s="78"/>
    </row>
    <row r="95" spans="1:309" ht="15" customHeight="1" x14ac:dyDescent="0.3">
      <c r="A95" s="77">
        <f>_xlfn.XLOOKUP(DADOS!$B$3,DADOS!$D$2:$DI$2,DADOS!$D95:$DI95,"",0)</f>
        <v>0</v>
      </c>
      <c r="B95" s="78">
        <f>_xlfn.XLOOKUP(DADOS!$B$3,DADOS!$E$112:$AS$112,DADOS!$E203:$AS203,"",0)</f>
        <v>0</v>
      </c>
      <c r="C95" s="295" t="s">
        <v>248</v>
      </c>
      <c r="D95" s="290"/>
      <c r="E95" s="78" cm="1">
        <f t="array" ref="E95">_xlfn.XLOOKUP(D$2,$D$112:$BF$112,$D203:BF203,0,0)</f>
        <v>0</v>
      </c>
      <c r="F95" s="290"/>
      <c r="G95" s="78">
        <f t="shared" si="55"/>
        <v>0</v>
      </c>
      <c r="H95" s="290"/>
      <c r="I95" s="78">
        <f t="shared" si="56"/>
        <v>0</v>
      </c>
      <c r="J95" s="290">
        <v>0</v>
      </c>
      <c r="K95" s="78">
        <f t="shared" si="57"/>
        <v>0</v>
      </c>
      <c r="L95" s="290"/>
      <c r="M95" s="78">
        <f t="shared" si="57"/>
        <v>0</v>
      </c>
      <c r="N95" s="290"/>
      <c r="O95" s="78">
        <f t="shared" si="58"/>
        <v>0</v>
      </c>
      <c r="P95" s="290"/>
      <c r="Q95" s="78">
        <f t="shared" si="59"/>
        <v>0</v>
      </c>
      <c r="R95" s="290"/>
      <c r="S95" s="78">
        <f t="shared" si="60"/>
        <v>0</v>
      </c>
      <c r="T95" s="290"/>
      <c r="U95" s="78">
        <f t="shared" si="61"/>
        <v>0</v>
      </c>
      <c r="V95" s="290"/>
      <c r="W95" s="78">
        <f t="shared" si="62"/>
        <v>0</v>
      </c>
      <c r="X95" s="290"/>
      <c r="Y95" s="78"/>
      <c r="Z95" s="290"/>
      <c r="AA95" s="78"/>
      <c r="AB95" s="290"/>
      <c r="AC95" s="78"/>
      <c r="AD95" s="280"/>
      <c r="AE95" s="78"/>
      <c r="AF95" s="280"/>
      <c r="AG95" s="78"/>
      <c r="AH95" s="280"/>
      <c r="AI95" s="78"/>
      <c r="AJ95" s="280"/>
      <c r="AK95" s="78"/>
      <c r="AL95" s="280"/>
      <c r="AM95" s="78"/>
      <c r="AN95" s="280"/>
      <c r="AO95" s="78"/>
      <c r="AP95" s="280"/>
      <c r="AQ95" s="78"/>
      <c r="AR95" s="280"/>
      <c r="AS95" s="78"/>
      <c r="AT95" s="280"/>
      <c r="AU95" s="78"/>
      <c r="AV95" s="280"/>
      <c r="AW95" s="78"/>
      <c r="AX95" s="280"/>
      <c r="AY95" s="78"/>
      <c r="AZ95" s="280"/>
      <c r="BA95" s="78"/>
      <c r="BB95" s="280"/>
      <c r="BC95" s="78"/>
      <c r="BD95" s="280"/>
      <c r="BE95" s="78"/>
      <c r="BF95" s="280"/>
      <c r="BG95" s="78"/>
      <c r="BH95" s="280"/>
      <c r="BI95" s="78"/>
      <c r="BJ95" s="280"/>
      <c r="BK95" s="78"/>
      <c r="BL95" s="280"/>
      <c r="BM95" s="78"/>
      <c r="BN95" s="280"/>
      <c r="BO95" s="78"/>
      <c r="BP95" s="280"/>
      <c r="BQ95" s="78"/>
      <c r="BR95" s="280"/>
      <c r="BS95" s="78"/>
      <c r="BT95" s="280"/>
      <c r="BU95" s="78"/>
      <c r="BV95" s="280"/>
      <c r="BW95" s="78"/>
      <c r="BX95" s="280"/>
      <c r="BY95" s="78"/>
      <c r="BZ95" s="280"/>
      <c r="CA95" s="78"/>
      <c r="CB95" s="280"/>
      <c r="CC95" s="78"/>
      <c r="CD95" s="280"/>
      <c r="CE95" s="78"/>
      <c r="CF95" s="280"/>
      <c r="CG95" s="78"/>
      <c r="CH95" s="280"/>
      <c r="CI95" s="78"/>
      <c r="CJ95" s="280"/>
      <c r="CK95" s="78"/>
      <c r="CL95" s="280"/>
      <c r="CM95" s="78"/>
      <c r="CN95" s="280"/>
      <c r="CO95" s="78"/>
      <c r="CP95" s="77"/>
      <c r="CQ95" s="78"/>
      <c r="CR95" s="77"/>
      <c r="CS95" s="78"/>
      <c r="CT95" s="77"/>
      <c r="CU95" s="78"/>
      <c r="CV95" s="77"/>
      <c r="CW95" s="78"/>
      <c r="CX95" s="77"/>
      <c r="CY95" s="78"/>
      <c r="CZ95" s="77"/>
      <c r="DA95" s="78"/>
      <c r="DB95" s="77"/>
      <c r="DC95" s="78"/>
      <c r="DD95" s="77"/>
      <c r="DE95" s="78"/>
      <c r="DF95" s="77"/>
      <c r="DG95" s="78"/>
      <c r="DH95" s="77"/>
      <c r="DI95" s="78"/>
      <c r="DJ95" s="77"/>
      <c r="DK95" s="78"/>
      <c r="DL95" s="77"/>
      <c r="DM95" s="78"/>
      <c r="DN95" s="77"/>
      <c r="DO95" s="78"/>
      <c r="DP95" s="77"/>
      <c r="DQ95" s="78"/>
      <c r="DR95" s="77"/>
      <c r="DS95" s="78"/>
      <c r="DT95" s="77"/>
      <c r="DU95" s="78"/>
      <c r="DV95" s="77"/>
      <c r="DW95" s="78"/>
      <c r="DX95" s="77"/>
      <c r="DY95" s="78"/>
      <c r="DZ95" s="77"/>
      <c r="EA95" s="78"/>
      <c r="EB95" s="77"/>
      <c r="EC95" s="78"/>
      <c r="ED95" s="77"/>
      <c r="EE95" s="78"/>
      <c r="EF95" s="77"/>
      <c r="EG95" s="78"/>
      <c r="EH95" s="77"/>
      <c r="EI95" s="78"/>
      <c r="EJ95" s="77"/>
      <c r="EK95" s="78"/>
      <c r="EL95" s="77"/>
      <c r="EM95" s="78"/>
      <c r="EN95" s="77"/>
      <c r="EO95" s="78"/>
      <c r="EP95" s="77"/>
      <c r="EQ95" s="78"/>
      <c r="ER95" s="77"/>
      <c r="ES95" s="78"/>
      <c r="ET95" s="77"/>
      <c r="EU95" s="78"/>
      <c r="EV95" s="77"/>
      <c r="EW95" s="78"/>
    </row>
    <row r="96" spans="1:309" ht="15" customHeight="1" x14ac:dyDescent="0.3">
      <c r="A96" s="77">
        <f>_xlfn.XLOOKUP(DADOS!$B$3,DADOS!$D$2:$DI$2,DADOS!$D96:$DI96,"",0)</f>
        <v>0</v>
      </c>
      <c r="B96" s="78">
        <f>_xlfn.XLOOKUP(DADOS!$B$3,DADOS!$E$112:$AS$112,DADOS!$E204:$AS204,"",0)</f>
        <v>0</v>
      </c>
      <c r="C96" s="295" t="s">
        <v>249</v>
      </c>
      <c r="D96" s="290"/>
      <c r="E96" s="78" cm="1">
        <f t="array" ref="E96">_xlfn.XLOOKUP(D$2,$D$112:$BF$112,$D204:BF204,0,0)</f>
        <v>0</v>
      </c>
      <c r="F96" s="290"/>
      <c r="G96" s="78">
        <f t="shared" si="55"/>
        <v>0</v>
      </c>
      <c r="H96" s="290"/>
      <c r="I96" s="78">
        <f t="shared" si="56"/>
        <v>0</v>
      </c>
      <c r="J96" s="290">
        <v>0</v>
      </c>
      <c r="K96" s="78">
        <f t="shared" si="57"/>
        <v>0</v>
      </c>
      <c r="L96" s="290"/>
      <c r="M96" s="78">
        <f t="shared" si="57"/>
        <v>0</v>
      </c>
      <c r="N96" s="290"/>
      <c r="O96" s="78">
        <f t="shared" si="58"/>
        <v>0</v>
      </c>
      <c r="P96" s="290"/>
      <c r="Q96" s="78">
        <f t="shared" si="59"/>
        <v>0</v>
      </c>
      <c r="R96" s="290"/>
      <c r="S96" s="78">
        <f t="shared" si="60"/>
        <v>0</v>
      </c>
      <c r="T96" s="290"/>
      <c r="U96" s="78">
        <f t="shared" si="61"/>
        <v>0</v>
      </c>
      <c r="V96" s="290"/>
      <c r="W96" s="78">
        <f t="shared" si="62"/>
        <v>0</v>
      </c>
      <c r="X96" s="290"/>
      <c r="Y96" s="78"/>
      <c r="Z96" s="290"/>
      <c r="AA96" s="78"/>
      <c r="AB96" s="290"/>
      <c r="AC96" s="78"/>
      <c r="AD96" s="280"/>
      <c r="AE96" s="78"/>
      <c r="AF96" s="280"/>
      <c r="AG96" s="78"/>
      <c r="AH96" s="280"/>
      <c r="AI96" s="78"/>
      <c r="AJ96" s="280"/>
      <c r="AK96" s="78"/>
      <c r="AL96" s="280"/>
      <c r="AM96" s="78"/>
      <c r="AN96" s="280"/>
      <c r="AO96" s="78"/>
      <c r="AP96" s="280"/>
      <c r="AQ96" s="78"/>
      <c r="AR96" s="280"/>
      <c r="AS96" s="78"/>
      <c r="AT96" s="280"/>
      <c r="AU96" s="78"/>
      <c r="AV96" s="280"/>
      <c r="AW96" s="78"/>
      <c r="AX96" s="280"/>
      <c r="AY96" s="78"/>
      <c r="AZ96" s="280"/>
      <c r="BA96" s="78"/>
      <c r="BB96" s="280"/>
      <c r="BC96" s="78"/>
      <c r="BD96" s="280"/>
      <c r="BE96" s="78"/>
      <c r="BF96" s="280"/>
      <c r="BG96" s="78"/>
      <c r="BH96" s="280"/>
      <c r="BI96" s="78"/>
      <c r="BJ96" s="280"/>
      <c r="BK96" s="78"/>
      <c r="BL96" s="280"/>
      <c r="BM96" s="78"/>
      <c r="BN96" s="280"/>
      <c r="BO96" s="78"/>
      <c r="BP96" s="280"/>
      <c r="BQ96" s="78"/>
      <c r="BR96" s="280"/>
      <c r="BS96" s="78"/>
      <c r="BT96" s="280"/>
      <c r="BU96" s="78"/>
      <c r="BV96" s="280"/>
      <c r="BW96" s="78"/>
      <c r="BX96" s="280"/>
      <c r="BY96" s="78"/>
      <c r="BZ96" s="280"/>
      <c r="CA96" s="78"/>
      <c r="CB96" s="280"/>
      <c r="CC96" s="78"/>
      <c r="CD96" s="280"/>
      <c r="CE96" s="78"/>
      <c r="CF96" s="280"/>
      <c r="CG96" s="78"/>
      <c r="CH96" s="280"/>
      <c r="CI96" s="78"/>
      <c r="CJ96" s="280"/>
      <c r="CK96" s="78"/>
      <c r="CL96" s="280"/>
      <c r="CM96" s="78"/>
      <c r="CN96" s="280"/>
      <c r="CO96" s="78"/>
      <c r="CP96" s="77"/>
      <c r="CQ96" s="78"/>
      <c r="CR96" s="77"/>
      <c r="CS96" s="78"/>
      <c r="CT96" s="77"/>
      <c r="CU96" s="78"/>
      <c r="CV96" s="77"/>
      <c r="CW96" s="78"/>
      <c r="CX96" s="77"/>
      <c r="CY96" s="78"/>
      <c r="CZ96" s="77"/>
      <c r="DA96" s="78"/>
      <c r="DB96" s="77"/>
      <c r="DC96" s="78"/>
      <c r="DD96" s="77"/>
      <c r="DE96" s="78"/>
      <c r="DF96" s="77"/>
      <c r="DG96" s="78"/>
      <c r="DH96" s="77"/>
      <c r="DI96" s="78"/>
      <c r="DJ96" s="77"/>
      <c r="DK96" s="78"/>
      <c r="DL96" s="77"/>
      <c r="DM96" s="78"/>
      <c r="DN96" s="77"/>
      <c r="DO96" s="78"/>
      <c r="DP96" s="77"/>
      <c r="DQ96" s="78"/>
      <c r="DR96" s="77"/>
      <c r="DS96" s="78"/>
      <c r="DT96" s="77"/>
      <c r="DU96" s="78"/>
      <c r="DV96" s="77"/>
      <c r="DW96" s="78"/>
      <c r="DX96" s="77"/>
      <c r="DY96" s="78"/>
      <c r="DZ96" s="77"/>
      <c r="EA96" s="78"/>
      <c r="EB96" s="77"/>
      <c r="EC96" s="78"/>
      <c r="ED96" s="77"/>
      <c r="EE96" s="78"/>
      <c r="EF96" s="77"/>
      <c r="EG96" s="78"/>
      <c r="EH96" s="77"/>
      <c r="EI96" s="78"/>
      <c r="EJ96" s="77"/>
      <c r="EK96" s="78"/>
      <c r="EL96" s="77"/>
      <c r="EM96" s="78"/>
      <c r="EN96" s="77"/>
      <c r="EO96" s="78"/>
      <c r="EP96" s="77"/>
      <c r="EQ96" s="78"/>
      <c r="ER96" s="77"/>
      <c r="ES96" s="78"/>
      <c r="ET96" s="77"/>
      <c r="EU96" s="78"/>
      <c r="EV96" s="77"/>
      <c r="EW96" s="78"/>
    </row>
    <row r="97" spans="1:153" ht="15" customHeight="1" x14ac:dyDescent="0.3">
      <c r="A97" s="77">
        <f>_xlfn.XLOOKUP(DADOS!$B$3,DADOS!$D$2:$DI$2,DADOS!$D97:$DI97,"",0)</f>
        <v>0</v>
      </c>
      <c r="B97" s="78">
        <f>_xlfn.XLOOKUP(DADOS!$B$3,DADOS!$E$112:$AS$112,DADOS!$E205:$AS205,"",0)</f>
        <v>0</v>
      </c>
      <c r="C97" s="295" t="s">
        <v>274</v>
      </c>
      <c r="D97" s="290"/>
      <c r="E97" s="78" cm="1">
        <f t="array" ref="E97">_xlfn.XLOOKUP(D$2,$D$112:$BF$112,$D205:BF205,0,0)</f>
        <v>0</v>
      </c>
      <c r="F97" s="290"/>
      <c r="G97" s="78">
        <f t="shared" si="55"/>
        <v>0</v>
      </c>
      <c r="H97" s="290"/>
      <c r="I97" s="78">
        <f t="shared" si="56"/>
        <v>0</v>
      </c>
      <c r="J97" s="290">
        <v>0</v>
      </c>
      <c r="K97" s="78">
        <f t="shared" si="57"/>
        <v>0</v>
      </c>
      <c r="L97" s="290"/>
      <c r="M97" s="78">
        <f t="shared" si="57"/>
        <v>0</v>
      </c>
      <c r="N97" s="290"/>
      <c r="O97" s="78">
        <f t="shared" si="58"/>
        <v>0</v>
      </c>
      <c r="P97" s="290"/>
      <c r="Q97" s="78">
        <f t="shared" si="59"/>
        <v>0</v>
      </c>
      <c r="R97" s="290"/>
      <c r="S97" s="78">
        <f t="shared" si="60"/>
        <v>0</v>
      </c>
      <c r="T97" s="290"/>
      <c r="U97" s="78">
        <f t="shared" si="61"/>
        <v>0</v>
      </c>
      <c r="V97" s="290"/>
      <c r="W97" s="78">
        <f t="shared" si="62"/>
        <v>0</v>
      </c>
      <c r="X97" s="290"/>
      <c r="Y97" s="78"/>
      <c r="Z97" s="290"/>
      <c r="AA97" s="78"/>
      <c r="AB97" s="290"/>
      <c r="AC97" s="78"/>
      <c r="AD97" s="280"/>
      <c r="AE97" s="78"/>
      <c r="AF97" s="280"/>
      <c r="AG97" s="78"/>
      <c r="AH97" s="280"/>
      <c r="AI97" s="78"/>
      <c r="AJ97" s="280"/>
      <c r="AK97" s="78"/>
      <c r="AL97" s="280"/>
      <c r="AM97" s="78"/>
      <c r="AN97" s="280"/>
      <c r="AO97" s="78"/>
      <c r="AP97" s="280"/>
      <c r="AQ97" s="78"/>
      <c r="AR97" s="280"/>
      <c r="AS97" s="78"/>
      <c r="AT97" s="280"/>
      <c r="AU97" s="78"/>
      <c r="AV97" s="280"/>
      <c r="AW97" s="78"/>
      <c r="AX97" s="280"/>
      <c r="AY97" s="78"/>
      <c r="AZ97" s="280"/>
      <c r="BA97" s="78"/>
      <c r="BB97" s="280"/>
      <c r="BC97" s="78"/>
      <c r="BD97" s="280"/>
      <c r="BE97" s="78"/>
      <c r="BF97" s="280"/>
      <c r="BG97" s="78"/>
      <c r="BH97" s="280"/>
      <c r="BI97" s="78"/>
      <c r="BJ97" s="280"/>
      <c r="BK97" s="78"/>
      <c r="BL97" s="280"/>
      <c r="BM97" s="78"/>
      <c r="BN97" s="280"/>
      <c r="BO97" s="78"/>
      <c r="BP97" s="280"/>
      <c r="BQ97" s="78"/>
      <c r="BR97" s="280"/>
      <c r="BS97" s="78"/>
      <c r="BT97" s="280"/>
      <c r="BU97" s="78"/>
      <c r="BV97" s="280"/>
      <c r="BW97" s="78"/>
      <c r="BX97" s="280"/>
      <c r="BY97" s="78"/>
      <c r="BZ97" s="280"/>
      <c r="CA97" s="78"/>
      <c r="CB97" s="280"/>
      <c r="CC97" s="78"/>
      <c r="CD97" s="280"/>
      <c r="CE97" s="78"/>
      <c r="CF97" s="280"/>
      <c r="CG97" s="78"/>
      <c r="CH97" s="280"/>
      <c r="CI97" s="78"/>
      <c r="CJ97" s="280"/>
      <c r="CK97" s="78"/>
      <c r="CL97" s="280"/>
      <c r="CM97" s="78"/>
      <c r="CN97" s="280"/>
      <c r="CO97" s="78"/>
      <c r="CP97" s="77"/>
      <c r="CQ97" s="78"/>
      <c r="CR97" s="77"/>
      <c r="CS97" s="78"/>
      <c r="CT97" s="77"/>
      <c r="CU97" s="78"/>
      <c r="CV97" s="77"/>
      <c r="CW97" s="78"/>
      <c r="CX97" s="77"/>
      <c r="CY97" s="78"/>
      <c r="CZ97" s="77"/>
      <c r="DA97" s="78"/>
      <c r="DB97" s="77"/>
      <c r="DC97" s="78"/>
      <c r="DD97" s="77"/>
      <c r="DE97" s="78"/>
      <c r="DF97" s="77"/>
      <c r="DG97" s="78"/>
      <c r="DH97" s="77"/>
      <c r="DI97" s="78"/>
      <c r="DJ97" s="77"/>
      <c r="DK97" s="78"/>
      <c r="DL97" s="77"/>
      <c r="DM97" s="78"/>
      <c r="DN97" s="77"/>
      <c r="DO97" s="78"/>
      <c r="DP97" s="77"/>
      <c r="DQ97" s="78"/>
      <c r="DR97" s="77"/>
      <c r="DS97" s="78"/>
      <c r="DT97" s="77"/>
      <c r="DU97" s="78"/>
      <c r="DV97" s="77"/>
      <c r="DW97" s="78"/>
      <c r="DX97" s="77"/>
      <c r="DY97" s="78"/>
      <c r="DZ97" s="77"/>
      <c r="EA97" s="78"/>
      <c r="EB97" s="77"/>
      <c r="EC97" s="78"/>
      <c r="ED97" s="77"/>
      <c r="EE97" s="78"/>
      <c r="EF97" s="77"/>
      <c r="EG97" s="78"/>
      <c r="EH97" s="77"/>
      <c r="EI97" s="78"/>
      <c r="EJ97" s="77"/>
      <c r="EK97" s="78"/>
      <c r="EL97" s="77"/>
      <c r="EM97" s="78"/>
      <c r="EN97" s="77"/>
      <c r="EO97" s="78"/>
      <c r="EP97" s="77"/>
      <c r="EQ97" s="78"/>
      <c r="ER97" s="77"/>
      <c r="ES97" s="78"/>
      <c r="ET97" s="77"/>
      <c r="EU97" s="78"/>
      <c r="EV97" s="77"/>
      <c r="EW97" s="78"/>
    </row>
    <row r="98" spans="1:153" ht="15" customHeight="1" x14ac:dyDescent="0.3">
      <c r="A98" s="77">
        <f>_xlfn.XLOOKUP(DADOS!$B$3,DADOS!$D$2:$DI$2,DADOS!$D98:$DI98,"",0)</f>
        <v>0.08</v>
      </c>
      <c r="B98" s="78">
        <f>_xlfn.XLOOKUP(DADOS!$B$3,DADOS!$E$112:$AS$112,DADOS!$E206:$AS206,"",0)</f>
        <v>0.06</v>
      </c>
      <c r="C98" s="287" t="s">
        <v>202</v>
      </c>
      <c r="D98" s="290"/>
      <c r="E98" s="78" cm="1">
        <f t="array" ref="E98">_xlfn.XLOOKUP(D$2,$D$112:$BF$112,$D206:BF206,0,0)</f>
        <v>0.02</v>
      </c>
      <c r="F98" s="290"/>
      <c r="G98" s="78">
        <f t="shared" si="55"/>
        <v>0.02</v>
      </c>
      <c r="H98" s="290"/>
      <c r="I98" s="78">
        <f t="shared" si="56"/>
        <v>0.04</v>
      </c>
      <c r="J98" s="290">
        <v>0.08</v>
      </c>
      <c r="K98" s="78">
        <f t="shared" si="57"/>
        <v>0.06</v>
      </c>
      <c r="L98" s="290"/>
      <c r="M98" s="78">
        <f t="shared" si="57"/>
        <v>0.15</v>
      </c>
      <c r="N98" s="290"/>
      <c r="O98" s="78">
        <f t="shared" si="58"/>
        <v>0.13</v>
      </c>
      <c r="P98" s="290"/>
      <c r="Q98" s="78">
        <f t="shared" si="59"/>
        <v>0.15</v>
      </c>
      <c r="R98" s="290"/>
      <c r="S98" s="78">
        <f t="shared" si="60"/>
        <v>0.17</v>
      </c>
      <c r="T98" s="290"/>
      <c r="U98" s="78">
        <f t="shared" si="61"/>
        <v>0.2</v>
      </c>
      <c r="V98" s="290"/>
      <c r="W98" s="78">
        <f t="shared" si="62"/>
        <v>0.22</v>
      </c>
      <c r="X98" s="290"/>
      <c r="Y98" s="78"/>
      <c r="Z98" s="290"/>
      <c r="AA98" s="78"/>
      <c r="AB98" s="290"/>
      <c r="AC98" s="78"/>
      <c r="AD98" s="280"/>
      <c r="AE98" s="78"/>
      <c r="AF98" s="280"/>
      <c r="AG98" s="78"/>
      <c r="AH98" s="280"/>
      <c r="AI98" s="78"/>
      <c r="AJ98" s="280"/>
      <c r="AK98" s="78"/>
      <c r="AL98" s="280"/>
      <c r="AM98" s="78"/>
      <c r="AN98" s="280"/>
      <c r="AO98" s="78"/>
      <c r="AP98" s="280"/>
      <c r="AQ98" s="78"/>
      <c r="AR98" s="280"/>
      <c r="AS98" s="78"/>
      <c r="AT98" s="280"/>
      <c r="AU98" s="78"/>
      <c r="AV98" s="280"/>
      <c r="AW98" s="78"/>
      <c r="AX98" s="280"/>
      <c r="AY98" s="78"/>
      <c r="AZ98" s="280"/>
      <c r="BA98" s="78"/>
      <c r="BB98" s="280"/>
      <c r="BC98" s="78"/>
      <c r="BD98" s="280"/>
      <c r="BE98" s="78"/>
      <c r="BF98" s="280"/>
      <c r="BG98" s="78"/>
      <c r="BH98" s="280"/>
      <c r="BI98" s="78"/>
      <c r="BJ98" s="280"/>
      <c r="BK98" s="78"/>
      <c r="BL98" s="280"/>
      <c r="BM98" s="78"/>
      <c r="BN98" s="280"/>
      <c r="BO98" s="78"/>
      <c r="BP98" s="280"/>
      <c r="BQ98" s="78"/>
      <c r="BR98" s="280"/>
      <c r="BS98" s="78"/>
      <c r="BT98" s="280"/>
      <c r="BU98" s="78"/>
      <c r="BV98" s="280"/>
      <c r="BW98" s="78"/>
      <c r="BX98" s="280"/>
      <c r="BY98" s="78"/>
      <c r="BZ98" s="280"/>
      <c r="CA98" s="78"/>
      <c r="CB98" s="280"/>
      <c r="CC98" s="78"/>
      <c r="CD98" s="280"/>
      <c r="CE98" s="78"/>
      <c r="CF98" s="280"/>
      <c r="CG98" s="78"/>
      <c r="CH98" s="280"/>
      <c r="CI98" s="78"/>
      <c r="CJ98" s="280"/>
      <c r="CK98" s="78"/>
      <c r="CL98" s="280"/>
      <c r="CM98" s="78"/>
      <c r="CN98" s="280"/>
      <c r="CO98" s="78"/>
      <c r="CP98" s="77"/>
      <c r="CQ98" s="78"/>
      <c r="CR98" s="77"/>
      <c r="CS98" s="78"/>
      <c r="CT98" s="77"/>
      <c r="CU98" s="78"/>
      <c r="CV98" s="77"/>
      <c r="CW98" s="78"/>
      <c r="CX98" s="77"/>
      <c r="CY98" s="78"/>
      <c r="CZ98" s="77"/>
      <c r="DA98" s="78"/>
      <c r="DB98" s="77"/>
      <c r="DC98" s="78"/>
      <c r="DD98" s="77"/>
      <c r="DE98" s="78"/>
      <c r="DF98" s="77"/>
      <c r="DG98" s="78"/>
      <c r="DH98" s="77"/>
      <c r="DI98" s="78"/>
      <c r="DJ98" s="77"/>
      <c r="DK98" s="78"/>
      <c r="DL98" s="77"/>
      <c r="DM98" s="78"/>
      <c r="DN98" s="77"/>
      <c r="DO98" s="78"/>
      <c r="DP98" s="77"/>
      <c r="DQ98" s="78"/>
      <c r="DR98" s="77"/>
      <c r="DS98" s="78"/>
      <c r="DT98" s="77"/>
      <c r="DU98" s="78"/>
      <c r="DV98" s="77"/>
      <c r="DW98" s="78"/>
      <c r="DX98" s="77"/>
      <c r="DY98" s="78"/>
      <c r="DZ98" s="77"/>
      <c r="EA98" s="78"/>
      <c r="EB98" s="77"/>
      <c r="EC98" s="78"/>
      <c r="ED98" s="77"/>
      <c r="EE98" s="78"/>
      <c r="EF98" s="77"/>
      <c r="EG98" s="78"/>
      <c r="EH98" s="77"/>
      <c r="EI98" s="78"/>
      <c r="EJ98" s="77"/>
      <c r="EK98" s="78"/>
      <c r="EL98" s="77"/>
      <c r="EM98" s="78"/>
      <c r="EN98" s="77"/>
      <c r="EO98" s="78"/>
      <c r="EP98" s="77"/>
      <c r="EQ98" s="78"/>
      <c r="ER98" s="77"/>
      <c r="ES98" s="78"/>
      <c r="ET98" s="77"/>
      <c r="EU98" s="78"/>
      <c r="EV98" s="77"/>
      <c r="EW98" s="78"/>
    </row>
    <row r="99" spans="1:153" ht="15" customHeight="1" x14ac:dyDescent="0.3">
      <c r="A99" s="77">
        <f>_xlfn.XLOOKUP(DADOS!$B$3,DADOS!$D$2:$DI$2,DADOS!$D99:$DI99,"",0)</f>
        <v>0</v>
      </c>
      <c r="B99" s="78">
        <f>_xlfn.XLOOKUP(DADOS!$B$3,DADOS!$E$112:$AS$112,DADOS!$E207:$AS207,"",0)</f>
        <v>0</v>
      </c>
      <c r="C99" s="294" t="s">
        <v>262</v>
      </c>
      <c r="D99" s="280"/>
      <c r="E99" s="78" cm="1">
        <f t="array" ref="E99">_xlfn.XLOOKUP(D$2,$D$112:$BF$112,$D207:BF207,0,0)</f>
        <v>0</v>
      </c>
      <c r="F99" s="280"/>
      <c r="G99" s="78">
        <f t="shared" si="55"/>
        <v>0</v>
      </c>
      <c r="H99" s="280"/>
      <c r="I99" s="78">
        <f t="shared" si="56"/>
        <v>0</v>
      </c>
      <c r="J99" s="280">
        <v>0</v>
      </c>
      <c r="K99" s="78">
        <f t="shared" si="57"/>
        <v>0</v>
      </c>
      <c r="L99" s="280"/>
      <c r="M99" s="78">
        <f t="shared" si="57"/>
        <v>0</v>
      </c>
      <c r="N99" s="280"/>
      <c r="O99" s="78">
        <f t="shared" si="58"/>
        <v>0</v>
      </c>
      <c r="P99" s="280"/>
      <c r="Q99" s="78">
        <f t="shared" si="59"/>
        <v>0</v>
      </c>
      <c r="R99" s="280"/>
      <c r="S99" s="78">
        <f t="shared" si="60"/>
        <v>0</v>
      </c>
      <c r="T99" s="280"/>
      <c r="U99" s="78">
        <f t="shared" si="61"/>
        <v>0</v>
      </c>
      <c r="V99" s="280"/>
      <c r="W99" s="78">
        <f t="shared" si="62"/>
        <v>0</v>
      </c>
      <c r="X99" s="280"/>
      <c r="Y99" s="78"/>
      <c r="Z99" s="280"/>
      <c r="AA99" s="78"/>
      <c r="AB99" s="280"/>
      <c r="AC99" s="78"/>
      <c r="AD99" s="280"/>
      <c r="AE99" s="78"/>
      <c r="AF99" s="280"/>
      <c r="AG99" s="78"/>
      <c r="AH99" s="280"/>
      <c r="AI99" s="78"/>
      <c r="AJ99" s="280"/>
      <c r="AK99" s="78"/>
      <c r="AL99" s="280"/>
      <c r="AM99" s="78"/>
      <c r="AN99" s="280"/>
      <c r="AO99" s="78"/>
      <c r="AP99" s="280"/>
      <c r="AQ99" s="78"/>
      <c r="AR99" s="280"/>
      <c r="AS99" s="78"/>
      <c r="AT99" s="280"/>
      <c r="AU99" s="78"/>
      <c r="AV99" s="280"/>
      <c r="AW99" s="78"/>
      <c r="AX99" s="280"/>
      <c r="AY99" s="78"/>
      <c r="AZ99" s="280"/>
      <c r="BA99" s="78"/>
      <c r="BB99" s="280"/>
      <c r="BC99" s="78"/>
      <c r="BD99" s="280"/>
      <c r="BE99" s="78"/>
      <c r="BF99" s="280"/>
      <c r="BG99" s="78"/>
      <c r="BH99" s="280"/>
      <c r="BI99" s="78"/>
      <c r="BJ99" s="280"/>
      <c r="BK99" s="78"/>
      <c r="BL99" s="280"/>
      <c r="BM99" s="78"/>
      <c r="BN99" s="280"/>
      <c r="BO99" s="78"/>
      <c r="BP99" s="280"/>
      <c r="BQ99" s="78"/>
      <c r="BR99" s="280"/>
      <c r="BS99" s="78"/>
      <c r="BT99" s="280"/>
      <c r="BU99" s="78"/>
      <c r="BV99" s="280"/>
      <c r="BW99" s="78"/>
      <c r="BX99" s="280"/>
      <c r="BY99" s="78"/>
      <c r="BZ99" s="280"/>
      <c r="CA99" s="78"/>
      <c r="CB99" s="280"/>
      <c r="CC99" s="78"/>
      <c r="CD99" s="280"/>
      <c r="CE99" s="78"/>
      <c r="CF99" s="280"/>
      <c r="CG99" s="78"/>
      <c r="CH99" s="280"/>
      <c r="CI99" s="78"/>
      <c r="CJ99" s="280"/>
      <c r="CK99" s="78"/>
      <c r="CL99" s="280"/>
      <c r="CM99" s="78"/>
      <c r="CN99" s="280"/>
      <c r="CO99" s="78"/>
      <c r="CP99" s="77"/>
      <c r="CQ99" s="78"/>
      <c r="CR99" s="77"/>
      <c r="CS99" s="78"/>
      <c r="CT99" s="77"/>
      <c r="CU99" s="78"/>
      <c r="CV99" s="77"/>
      <c r="CW99" s="78"/>
      <c r="CX99" s="77"/>
      <c r="CY99" s="78"/>
      <c r="CZ99" s="77"/>
      <c r="DA99" s="78"/>
      <c r="DB99" s="77"/>
      <c r="DC99" s="78"/>
      <c r="DD99" s="77"/>
      <c r="DE99" s="78"/>
      <c r="DF99" s="77"/>
      <c r="DG99" s="78"/>
      <c r="DH99" s="77"/>
      <c r="DI99" s="78"/>
      <c r="DJ99" s="77"/>
      <c r="DK99" s="78"/>
      <c r="DL99" s="77"/>
      <c r="DM99" s="78"/>
      <c r="DN99" s="77"/>
      <c r="DO99" s="78"/>
      <c r="DP99" s="77"/>
      <c r="DQ99" s="78"/>
      <c r="DR99" s="77"/>
      <c r="DS99" s="78"/>
      <c r="DT99" s="77"/>
      <c r="DU99" s="78"/>
      <c r="DV99" s="77"/>
      <c r="DW99" s="78"/>
      <c r="DX99" s="77"/>
      <c r="DY99" s="78"/>
      <c r="DZ99" s="77"/>
      <c r="EA99" s="78"/>
      <c r="EB99" s="77"/>
      <c r="EC99" s="78"/>
      <c r="ED99" s="77"/>
      <c r="EE99" s="78"/>
      <c r="EF99" s="77"/>
      <c r="EG99" s="78"/>
      <c r="EH99" s="77"/>
      <c r="EI99" s="78"/>
      <c r="EJ99" s="77"/>
      <c r="EK99" s="78"/>
      <c r="EL99" s="77"/>
      <c r="EM99" s="78"/>
      <c r="EN99" s="77"/>
      <c r="EO99" s="78"/>
      <c r="EP99" s="77"/>
      <c r="EQ99" s="78"/>
      <c r="ER99" s="77"/>
      <c r="ES99" s="78"/>
      <c r="ET99" s="77"/>
      <c r="EU99" s="78"/>
      <c r="EV99" s="77"/>
      <c r="EW99" s="78"/>
    </row>
    <row r="101" spans="1:153" x14ac:dyDescent="0.3">
      <c r="E101" s="293" t="s">
        <v>208</v>
      </c>
      <c r="F101" s="314" t="s">
        <v>263</v>
      </c>
      <c r="G101" s="314"/>
      <c r="H101" s="314"/>
      <c r="I101" s="314"/>
      <c r="J101" s="313" t="s">
        <v>264</v>
      </c>
      <c r="K101" s="313"/>
      <c r="L101" s="313"/>
      <c r="M101" s="313"/>
      <c r="N101" s="315" t="s">
        <v>265</v>
      </c>
      <c r="O101" s="315"/>
      <c r="P101" s="315"/>
      <c r="Q101" s="315"/>
      <c r="R101" s="315"/>
      <c r="S101" s="312" t="s">
        <v>266</v>
      </c>
      <c r="T101" s="312"/>
      <c r="U101" s="312"/>
      <c r="V101" s="312"/>
      <c r="W101" s="316" t="s">
        <v>267</v>
      </c>
      <c r="X101" s="316"/>
      <c r="Y101" s="316"/>
      <c r="Z101" s="316"/>
      <c r="AA101" s="313" t="s">
        <v>268</v>
      </c>
      <c r="AB101" s="313"/>
      <c r="AC101" s="313"/>
      <c r="AD101" s="313"/>
      <c r="AE101" s="313"/>
      <c r="AF101" s="317" t="s">
        <v>203</v>
      </c>
      <c r="AG101" s="317"/>
      <c r="AH101" s="317"/>
      <c r="AI101" s="317"/>
      <c r="AJ101" s="316" t="s">
        <v>204</v>
      </c>
      <c r="AK101" s="316"/>
      <c r="AL101" s="316"/>
      <c r="AM101" s="316"/>
      <c r="AN101" s="315" t="s">
        <v>205</v>
      </c>
      <c r="AO101" s="315"/>
      <c r="AP101" s="315"/>
      <c r="AQ101" s="315"/>
      <c r="AR101" s="315"/>
      <c r="AS101" s="312" t="s">
        <v>206</v>
      </c>
      <c r="AT101" s="312"/>
      <c r="AU101" s="312"/>
      <c r="AV101" s="312"/>
      <c r="AW101" s="313" t="s">
        <v>207</v>
      </c>
      <c r="AX101" s="313"/>
      <c r="AY101" s="313"/>
      <c r="AZ101" s="313"/>
      <c r="BA101" s="313"/>
    </row>
    <row r="102" spans="1:153" x14ac:dyDescent="0.3">
      <c r="C102" s="68"/>
      <c r="D102" s="234" t="s">
        <v>32</v>
      </c>
      <c r="E102" s="234" t="s">
        <v>5</v>
      </c>
      <c r="F102" s="234" t="s">
        <v>6</v>
      </c>
      <c r="G102" s="234" t="s">
        <v>7</v>
      </c>
      <c r="H102" s="234" t="s">
        <v>8</v>
      </c>
      <c r="I102" s="234" t="s">
        <v>9</v>
      </c>
      <c r="J102" s="234" t="s">
        <v>10</v>
      </c>
      <c r="K102" s="234" t="s">
        <v>11</v>
      </c>
      <c r="L102" s="234" t="s">
        <v>12</v>
      </c>
      <c r="M102" s="234" t="s">
        <v>13</v>
      </c>
      <c r="N102" s="234" t="s">
        <v>14</v>
      </c>
      <c r="O102" s="234" t="s">
        <v>15</v>
      </c>
      <c r="P102" s="234" t="s">
        <v>16</v>
      </c>
      <c r="Q102" s="234" t="s">
        <v>17</v>
      </c>
      <c r="R102" s="234" t="s">
        <v>18</v>
      </c>
      <c r="S102" s="234" t="s">
        <v>19</v>
      </c>
      <c r="T102" s="234" t="s">
        <v>20</v>
      </c>
      <c r="U102" s="234" t="s">
        <v>21</v>
      </c>
      <c r="V102" s="234" t="s">
        <v>22</v>
      </c>
      <c r="W102" s="234" t="s">
        <v>23</v>
      </c>
      <c r="X102" s="234" t="s">
        <v>24</v>
      </c>
      <c r="Y102" s="234" t="s">
        <v>25</v>
      </c>
      <c r="Z102" s="234" t="s">
        <v>26</v>
      </c>
      <c r="AA102" s="234" t="s">
        <v>27</v>
      </c>
      <c r="AB102" s="234" t="s">
        <v>28</v>
      </c>
      <c r="AC102" s="234" t="s">
        <v>29</v>
      </c>
      <c r="AD102" s="234" t="s">
        <v>121</v>
      </c>
      <c r="AE102" s="234" t="s">
        <v>122</v>
      </c>
      <c r="AF102" s="234" t="s">
        <v>123</v>
      </c>
      <c r="AG102" s="234" t="s">
        <v>124</v>
      </c>
      <c r="AH102" s="234" t="s">
        <v>125</v>
      </c>
      <c r="AI102" s="234" t="s">
        <v>126</v>
      </c>
      <c r="AJ102" s="234" t="s">
        <v>127</v>
      </c>
      <c r="AK102" s="234" t="s">
        <v>128</v>
      </c>
      <c r="AL102" s="234" t="s">
        <v>129</v>
      </c>
      <c r="AM102" s="234" t="s">
        <v>130</v>
      </c>
      <c r="AN102" s="234" t="s">
        <v>131</v>
      </c>
      <c r="AO102" s="234" t="s">
        <v>132</v>
      </c>
      <c r="AP102" s="234" t="s">
        <v>133</v>
      </c>
      <c r="AQ102" s="234" t="s">
        <v>134</v>
      </c>
      <c r="AR102" s="234" t="s">
        <v>135</v>
      </c>
      <c r="AS102" s="234" t="s">
        <v>136</v>
      </c>
      <c r="AT102" s="234" t="s">
        <v>137</v>
      </c>
      <c r="AU102" s="234" t="s">
        <v>138</v>
      </c>
      <c r="AV102" s="234" t="s">
        <v>215</v>
      </c>
      <c r="AW102" s="234" t="s">
        <v>216</v>
      </c>
      <c r="AX102" s="234" t="s">
        <v>217</v>
      </c>
      <c r="AY102" s="234" t="s">
        <v>218</v>
      </c>
      <c r="AZ102" s="234" t="s">
        <v>219</v>
      </c>
      <c r="BA102" s="234" t="s">
        <v>220</v>
      </c>
      <c r="BB102" s="234" t="s">
        <v>221</v>
      </c>
      <c r="BC102" s="234" t="s">
        <v>222</v>
      </c>
      <c r="BD102" s="234" t="s">
        <v>223</v>
      </c>
      <c r="BE102" s="234" t="s">
        <v>224</v>
      </c>
      <c r="BF102" s="234" t="s">
        <v>225</v>
      </c>
      <c r="BG102" s="234" t="s">
        <v>226</v>
      </c>
      <c r="BH102" s="234" t="s">
        <v>227</v>
      </c>
      <c r="BI102" s="234" t="s">
        <v>228</v>
      </c>
      <c r="BJ102" s="234" t="s">
        <v>229</v>
      </c>
      <c r="BK102" s="234" t="s">
        <v>230</v>
      </c>
      <c r="BL102" s="234" t="s">
        <v>231</v>
      </c>
      <c r="BM102" s="234" t="s">
        <v>232</v>
      </c>
      <c r="BN102" s="234" t="s">
        <v>140</v>
      </c>
      <c r="BO102" s="234" t="s">
        <v>141</v>
      </c>
      <c r="BP102" s="234" t="s">
        <v>142</v>
      </c>
      <c r="BQ102" s="234" t="s">
        <v>143</v>
      </c>
    </row>
    <row r="103" spans="1:153" s="69" customFormat="1" ht="22.5" customHeight="1" x14ac:dyDescent="0.3">
      <c r="C103" s="70" t="s">
        <v>146</v>
      </c>
      <c r="D103" s="71">
        <v>0</v>
      </c>
      <c r="E103" s="71">
        <f>E113</f>
        <v>0.01</v>
      </c>
      <c r="F103" s="71">
        <f>F113-E113</f>
        <v>0</v>
      </c>
      <c r="G103" s="71">
        <f t="shared" ref="G103:AC103" si="63">G113-F113</f>
        <v>0.01</v>
      </c>
      <c r="H103" s="71">
        <f t="shared" si="63"/>
        <v>9.9999999999999985E-3</v>
      </c>
      <c r="I103" s="71">
        <f t="shared" si="63"/>
        <v>0.03</v>
      </c>
      <c r="J103" s="71">
        <f>J113-I113</f>
        <v>0.03</v>
      </c>
      <c r="K103" s="71">
        <f t="shared" si="63"/>
        <v>0.03</v>
      </c>
      <c r="L103" s="71">
        <f t="shared" si="63"/>
        <v>0.03</v>
      </c>
      <c r="M103" s="71">
        <f t="shared" si="63"/>
        <v>2.0000000000000018E-2</v>
      </c>
      <c r="N103" s="71">
        <f t="shared" si="63"/>
        <v>0.03</v>
      </c>
      <c r="O103" s="71">
        <f t="shared" si="63"/>
        <v>0.03</v>
      </c>
      <c r="P103" s="71">
        <f>P113-O113</f>
        <v>9.9999999999999811E-3</v>
      </c>
      <c r="Q103" s="71">
        <f t="shared" si="63"/>
        <v>2.0000000000000018E-2</v>
      </c>
      <c r="R103" s="71">
        <f t="shared" si="63"/>
        <v>2.0000000000000018E-2</v>
      </c>
      <c r="S103" s="71">
        <f t="shared" si="63"/>
        <v>1.9999999999999962E-2</v>
      </c>
      <c r="T103" s="71">
        <f t="shared" si="63"/>
        <v>4.0000000000000036E-2</v>
      </c>
      <c r="U103" s="71">
        <f t="shared" si="63"/>
        <v>2.9999999999999971E-2</v>
      </c>
      <c r="V103" s="71">
        <f t="shared" si="63"/>
        <v>3.999999999999998E-2</v>
      </c>
      <c r="W103" s="71">
        <f t="shared" si="63"/>
        <v>3.0000000000000027E-2</v>
      </c>
      <c r="X103" s="71">
        <f t="shared" si="63"/>
        <v>2.0000000000000018E-2</v>
      </c>
      <c r="Y103" s="71">
        <f t="shared" si="63"/>
        <v>1.9999999999999962E-2</v>
      </c>
      <c r="Z103" s="71">
        <f t="shared" si="63"/>
        <v>4.0000000000000036E-2</v>
      </c>
      <c r="AA103" s="71">
        <f t="shared" si="63"/>
        <v>3.0000000000000027E-2</v>
      </c>
      <c r="AB103" s="71">
        <f t="shared" si="63"/>
        <v>1.9999999999999907E-2</v>
      </c>
      <c r="AC103" s="71">
        <f t="shared" si="63"/>
        <v>2.0000000000000018E-2</v>
      </c>
      <c r="AD103" s="71">
        <f t="shared" ref="AD103" si="64">AD113-AC113</f>
        <v>3.0000000000000027E-2</v>
      </c>
      <c r="AE103" s="71">
        <f t="shared" ref="AE103" si="65">AE113-AD113</f>
        <v>2.0000000000000018E-2</v>
      </c>
      <c r="AF103" s="71">
        <f t="shared" ref="AF103" si="66">AF113-AE113</f>
        <v>3.0000000000000027E-2</v>
      </c>
      <c r="AG103" s="71">
        <f t="shared" ref="AG103" si="67">AG113-AF113</f>
        <v>1.9999999999999907E-2</v>
      </c>
      <c r="AH103" s="71">
        <f t="shared" ref="AH103" si="68">AH113-AG113</f>
        <v>3.0000000000000027E-2</v>
      </c>
      <c r="AI103" s="71">
        <f t="shared" ref="AI103" si="69">AI113-AH113</f>
        <v>2.0000000000000018E-2</v>
      </c>
      <c r="AJ103" s="71">
        <f t="shared" ref="AJ103" si="70">AJ113-AI113</f>
        <v>3.0000000000000027E-2</v>
      </c>
      <c r="AK103" s="71">
        <f t="shared" ref="AK103" si="71">AK113-AJ113</f>
        <v>1.0000000000000009E-2</v>
      </c>
      <c r="AL103" s="71">
        <f t="shared" ref="AL103" si="72">AL113-AK113</f>
        <v>3.0000000000000027E-2</v>
      </c>
      <c r="AM103" s="71">
        <f t="shared" ref="AM103" si="73">AM113-AL113</f>
        <v>1.9999999999999907E-2</v>
      </c>
      <c r="AN103" s="71">
        <f t="shared" ref="AN103" si="74">AN113-AM113</f>
        <v>2.0000000000000018E-2</v>
      </c>
      <c r="AO103" s="71">
        <f t="shared" ref="AO103" si="75">AO113-AN113</f>
        <v>2.0000000000000018E-2</v>
      </c>
      <c r="AP103" s="71">
        <f t="shared" ref="AP103" si="76">AP113-AO113</f>
        <v>1.0000000000000009E-2</v>
      </c>
      <c r="AQ103" s="71">
        <f t="shared" ref="AQ103" si="77">AQ113-AP113</f>
        <v>1.0000000000000009E-2</v>
      </c>
      <c r="AR103" s="71">
        <f t="shared" ref="AR103" si="78">AR113-AQ113</f>
        <v>2.0000000000000018E-2</v>
      </c>
      <c r="AS103" s="71">
        <f t="shared" ref="AS103" si="79">AS113-AR113</f>
        <v>1.0000000000000009E-2</v>
      </c>
      <c r="AT103" s="71">
        <f t="shared" ref="AT103" si="80">AT113-AS113</f>
        <v>1.0000000000000009E-2</v>
      </c>
      <c r="AU103" s="71">
        <f t="shared" ref="AU103" si="81">AU113-AT113</f>
        <v>1.9999999999999907E-2</v>
      </c>
      <c r="AV103" s="71">
        <f t="shared" ref="AV103" si="82">AV113-AU113</f>
        <v>3.0000000000000027E-2</v>
      </c>
      <c r="AW103" s="71">
        <f t="shared" ref="AW103" si="83">AW113-AV113</f>
        <v>1.0000000000000009E-2</v>
      </c>
      <c r="AX103" s="71">
        <f t="shared" ref="AX103" si="84">AX113-AW113</f>
        <v>0</v>
      </c>
      <c r="AY103" s="71">
        <f t="shared" ref="AY103" si="85">AY113-AX113</f>
        <v>1.0000000000000009E-2</v>
      </c>
      <c r="AZ103" s="71">
        <f t="shared" ref="AZ103" si="86">AZ113-AY113</f>
        <v>0</v>
      </c>
      <c r="BA103" s="71">
        <f t="shared" ref="BA103" si="87">BA113-AZ113</f>
        <v>0</v>
      </c>
      <c r="BB103" s="71">
        <f t="shared" ref="BB103" si="88">BB113-BA113</f>
        <v>0</v>
      </c>
      <c r="BC103" s="71">
        <f t="shared" ref="BC103" si="89">BC113-BB113</f>
        <v>0</v>
      </c>
      <c r="BD103" s="71">
        <f t="shared" ref="BD103" si="90">BD113-BC113</f>
        <v>0</v>
      </c>
      <c r="BE103" s="71">
        <f t="shared" ref="BE103" si="91">BE113-BD113</f>
        <v>0</v>
      </c>
      <c r="BF103" s="71">
        <f t="shared" ref="BF103" si="92">BF113-BE113</f>
        <v>0</v>
      </c>
      <c r="BG103" s="71">
        <f t="shared" ref="BG103" si="93">BG113-BF113</f>
        <v>-1</v>
      </c>
      <c r="BH103" s="71">
        <f t="shared" ref="BH103" si="94">BH113-BG113</f>
        <v>0</v>
      </c>
      <c r="BI103" s="71">
        <f t="shared" ref="BI103" si="95">BI113-BH113</f>
        <v>0</v>
      </c>
      <c r="BJ103" s="71">
        <f t="shared" ref="BJ103" si="96">BJ113-BI113</f>
        <v>0</v>
      </c>
      <c r="BK103" s="71">
        <f t="shared" ref="BK103" si="97">BK113-BJ113</f>
        <v>0</v>
      </c>
      <c r="BL103" s="71">
        <f t="shared" ref="BL103" si="98">BL113-BK113</f>
        <v>0</v>
      </c>
      <c r="BM103" s="71">
        <f t="shared" ref="BM103" si="99">BM113-BL113</f>
        <v>0</v>
      </c>
      <c r="BN103" s="71">
        <f t="shared" ref="BN103" si="100">BN113-BM113</f>
        <v>0</v>
      </c>
      <c r="BO103" s="71">
        <f t="shared" ref="BO103" si="101">BO113-BN113</f>
        <v>0</v>
      </c>
      <c r="BP103" s="71">
        <f t="shared" ref="BP103" si="102">BP113-BO113</f>
        <v>0</v>
      </c>
      <c r="BQ103" s="71">
        <f t="shared" ref="BQ103" si="103">BQ113-BP113</f>
        <v>0</v>
      </c>
      <c r="BR103" s="72">
        <f>ROUND(AVERAGE(E103:H103),4)</f>
        <v>7.4999999999999997E-3</v>
      </c>
      <c r="BS103" s="6" t="s">
        <v>0</v>
      </c>
      <c r="BT103" s="235">
        <f>_xlfn.XLOOKUP($B$3,$E$102:$BQ$102,$E$104:$BQ$104,,0)</f>
        <v>0.03</v>
      </c>
    </row>
    <row r="104" spans="1:153" s="69" customFormat="1" ht="22.5" customHeight="1" x14ac:dyDescent="0.3">
      <c r="C104" s="70" t="s">
        <v>30</v>
      </c>
      <c r="D104" s="73">
        <v>0</v>
      </c>
      <c r="E104" s="73">
        <f>E103</f>
        <v>0.01</v>
      </c>
      <c r="F104" s="73">
        <f t="shared" ref="F104:AC104" si="104">E104+F103</f>
        <v>0.01</v>
      </c>
      <c r="G104" s="73">
        <f t="shared" si="104"/>
        <v>0.02</v>
      </c>
      <c r="H104" s="73">
        <f t="shared" si="104"/>
        <v>0.03</v>
      </c>
      <c r="I104" s="73">
        <f t="shared" si="104"/>
        <v>0.06</v>
      </c>
      <c r="J104" s="73">
        <f t="shared" si="104"/>
        <v>0.09</v>
      </c>
      <c r="K104" s="73">
        <f t="shared" si="104"/>
        <v>0.12</v>
      </c>
      <c r="L104" s="73">
        <f t="shared" si="104"/>
        <v>0.15</v>
      </c>
      <c r="M104" s="73">
        <f t="shared" si="104"/>
        <v>0.17</v>
      </c>
      <c r="N104" s="73">
        <f t="shared" si="104"/>
        <v>0.2</v>
      </c>
      <c r="O104" s="73">
        <f t="shared" si="104"/>
        <v>0.23</v>
      </c>
      <c r="P104" s="73">
        <f t="shared" si="104"/>
        <v>0.24</v>
      </c>
      <c r="Q104" s="73">
        <f t="shared" si="104"/>
        <v>0.26</v>
      </c>
      <c r="R104" s="73">
        <f t="shared" si="104"/>
        <v>0.28000000000000003</v>
      </c>
      <c r="S104" s="73">
        <f t="shared" si="104"/>
        <v>0.3</v>
      </c>
      <c r="T104" s="73">
        <f t="shared" si="104"/>
        <v>0.34</v>
      </c>
      <c r="U104" s="73">
        <f t="shared" si="104"/>
        <v>0.37</v>
      </c>
      <c r="V104" s="73">
        <f t="shared" si="104"/>
        <v>0.41</v>
      </c>
      <c r="W104" s="73">
        <f t="shared" si="104"/>
        <v>0.44</v>
      </c>
      <c r="X104" s="73">
        <f t="shared" si="104"/>
        <v>0.46</v>
      </c>
      <c r="Y104" s="73">
        <f t="shared" si="104"/>
        <v>0.48</v>
      </c>
      <c r="Z104" s="73">
        <f t="shared" si="104"/>
        <v>0.52</v>
      </c>
      <c r="AA104" s="73">
        <f t="shared" si="104"/>
        <v>0.55000000000000004</v>
      </c>
      <c r="AB104" s="73">
        <f t="shared" si="104"/>
        <v>0.56999999999999995</v>
      </c>
      <c r="AC104" s="73">
        <f t="shared" si="104"/>
        <v>0.59</v>
      </c>
      <c r="AD104" s="73">
        <f t="shared" ref="AD104" si="105">AC104+AD103</f>
        <v>0.62</v>
      </c>
      <c r="AE104" s="73">
        <f t="shared" ref="AE104" si="106">AD104+AE103</f>
        <v>0.64</v>
      </c>
      <c r="AF104" s="73">
        <f t="shared" ref="AF104" si="107">AE104+AF103</f>
        <v>0.67</v>
      </c>
      <c r="AG104" s="73">
        <f t="shared" ref="AG104" si="108">AF104+AG103</f>
        <v>0.69</v>
      </c>
      <c r="AH104" s="73">
        <f t="shared" ref="AH104" si="109">AG104+AH103</f>
        <v>0.72</v>
      </c>
      <c r="AI104" s="73">
        <f t="shared" ref="AI104" si="110">AH104+AI103</f>
        <v>0.74</v>
      </c>
      <c r="AJ104" s="73">
        <f t="shared" ref="AJ104" si="111">AI104+AJ103</f>
        <v>0.77</v>
      </c>
      <c r="AK104" s="73">
        <f t="shared" ref="AK104" si="112">AJ104+AK103</f>
        <v>0.78</v>
      </c>
      <c r="AL104" s="73">
        <f t="shared" ref="AL104" si="113">AK104+AL103</f>
        <v>0.81</v>
      </c>
      <c r="AM104" s="73">
        <f t="shared" ref="AM104" si="114">AL104+AM103</f>
        <v>0.83</v>
      </c>
      <c r="AN104" s="73">
        <f t="shared" ref="AN104" si="115">AM104+AN103</f>
        <v>0.85</v>
      </c>
      <c r="AO104" s="73">
        <f t="shared" ref="AO104" si="116">AN104+AO103</f>
        <v>0.87</v>
      </c>
      <c r="AP104" s="73">
        <f t="shared" ref="AP104" si="117">AO104+AP103</f>
        <v>0.88</v>
      </c>
      <c r="AQ104" s="73">
        <f t="shared" ref="AQ104" si="118">AP104+AQ103</f>
        <v>0.89</v>
      </c>
      <c r="AR104" s="73">
        <f t="shared" ref="AR104" si="119">AQ104+AR103</f>
        <v>0.91</v>
      </c>
      <c r="AS104" s="73">
        <f t="shared" ref="AS104" si="120">AR104+AS103</f>
        <v>0.92</v>
      </c>
      <c r="AT104" s="73">
        <f t="shared" ref="AT104" si="121">AS104+AT103</f>
        <v>0.93</v>
      </c>
      <c r="AU104" s="73">
        <f t="shared" ref="AU104" si="122">AT104+AU103</f>
        <v>0.95</v>
      </c>
      <c r="AV104" s="73">
        <f t="shared" ref="AV104" si="123">AU104+AV103</f>
        <v>0.98</v>
      </c>
      <c r="AW104" s="73">
        <f t="shared" ref="AW104" si="124">AV104+AW103</f>
        <v>0.99</v>
      </c>
      <c r="AX104" s="73">
        <f t="shared" ref="AX104" si="125">AW104+AX103</f>
        <v>0.99</v>
      </c>
      <c r="AY104" s="73">
        <f t="shared" ref="AY104" si="126">AX104+AY103</f>
        <v>1</v>
      </c>
      <c r="AZ104" s="73">
        <f t="shared" ref="AZ104" si="127">AY104+AZ103</f>
        <v>1</v>
      </c>
      <c r="BA104" s="73">
        <f t="shared" ref="BA104" si="128">AZ104+BA103</f>
        <v>1</v>
      </c>
      <c r="BB104" s="73">
        <f t="shared" ref="BB104" si="129">BA104+BB103</f>
        <v>1</v>
      </c>
      <c r="BC104" s="73">
        <f t="shared" ref="BC104" si="130">BB104+BC103</f>
        <v>1</v>
      </c>
      <c r="BD104" s="73">
        <f t="shared" ref="BD104" si="131">BC104+BD103</f>
        <v>1</v>
      </c>
      <c r="BE104" s="73">
        <f t="shared" ref="BE104" si="132">BD104+BE103</f>
        <v>1</v>
      </c>
      <c r="BF104" s="73">
        <f t="shared" ref="BF104" si="133">BE104+BF103</f>
        <v>1</v>
      </c>
      <c r="BG104" s="73">
        <f t="shared" ref="BG104" si="134">BF104+BG103</f>
        <v>0</v>
      </c>
      <c r="BH104" s="73">
        <f t="shared" ref="BH104" si="135">BG104+BH103</f>
        <v>0</v>
      </c>
      <c r="BI104" s="73">
        <f t="shared" ref="BI104" si="136">BH104+BI103</f>
        <v>0</v>
      </c>
      <c r="BJ104" s="73">
        <f t="shared" ref="BJ104" si="137">BI104+BJ103</f>
        <v>0</v>
      </c>
      <c r="BK104" s="73">
        <f t="shared" ref="BK104" si="138">BJ104+BK103</f>
        <v>0</v>
      </c>
      <c r="BL104" s="73">
        <f t="shared" ref="BL104" si="139">BK104+BL103</f>
        <v>0</v>
      </c>
      <c r="BM104" s="73">
        <f t="shared" ref="BM104" si="140">BL104+BM103</f>
        <v>0</v>
      </c>
      <c r="BN104" s="73">
        <f t="shared" ref="BN104" si="141">BM104+BN103</f>
        <v>0</v>
      </c>
      <c r="BO104" s="73">
        <f t="shared" ref="BO104" si="142">BN104+BO103</f>
        <v>0</v>
      </c>
      <c r="BP104" s="73">
        <f t="shared" ref="BP104" si="143">BO104+BP103</f>
        <v>0</v>
      </c>
      <c r="BQ104" s="73">
        <f t="shared" ref="BQ104" si="144">BP104+BQ103</f>
        <v>0</v>
      </c>
      <c r="BR104" s="74"/>
      <c r="BS104" s="6" t="s">
        <v>4</v>
      </c>
      <c r="BT104" s="235">
        <f>_xlfn.XLOOKUP($B$3,$E$102:$BQ$102,$E$107:$BQ$107,,0)</f>
        <v>0.03</v>
      </c>
    </row>
    <row r="105" spans="1:153" x14ac:dyDescent="0.3">
      <c r="E105" s="2"/>
      <c r="F105" s="2"/>
      <c r="G105" s="2"/>
      <c r="H105" s="2"/>
      <c r="I105" s="2"/>
      <c r="J105" s="2"/>
      <c r="K105" s="2"/>
      <c r="L105" s="2"/>
      <c r="M105" s="2"/>
      <c r="N105" s="2"/>
    </row>
    <row r="106" spans="1:153" ht="22.5" customHeight="1" x14ac:dyDescent="0.3">
      <c r="C106" s="70" t="s">
        <v>147</v>
      </c>
      <c r="D106" s="75">
        <v>0</v>
      </c>
      <c r="E106" s="76">
        <f>D5</f>
        <v>0.01</v>
      </c>
      <c r="F106" s="76">
        <f>F5-D5</f>
        <v>0</v>
      </c>
      <c r="G106" s="76">
        <f>H5-F5</f>
        <v>0.01</v>
      </c>
      <c r="H106" s="76">
        <f>J5-H5</f>
        <v>9.9999999999999985E-3</v>
      </c>
      <c r="I106" s="76">
        <f>L5-J5</f>
        <v>-0.03</v>
      </c>
      <c r="J106" s="76">
        <f>N5-L5</f>
        <v>0</v>
      </c>
      <c r="K106" s="76">
        <f>P5-N5</f>
        <v>0</v>
      </c>
      <c r="L106" s="76">
        <f>R5-P5</f>
        <v>0</v>
      </c>
      <c r="M106" s="76">
        <f>T5-R5</f>
        <v>0</v>
      </c>
      <c r="N106" s="76">
        <f>V5-T5</f>
        <v>0</v>
      </c>
      <c r="O106" s="76">
        <f>X5-V5</f>
        <v>0</v>
      </c>
      <c r="P106" s="76">
        <f t="shared" ref="P106:AC106" si="145">Z5-X5</f>
        <v>0</v>
      </c>
      <c r="Q106" s="76">
        <f t="shared" si="145"/>
        <v>0</v>
      </c>
      <c r="R106" s="76">
        <f t="shared" si="145"/>
        <v>0</v>
      </c>
      <c r="S106" s="76">
        <f t="shared" si="145"/>
        <v>0</v>
      </c>
      <c r="T106" s="76">
        <f t="shared" si="145"/>
        <v>0</v>
      </c>
      <c r="U106" s="76">
        <f t="shared" si="145"/>
        <v>0</v>
      </c>
      <c r="V106" s="76">
        <f t="shared" si="145"/>
        <v>0</v>
      </c>
      <c r="W106" s="76">
        <f t="shared" si="145"/>
        <v>0</v>
      </c>
      <c r="X106" s="76">
        <f t="shared" si="145"/>
        <v>0</v>
      </c>
      <c r="Y106" s="76">
        <f t="shared" si="145"/>
        <v>0</v>
      </c>
      <c r="Z106" s="76">
        <f t="shared" si="145"/>
        <v>0</v>
      </c>
      <c r="AA106" s="76">
        <f t="shared" si="145"/>
        <v>0</v>
      </c>
      <c r="AB106" s="76">
        <f t="shared" si="145"/>
        <v>0</v>
      </c>
      <c r="AC106" s="76">
        <f t="shared" si="145"/>
        <v>0</v>
      </c>
      <c r="AD106" s="76"/>
      <c r="AE106" s="76"/>
      <c r="AF106" s="76"/>
      <c r="AG106" s="76"/>
      <c r="AH106" s="76"/>
      <c r="AI106" s="76"/>
      <c r="AJ106" s="76"/>
      <c r="AK106" s="76"/>
      <c r="AL106" s="76"/>
      <c r="AM106" s="76"/>
      <c r="AN106" s="76"/>
      <c r="AO106" s="76"/>
      <c r="AP106" s="76"/>
      <c r="AQ106" s="76"/>
      <c r="AR106" s="76"/>
      <c r="AS106" s="76"/>
      <c r="AT106" s="76"/>
      <c r="AU106" s="76"/>
      <c r="AV106" s="76"/>
      <c r="AW106" s="76"/>
      <c r="AX106" s="76"/>
      <c r="AY106" s="76"/>
      <c r="AZ106" s="76"/>
      <c r="BA106" s="76"/>
      <c r="BB106" s="76"/>
      <c r="BC106" s="76"/>
      <c r="BD106" s="76"/>
      <c r="BE106" s="76"/>
      <c r="BF106" s="76"/>
      <c r="BG106" s="76"/>
      <c r="BH106" s="76"/>
      <c r="BI106" s="76"/>
      <c r="BJ106" s="76"/>
      <c r="BK106" s="76"/>
      <c r="BL106" s="76"/>
      <c r="BM106" s="76"/>
      <c r="BN106" s="76"/>
      <c r="BO106" s="76"/>
      <c r="BP106" s="76"/>
      <c r="BQ106" s="76"/>
      <c r="BR106" s="72">
        <f>ROUND(AVERAGE(E106:H106),4)</f>
        <v>7.4999999999999997E-3</v>
      </c>
    </row>
    <row r="107" spans="1:153" ht="22.5" customHeight="1" x14ac:dyDescent="0.3">
      <c r="C107" s="70" t="s">
        <v>31</v>
      </c>
      <c r="D107" s="75">
        <v>0</v>
      </c>
      <c r="E107" s="75">
        <f>E106</f>
        <v>0.01</v>
      </c>
      <c r="F107" s="73">
        <f>E107+F106</f>
        <v>0.01</v>
      </c>
      <c r="G107" s="73">
        <f t="shared" ref="G107:P107" si="146">F107+G106</f>
        <v>0.02</v>
      </c>
      <c r="H107" s="73">
        <f t="shared" si="146"/>
        <v>0.03</v>
      </c>
      <c r="I107" s="73">
        <f t="shared" si="146"/>
        <v>0</v>
      </c>
      <c r="J107" s="73">
        <f t="shared" si="146"/>
        <v>0</v>
      </c>
      <c r="K107" s="73">
        <f t="shared" si="146"/>
        <v>0</v>
      </c>
      <c r="L107" s="73">
        <f t="shared" si="146"/>
        <v>0</v>
      </c>
      <c r="M107" s="73">
        <f t="shared" si="146"/>
        <v>0</v>
      </c>
      <c r="N107" s="73">
        <f t="shared" si="146"/>
        <v>0</v>
      </c>
      <c r="O107" s="73">
        <f t="shared" si="146"/>
        <v>0</v>
      </c>
      <c r="P107" s="73">
        <f t="shared" si="146"/>
        <v>0</v>
      </c>
      <c r="Q107" s="73">
        <f t="shared" ref="Q107:AC107" si="147">P107+Q106</f>
        <v>0</v>
      </c>
      <c r="R107" s="73">
        <f t="shared" si="147"/>
        <v>0</v>
      </c>
      <c r="S107" s="73">
        <f t="shared" si="147"/>
        <v>0</v>
      </c>
      <c r="T107" s="73">
        <f t="shared" si="147"/>
        <v>0</v>
      </c>
      <c r="U107" s="73">
        <f t="shared" si="147"/>
        <v>0</v>
      </c>
      <c r="V107" s="73">
        <f t="shared" si="147"/>
        <v>0</v>
      </c>
      <c r="W107" s="73">
        <f t="shared" si="147"/>
        <v>0</v>
      </c>
      <c r="X107" s="73">
        <f t="shared" si="147"/>
        <v>0</v>
      </c>
      <c r="Y107" s="73">
        <f t="shared" si="147"/>
        <v>0</v>
      </c>
      <c r="Z107" s="73">
        <f t="shared" si="147"/>
        <v>0</v>
      </c>
      <c r="AA107" s="73">
        <f t="shared" si="147"/>
        <v>0</v>
      </c>
      <c r="AB107" s="73">
        <f t="shared" si="147"/>
        <v>0</v>
      </c>
      <c r="AC107" s="73">
        <f t="shared" si="147"/>
        <v>0</v>
      </c>
      <c r="AD107" s="76"/>
      <c r="AE107" s="76"/>
      <c r="AF107" s="76"/>
      <c r="AG107" s="76"/>
      <c r="AH107" s="76"/>
      <c r="AI107" s="76"/>
      <c r="AJ107" s="76"/>
      <c r="AK107" s="76"/>
      <c r="AL107" s="76"/>
      <c r="AM107" s="76"/>
      <c r="AN107" s="76"/>
      <c r="AO107" s="76"/>
      <c r="AP107" s="76"/>
      <c r="AQ107" s="76"/>
      <c r="AR107" s="76"/>
      <c r="AS107" s="76"/>
      <c r="AT107" s="76"/>
      <c r="AU107" s="76"/>
      <c r="AV107" s="76"/>
      <c r="AW107" s="76"/>
      <c r="AX107" s="76"/>
      <c r="AY107" s="76"/>
      <c r="AZ107" s="76"/>
      <c r="BA107" s="76"/>
      <c r="BB107" s="76"/>
      <c r="BC107" s="76"/>
      <c r="BD107" s="76"/>
      <c r="BE107" s="76"/>
      <c r="BF107" s="76"/>
      <c r="BG107" s="76"/>
      <c r="BH107" s="76"/>
      <c r="BI107" s="76"/>
      <c r="BJ107" s="76"/>
      <c r="BK107" s="76"/>
      <c r="BL107" s="76"/>
      <c r="BM107" s="76"/>
      <c r="BN107" s="76"/>
      <c r="BO107" s="76"/>
      <c r="BP107" s="76"/>
      <c r="BQ107" s="76"/>
    </row>
    <row r="111" spans="1:153" x14ac:dyDescent="0.3">
      <c r="C111" t="s">
        <v>144</v>
      </c>
    </row>
    <row r="112" spans="1:153" x14ac:dyDescent="0.3">
      <c r="C112" s="266" t="s">
        <v>235</v>
      </c>
      <c r="D112" s="4" t="s">
        <v>32</v>
      </c>
      <c r="E112" s="4" t="s">
        <v>5</v>
      </c>
      <c r="F112" s="4" t="s">
        <v>6</v>
      </c>
      <c r="G112" s="4" t="s">
        <v>7</v>
      </c>
      <c r="H112" s="4" t="s">
        <v>8</v>
      </c>
      <c r="I112" s="4" t="s">
        <v>9</v>
      </c>
      <c r="J112" s="4" t="s">
        <v>10</v>
      </c>
      <c r="K112" s="4" t="s">
        <v>11</v>
      </c>
      <c r="L112" s="4" t="s">
        <v>12</v>
      </c>
      <c r="M112" s="4" t="s">
        <v>13</v>
      </c>
      <c r="N112" s="4" t="s">
        <v>14</v>
      </c>
      <c r="O112" s="4" t="s">
        <v>15</v>
      </c>
      <c r="P112" s="4" t="s">
        <v>16</v>
      </c>
      <c r="Q112" s="4" t="s">
        <v>17</v>
      </c>
      <c r="R112" s="4" t="s">
        <v>18</v>
      </c>
      <c r="S112" s="4" t="s">
        <v>19</v>
      </c>
      <c r="T112" s="4" t="s">
        <v>20</v>
      </c>
      <c r="U112" s="4" t="s">
        <v>21</v>
      </c>
      <c r="V112" s="4" t="s">
        <v>22</v>
      </c>
      <c r="W112" s="4" t="s">
        <v>23</v>
      </c>
      <c r="X112" s="4" t="s">
        <v>24</v>
      </c>
      <c r="Y112" s="4" t="s">
        <v>25</v>
      </c>
      <c r="Z112" s="4" t="s">
        <v>26</v>
      </c>
      <c r="AA112" s="4" t="s">
        <v>27</v>
      </c>
      <c r="AB112" s="4" t="s">
        <v>28</v>
      </c>
      <c r="AC112" s="4" t="s">
        <v>29</v>
      </c>
      <c r="AD112" s="4" t="s">
        <v>121</v>
      </c>
      <c r="AE112" s="4" t="s">
        <v>122</v>
      </c>
      <c r="AF112" s="4" t="s">
        <v>123</v>
      </c>
      <c r="AG112" s="4" t="s">
        <v>124</v>
      </c>
      <c r="AH112" s="4" t="s">
        <v>125</v>
      </c>
      <c r="AI112" s="4" t="s">
        <v>126</v>
      </c>
      <c r="AJ112" s="4" t="s">
        <v>127</v>
      </c>
      <c r="AK112" s="4" t="s">
        <v>128</v>
      </c>
      <c r="AL112" s="4" t="s">
        <v>129</v>
      </c>
      <c r="AM112" s="4" t="s">
        <v>130</v>
      </c>
      <c r="AN112" s="4" t="s">
        <v>131</v>
      </c>
      <c r="AO112" s="4" t="s">
        <v>132</v>
      </c>
      <c r="AP112" s="4" t="s">
        <v>133</v>
      </c>
      <c r="AQ112" s="4" t="s">
        <v>134</v>
      </c>
      <c r="AR112" s="4" t="s">
        <v>135</v>
      </c>
      <c r="AS112" s="4" t="s">
        <v>136</v>
      </c>
      <c r="AT112" s="4" t="s">
        <v>137</v>
      </c>
      <c r="AU112" s="4" t="s">
        <v>138</v>
      </c>
      <c r="AV112" s="4" t="s">
        <v>215</v>
      </c>
      <c r="AW112" s="4" t="s">
        <v>216</v>
      </c>
      <c r="AX112" s="4" t="s">
        <v>217</v>
      </c>
      <c r="AY112" s="4" t="s">
        <v>218</v>
      </c>
      <c r="AZ112" s="4" t="s">
        <v>219</v>
      </c>
      <c r="BA112" s="4" t="s">
        <v>220</v>
      </c>
      <c r="BB112" s="4" t="s">
        <v>221</v>
      </c>
      <c r="BC112" s="4" t="s">
        <v>222</v>
      </c>
      <c r="BD112" s="4" t="s">
        <v>223</v>
      </c>
      <c r="BE112" s="4" t="s">
        <v>224</v>
      </c>
      <c r="BF112" s="4" t="s">
        <v>225</v>
      </c>
    </row>
    <row r="113" spans="3:58" ht="15.6" x14ac:dyDescent="0.3">
      <c r="C113" s="281" t="s">
        <v>269</v>
      </c>
      <c r="D113" s="3"/>
      <c r="E113" s="282">
        <v>0.01</v>
      </c>
      <c r="F113" s="282">
        <v>0.01</v>
      </c>
      <c r="G113" s="282">
        <v>0.02</v>
      </c>
      <c r="H113" s="282">
        <v>0.03</v>
      </c>
      <c r="I113" s="282">
        <v>0.06</v>
      </c>
      <c r="J113" s="282">
        <v>0.09</v>
      </c>
      <c r="K113" s="282">
        <v>0.12</v>
      </c>
      <c r="L113" s="282">
        <v>0.15</v>
      </c>
      <c r="M113" s="282">
        <v>0.17</v>
      </c>
      <c r="N113" s="282">
        <v>0.2</v>
      </c>
      <c r="O113" s="282">
        <v>0.23</v>
      </c>
      <c r="P113" s="282">
        <v>0.24</v>
      </c>
      <c r="Q113" s="282">
        <v>0.26</v>
      </c>
      <c r="R113" s="282">
        <v>0.28000000000000003</v>
      </c>
      <c r="S113" s="282">
        <v>0.3</v>
      </c>
      <c r="T113" s="282">
        <v>0.34</v>
      </c>
      <c r="U113" s="282">
        <v>0.37</v>
      </c>
      <c r="V113" s="282">
        <v>0.41</v>
      </c>
      <c r="W113" s="282">
        <v>0.44</v>
      </c>
      <c r="X113" s="282">
        <v>0.46</v>
      </c>
      <c r="Y113" s="282">
        <v>0.48</v>
      </c>
      <c r="Z113" s="282">
        <v>0.52</v>
      </c>
      <c r="AA113" s="282">
        <v>0.55000000000000004</v>
      </c>
      <c r="AB113" s="282">
        <v>0.56999999999999995</v>
      </c>
      <c r="AC113" s="282">
        <v>0.59</v>
      </c>
      <c r="AD113" s="282">
        <v>0.62</v>
      </c>
      <c r="AE113" s="282">
        <v>0.64</v>
      </c>
      <c r="AF113" s="282">
        <v>0.67</v>
      </c>
      <c r="AG113" s="282">
        <v>0.69</v>
      </c>
      <c r="AH113" s="282">
        <v>0.72</v>
      </c>
      <c r="AI113" s="282">
        <v>0.74</v>
      </c>
      <c r="AJ113" s="282">
        <v>0.77</v>
      </c>
      <c r="AK113" s="282">
        <v>0.78</v>
      </c>
      <c r="AL113" s="282">
        <v>0.81</v>
      </c>
      <c r="AM113" s="282">
        <v>0.83</v>
      </c>
      <c r="AN113" s="282">
        <v>0.85</v>
      </c>
      <c r="AO113" s="282">
        <v>0.87</v>
      </c>
      <c r="AP113" s="282">
        <v>0.88</v>
      </c>
      <c r="AQ113" s="282">
        <v>0.89</v>
      </c>
      <c r="AR113" s="282">
        <v>0.91</v>
      </c>
      <c r="AS113" s="282">
        <v>0.92</v>
      </c>
      <c r="AT113" s="282">
        <v>0.93</v>
      </c>
      <c r="AU113" s="282">
        <v>0.95</v>
      </c>
      <c r="AV113" s="282">
        <v>0.98</v>
      </c>
      <c r="AW113" s="282">
        <v>0.99</v>
      </c>
      <c r="AX113" s="282">
        <v>0.99</v>
      </c>
      <c r="AY113" s="282">
        <v>1</v>
      </c>
      <c r="AZ113" s="282">
        <v>1</v>
      </c>
      <c r="BA113" s="282">
        <v>1</v>
      </c>
      <c r="BB113" s="282">
        <v>1</v>
      </c>
      <c r="BC113" s="282">
        <v>1</v>
      </c>
      <c r="BD113" s="282">
        <v>1</v>
      </c>
      <c r="BE113" s="282">
        <v>1</v>
      </c>
      <c r="BF113" s="282">
        <v>1</v>
      </c>
    </row>
    <row r="114" spans="3:58" x14ac:dyDescent="0.3">
      <c r="C114" s="294" t="s">
        <v>214</v>
      </c>
      <c r="D114" s="3"/>
      <c r="E114" s="296">
        <v>1</v>
      </c>
      <c r="F114" s="296">
        <v>1</v>
      </c>
      <c r="G114" s="296">
        <v>1</v>
      </c>
      <c r="H114" s="296">
        <v>1</v>
      </c>
      <c r="I114" s="296">
        <v>1</v>
      </c>
      <c r="J114" s="296">
        <v>1</v>
      </c>
      <c r="K114" s="296">
        <v>1</v>
      </c>
      <c r="L114" s="296">
        <v>1</v>
      </c>
      <c r="M114" s="296">
        <v>1</v>
      </c>
      <c r="N114" s="296">
        <v>1</v>
      </c>
      <c r="O114" s="296">
        <v>1</v>
      </c>
      <c r="P114" s="296">
        <v>1</v>
      </c>
      <c r="Q114" s="296">
        <v>1</v>
      </c>
      <c r="R114" s="296">
        <v>1</v>
      </c>
      <c r="S114" s="296">
        <v>1</v>
      </c>
      <c r="T114" s="296">
        <v>1</v>
      </c>
      <c r="U114" s="296">
        <v>1</v>
      </c>
      <c r="V114" s="296">
        <v>1</v>
      </c>
      <c r="W114" s="296">
        <v>1</v>
      </c>
      <c r="X114" s="296">
        <v>1</v>
      </c>
      <c r="Y114" s="296">
        <v>1</v>
      </c>
      <c r="Z114" s="296">
        <v>1</v>
      </c>
      <c r="AA114" s="296">
        <v>1</v>
      </c>
      <c r="AB114" s="296">
        <v>1</v>
      </c>
      <c r="AC114" s="296">
        <v>1</v>
      </c>
      <c r="AD114" s="296">
        <v>1</v>
      </c>
      <c r="AE114" s="296">
        <v>1</v>
      </c>
      <c r="AF114" s="296">
        <v>1</v>
      </c>
      <c r="AG114" s="296">
        <v>1</v>
      </c>
      <c r="AH114" s="296">
        <v>1</v>
      </c>
      <c r="AI114" s="296">
        <v>1</v>
      </c>
      <c r="AJ114" s="296">
        <v>1</v>
      </c>
      <c r="AK114" s="296">
        <v>1</v>
      </c>
      <c r="AL114" s="296">
        <v>1</v>
      </c>
      <c r="AM114" s="296">
        <v>1</v>
      </c>
      <c r="AN114" s="296">
        <v>1</v>
      </c>
      <c r="AO114" s="296">
        <v>1</v>
      </c>
      <c r="AP114" s="296">
        <v>1</v>
      </c>
      <c r="AQ114" s="296">
        <v>1</v>
      </c>
      <c r="AR114" s="296">
        <v>1</v>
      </c>
      <c r="AS114" s="296">
        <v>1</v>
      </c>
      <c r="AT114" s="296">
        <v>1</v>
      </c>
      <c r="AU114" s="296">
        <v>1</v>
      </c>
      <c r="AV114" s="296">
        <v>1</v>
      </c>
      <c r="AW114" s="296">
        <v>1</v>
      </c>
      <c r="AX114" s="296">
        <v>1</v>
      </c>
      <c r="AY114" s="296">
        <v>1</v>
      </c>
      <c r="AZ114" s="296">
        <v>1</v>
      </c>
      <c r="BA114" s="296">
        <v>1</v>
      </c>
      <c r="BB114" s="296">
        <v>1</v>
      </c>
      <c r="BC114" s="296">
        <v>1</v>
      </c>
      <c r="BD114" s="296">
        <v>1</v>
      </c>
      <c r="BE114" s="296">
        <v>1</v>
      </c>
      <c r="BF114" s="296">
        <v>1</v>
      </c>
    </row>
    <row r="115" spans="3:58" ht="28.8" x14ac:dyDescent="0.3">
      <c r="C115" s="287" t="s">
        <v>201</v>
      </c>
      <c r="D115" s="3"/>
      <c r="E115" s="288">
        <v>0.02</v>
      </c>
      <c r="F115" s="288">
        <v>0.02</v>
      </c>
      <c r="G115" s="288">
        <v>0.04</v>
      </c>
      <c r="H115" s="288">
        <v>0.06</v>
      </c>
      <c r="I115" s="288">
        <v>0.11</v>
      </c>
      <c r="J115" s="288">
        <v>0.13</v>
      </c>
      <c r="K115" s="288">
        <v>0.15</v>
      </c>
      <c r="L115" s="288">
        <v>0.17</v>
      </c>
      <c r="M115" s="288">
        <v>0.2</v>
      </c>
      <c r="N115" s="288">
        <v>0.22</v>
      </c>
      <c r="O115" s="288">
        <v>0.24</v>
      </c>
      <c r="P115" s="288">
        <v>0.26</v>
      </c>
      <c r="Q115" s="288">
        <v>0.28000000000000003</v>
      </c>
      <c r="R115" s="288">
        <v>0.3</v>
      </c>
      <c r="S115" s="288">
        <v>0.32</v>
      </c>
      <c r="T115" s="288">
        <v>0.34</v>
      </c>
      <c r="U115" s="288">
        <v>0.36</v>
      </c>
      <c r="V115" s="288">
        <v>0.38</v>
      </c>
      <c r="W115" s="288">
        <v>0.41</v>
      </c>
      <c r="X115" s="288">
        <v>0.43</v>
      </c>
      <c r="Y115" s="288">
        <v>0.45</v>
      </c>
      <c r="Z115" s="288">
        <v>0.47</v>
      </c>
      <c r="AA115" s="288">
        <v>0.49</v>
      </c>
      <c r="AB115" s="288">
        <v>0.51</v>
      </c>
      <c r="AC115" s="288">
        <v>0.53</v>
      </c>
      <c r="AD115" s="288">
        <v>0.56000000000000005</v>
      </c>
      <c r="AE115" s="288">
        <v>0.57999999999999996</v>
      </c>
      <c r="AF115" s="288">
        <v>0.6</v>
      </c>
      <c r="AG115" s="288">
        <v>0.62</v>
      </c>
      <c r="AH115" s="288">
        <v>0.64</v>
      </c>
      <c r="AI115" s="288">
        <v>0.67</v>
      </c>
      <c r="AJ115" s="288">
        <v>0.69</v>
      </c>
      <c r="AK115" s="288">
        <v>0.71</v>
      </c>
      <c r="AL115" s="288">
        <v>0.73</v>
      </c>
      <c r="AM115" s="288">
        <v>0.76</v>
      </c>
      <c r="AN115" s="288">
        <v>0.78</v>
      </c>
      <c r="AO115" s="288">
        <v>0.8</v>
      </c>
      <c r="AP115" s="288">
        <v>0.82</v>
      </c>
      <c r="AQ115" s="288">
        <v>0.84</v>
      </c>
      <c r="AR115" s="288">
        <v>0.87</v>
      </c>
      <c r="AS115" s="288">
        <v>0.89</v>
      </c>
      <c r="AT115" s="288">
        <v>0.91</v>
      </c>
      <c r="AU115" s="288">
        <v>0.93</v>
      </c>
      <c r="AV115" s="288">
        <v>0.96</v>
      </c>
      <c r="AW115" s="288">
        <v>0.98</v>
      </c>
      <c r="AX115" s="288">
        <v>0.98</v>
      </c>
      <c r="AY115" s="288">
        <v>1</v>
      </c>
      <c r="AZ115" s="288">
        <v>1</v>
      </c>
      <c r="BA115" s="288">
        <v>1</v>
      </c>
      <c r="BB115" s="288">
        <v>1</v>
      </c>
      <c r="BC115" s="288">
        <v>1</v>
      </c>
      <c r="BD115" s="288">
        <v>1</v>
      </c>
      <c r="BE115" s="288">
        <v>1</v>
      </c>
      <c r="BF115" s="288">
        <v>1</v>
      </c>
    </row>
    <row r="116" spans="3:58" x14ac:dyDescent="0.3">
      <c r="C116" s="287" t="s">
        <v>236</v>
      </c>
      <c r="D116" s="3"/>
      <c r="E116" s="288">
        <v>0.02</v>
      </c>
      <c r="F116" s="288">
        <v>0.02</v>
      </c>
      <c r="G116" s="288">
        <v>0.04</v>
      </c>
      <c r="H116" s="288">
        <v>0.05</v>
      </c>
      <c r="I116" s="288">
        <v>0.24</v>
      </c>
      <c r="J116" s="288">
        <v>0.36</v>
      </c>
      <c r="K116" s="288">
        <v>0.46</v>
      </c>
      <c r="L116" s="288">
        <v>0.57999999999999996</v>
      </c>
      <c r="M116" s="288">
        <v>0.6</v>
      </c>
      <c r="N116" s="288">
        <v>0.62</v>
      </c>
      <c r="O116" s="288">
        <v>0.64</v>
      </c>
      <c r="P116" s="288">
        <v>0.64</v>
      </c>
      <c r="Q116" s="288">
        <v>0.65</v>
      </c>
      <c r="R116" s="288">
        <v>0.68</v>
      </c>
      <c r="S116" s="288">
        <v>0.7</v>
      </c>
      <c r="T116" s="288">
        <v>0.76</v>
      </c>
      <c r="U116" s="288">
        <v>0.86</v>
      </c>
      <c r="V116" s="288">
        <v>0.95</v>
      </c>
      <c r="W116" s="288">
        <v>1</v>
      </c>
      <c r="X116" s="288">
        <v>1</v>
      </c>
      <c r="Y116" s="288">
        <v>1</v>
      </c>
      <c r="Z116" s="288">
        <v>1</v>
      </c>
      <c r="AA116" s="288">
        <v>1</v>
      </c>
      <c r="AB116" s="288">
        <v>1</v>
      </c>
      <c r="AC116" s="288">
        <v>1</v>
      </c>
      <c r="AD116" s="288">
        <v>1</v>
      </c>
      <c r="AE116" s="288">
        <v>1</v>
      </c>
      <c r="AF116" s="288">
        <v>1</v>
      </c>
      <c r="AG116" s="288">
        <v>1</v>
      </c>
      <c r="AH116" s="288">
        <v>1</v>
      </c>
      <c r="AI116" s="288">
        <v>1</v>
      </c>
      <c r="AJ116" s="288">
        <v>1</v>
      </c>
      <c r="AK116" s="288">
        <v>1</v>
      </c>
      <c r="AL116" s="288">
        <v>1</v>
      </c>
      <c r="AM116" s="288">
        <v>1</v>
      </c>
      <c r="AN116" s="288">
        <v>1</v>
      </c>
      <c r="AO116" s="288">
        <v>1</v>
      </c>
      <c r="AP116" s="288">
        <v>1</v>
      </c>
      <c r="AQ116" s="288">
        <v>1</v>
      </c>
      <c r="AR116" s="288">
        <v>1</v>
      </c>
      <c r="AS116" s="288">
        <v>1</v>
      </c>
      <c r="AT116" s="288">
        <v>1</v>
      </c>
      <c r="AU116" s="288">
        <v>1</v>
      </c>
      <c r="AV116" s="288">
        <v>1</v>
      </c>
      <c r="AW116" s="288">
        <v>1</v>
      </c>
      <c r="AX116" s="288">
        <v>1</v>
      </c>
      <c r="AY116" s="288">
        <v>1</v>
      </c>
      <c r="AZ116" s="288">
        <v>1</v>
      </c>
      <c r="BA116" s="288">
        <v>1</v>
      </c>
      <c r="BB116" s="288">
        <v>1</v>
      </c>
      <c r="BC116" s="288">
        <v>1</v>
      </c>
      <c r="BD116" s="288">
        <v>1</v>
      </c>
      <c r="BE116" s="288">
        <v>1</v>
      </c>
      <c r="BF116" s="288">
        <v>1</v>
      </c>
    </row>
    <row r="117" spans="3:58" x14ac:dyDescent="0.3">
      <c r="C117" s="295" t="s">
        <v>237</v>
      </c>
      <c r="D117" s="3"/>
      <c r="E117" s="297">
        <v>0</v>
      </c>
      <c r="F117" s="297">
        <v>0</v>
      </c>
      <c r="G117" s="297">
        <v>0.65</v>
      </c>
      <c r="H117" s="297">
        <v>0.81</v>
      </c>
      <c r="I117" s="297">
        <v>1</v>
      </c>
      <c r="J117" s="297">
        <v>1</v>
      </c>
      <c r="K117" s="297">
        <v>1</v>
      </c>
      <c r="L117" s="297">
        <v>1</v>
      </c>
      <c r="M117" s="297">
        <v>1</v>
      </c>
      <c r="N117" s="297">
        <v>1</v>
      </c>
      <c r="O117" s="297">
        <v>1</v>
      </c>
      <c r="P117" s="297">
        <v>1</v>
      </c>
      <c r="Q117" s="297">
        <v>1</v>
      </c>
      <c r="R117" s="297">
        <v>1</v>
      </c>
      <c r="S117" s="297">
        <v>1</v>
      </c>
      <c r="T117" s="297">
        <v>1</v>
      </c>
      <c r="U117" s="297">
        <v>1</v>
      </c>
      <c r="V117" s="297">
        <v>1</v>
      </c>
      <c r="W117" s="297">
        <v>1</v>
      </c>
      <c r="X117" s="297">
        <v>1</v>
      </c>
      <c r="Y117" s="297">
        <v>1</v>
      </c>
      <c r="Z117" s="297">
        <v>1</v>
      </c>
      <c r="AA117" s="297">
        <v>1</v>
      </c>
      <c r="AB117" s="297">
        <v>1</v>
      </c>
      <c r="AC117" s="297">
        <v>1</v>
      </c>
      <c r="AD117" s="297">
        <v>1</v>
      </c>
      <c r="AE117" s="297">
        <v>1</v>
      </c>
      <c r="AF117" s="297">
        <v>1</v>
      </c>
      <c r="AG117" s="297">
        <v>1</v>
      </c>
      <c r="AH117" s="297">
        <v>1</v>
      </c>
      <c r="AI117" s="297">
        <v>1</v>
      </c>
      <c r="AJ117" s="297">
        <v>1</v>
      </c>
      <c r="AK117" s="297">
        <v>1</v>
      </c>
      <c r="AL117" s="297">
        <v>1</v>
      </c>
      <c r="AM117" s="297">
        <v>1</v>
      </c>
      <c r="AN117" s="297">
        <v>1</v>
      </c>
      <c r="AO117" s="297">
        <v>1</v>
      </c>
      <c r="AP117" s="297">
        <v>1</v>
      </c>
      <c r="AQ117" s="297">
        <v>1</v>
      </c>
      <c r="AR117" s="297">
        <v>1</v>
      </c>
      <c r="AS117" s="297">
        <v>1</v>
      </c>
      <c r="AT117" s="297">
        <v>1</v>
      </c>
      <c r="AU117" s="297">
        <v>1</v>
      </c>
      <c r="AV117" s="297">
        <v>1</v>
      </c>
      <c r="AW117" s="297">
        <v>1</v>
      </c>
      <c r="AX117" s="297">
        <v>1</v>
      </c>
      <c r="AY117" s="297">
        <v>1</v>
      </c>
      <c r="AZ117" s="297">
        <v>1</v>
      </c>
      <c r="BA117" s="297">
        <v>1</v>
      </c>
      <c r="BB117" s="297">
        <v>1</v>
      </c>
      <c r="BC117" s="297">
        <v>1</v>
      </c>
      <c r="BD117" s="297">
        <v>1</v>
      </c>
      <c r="BE117" s="297">
        <v>1</v>
      </c>
      <c r="BF117" s="297">
        <v>1</v>
      </c>
    </row>
    <row r="118" spans="3:58" x14ac:dyDescent="0.3">
      <c r="C118" s="295" t="s">
        <v>238</v>
      </c>
      <c r="D118" s="3"/>
      <c r="E118" s="297">
        <v>0.31</v>
      </c>
      <c r="F118" s="297">
        <v>0.31</v>
      </c>
      <c r="G118" s="297">
        <v>0.5</v>
      </c>
      <c r="H118" s="297">
        <v>0.65</v>
      </c>
      <c r="I118" s="297">
        <v>0.95</v>
      </c>
      <c r="J118" s="297">
        <v>1</v>
      </c>
      <c r="K118" s="297">
        <v>1</v>
      </c>
      <c r="L118" s="297">
        <v>1</v>
      </c>
      <c r="M118" s="297">
        <v>1</v>
      </c>
      <c r="N118" s="297">
        <v>1</v>
      </c>
      <c r="O118" s="297">
        <v>1</v>
      </c>
      <c r="P118" s="297">
        <v>1</v>
      </c>
      <c r="Q118" s="297">
        <v>1</v>
      </c>
      <c r="R118" s="297">
        <v>1</v>
      </c>
      <c r="S118" s="297">
        <v>1</v>
      </c>
      <c r="T118" s="297">
        <v>1</v>
      </c>
      <c r="U118" s="297">
        <v>1</v>
      </c>
      <c r="V118" s="297">
        <v>1</v>
      </c>
      <c r="W118" s="297">
        <v>1</v>
      </c>
      <c r="X118" s="297">
        <v>1</v>
      </c>
      <c r="Y118" s="297">
        <v>1</v>
      </c>
      <c r="Z118" s="297">
        <v>1</v>
      </c>
      <c r="AA118" s="297">
        <v>1</v>
      </c>
      <c r="AB118" s="297">
        <v>1</v>
      </c>
      <c r="AC118" s="297">
        <v>1</v>
      </c>
      <c r="AD118" s="297">
        <v>1</v>
      </c>
      <c r="AE118" s="297">
        <v>1</v>
      </c>
      <c r="AF118" s="297">
        <v>1</v>
      </c>
      <c r="AG118" s="297">
        <v>1</v>
      </c>
      <c r="AH118" s="297">
        <v>1</v>
      </c>
      <c r="AI118" s="297">
        <v>1</v>
      </c>
      <c r="AJ118" s="297">
        <v>1</v>
      </c>
      <c r="AK118" s="297">
        <v>1</v>
      </c>
      <c r="AL118" s="297">
        <v>1</v>
      </c>
      <c r="AM118" s="297">
        <v>1</v>
      </c>
      <c r="AN118" s="297">
        <v>1</v>
      </c>
      <c r="AO118" s="297">
        <v>1</v>
      </c>
      <c r="AP118" s="297">
        <v>1</v>
      </c>
      <c r="AQ118" s="297">
        <v>1</v>
      </c>
      <c r="AR118" s="297">
        <v>1</v>
      </c>
      <c r="AS118" s="297">
        <v>1</v>
      </c>
      <c r="AT118" s="297">
        <v>1</v>
      </c>
      <c r="AU118" s="297">
        <v>1</v>
      </c>
      <c r="AV118" s="297">
        <v>1</v>
      </c>
      <c r="AW118" s="297">
        <v>1</v>
      </c>
      <c r="AX118" s="297">
        <v>1</v>
      </c>
      <c r="AY118" s="297">
        <v>1</v>
      </c>
      <c r="AZ118" s="297">
        <v>1</v>
      </c>
      <c r="BA118" s="297">
        <v>1</v>
      </c>
      <c r="BB118" s="297">
        <v>1</v>
      </c>
      <c r="BC118" s="297">
        <v>1</v>
      </c>
      <c r="BD118" s="297">
        <v>1</v>
      </c>
      <c r="BE118" s="297">
        <v>1</v>
      </c>
      <c r="BF118" s="297">
        <v>1</v>
      </c>
    </row>
    <row r="119" spans="3:58" x14ac:dyDescent="0.3">
      <c r="C119" s="295" t="s">
        <v>239</v>
      </c>
      <c r="D119" s="3"/>
      <c r="E119" s="297">
        <v>0</v>
      </c>
      <c r="F119" s="297">
        <v>0</v>
      </c>
      <c r="G119" s="297">
        <v>0.04</v>
      </c>
      <c r="H119" s="297">
        <v>0.3</v>
      </c>
      <c r="I119" s="297">
        <v>0.68</v>
      </c>
      <c r="J119" s="297">
        <v>0.8</v>
      </c>
      <c r="K119" s="297">
        <v>0.91</v>
      </c>
      <c r="L119" s="297">
        <v>1</v>
      </c>
      <c r="M119" s="297">
        <v>1</v>
      </c>
      <c r="N119" s="297">
        <v>1</v>
      </c>
      <c r="O119" s="297">
        <v>1</v>
      </c>
      <c r="P119" s="297">
        <v>1</v>
      </c>
      <c r="Q119" s="297">
        <v>1</v>
      </c>
      <c r="R119" s="297">
        <v>1</v>
      </c>
      <c r="S119" s="297">
        <v>1</v>
      </c>
      <c r="T119" s="297">
        <v>1</v>
      </c>
      <c r="U119" s="297">
        <v>1</v>
      </c>
      <c r="V119" s="297">
        <v>1</v>
      </c>
      <c r="W119" s="297">
        <v>1</v>
      </c>
      <c r="X119" s="297">
        <v>1</v>
      </c>
      <c r="Y119" s="297">
        <v>1</v>
      </c>
      <c r="Z119" s="297">
        <v>1</v>
      </c>
      <c r="AA119" s="297">
        <v>1</v>
      </c>
      <c r="AB119" s="297">
        <v>1</v>
      </c>
      <c r="AC119" s="297">
        <v>1</v>
      </c>
      <c r="AD119" s="297">
        <v>1</v>
      </c>
      <c r="AE119" s="297">
        <v>1</v>
      </c>
      <c r="AF119" s="297">
        <v>1</v>
      </c>
      <c r="AG119" s="297">
        <v>1</v>
      </c>
      <c r="AH119" s="297">
        <v>1</v>
      </c>
      <c r="AI119" s="297">
        <v>1</v>
      </c>
      <c r="AJ119" s="297">
        <v>1</v>
      </c>
      <c r="AK119" s="297">
        <v>1</v>
      </c>
      <c r="AL119" s="297">
        <v>1</v>
      </c>
      <c r="AM119" s="297">
        <v>1</v>
      </c>
      <c r="AN119" s="297">
        <v>1</v>
      </c>
      <c r="AO119" s="297">
        <v>1</v>
      </c>
      <c r="AP119" s="297">
        <v>1</v>
      </c>
      <c r="AQ119" s="297">
        <v>1</v>
      </c>
      <c r="AR119" s="297">
        <v>1</v>
      </c>
      <c r="AS119" s="297">
        <v>1</v>
      </c>
      <c r="AT119" s="297">
        <v>1</v>
      </c>
      <c r="AU119" s="297">
        <v>1</v>
      </c>
      <c r="AV119" s="297">
        <v>1</v>
      </c>
      <c r="AW119" s="297">
        <v>1</v>
      </c>
      <c r="AX119" s="297">
        <v>1</v>
      </c>
      <c r="AY119" s="297">
        <v>1</v>
      </c>
      <c r="AZ119" s="297">
        <v>1</v>
      </c>
      <c r="BA119" s="297">
        <v>1</v>
      </c>
      <c r="BB119" s="297">
        <v>1</v>
      </c>
      <c r="BC119" s="297">
        <v>1</v>
      </c>
      <c r="BD119" s="297">
        <v>1</v>
      </c>
      <c r="BE119" s="297">
        <v>1</v>
      </c>
      <c r="BF119" s="297">
        <v>1</v>
      </c>
    </row>
    <row r="120" spans="3:58" x14ac:dyDescent="0.3">
      <c r="C120" s="295" t="s">
        <v>240</v>
      </c>
      <c r="D120" s="3"/>
      <c r="E120" s="297">
        <v>0</v>
      </c>
      <c r="F120" s="297">
        <v>0</v>
      </c>
      <c r="G120" s="297">
        <v>0</v>
      </c>
      <c r="H120" s="297">
        <v>0</v>
      </c>
      <c r="I120" s="297">
        <v>0.51</v>
      </c>
      <c r="J120" s="297">
        <v>1</v>
      </c>
      <c r="K120" s="297">
        <v>1</v>
      </c>
      <c r="L120" s="297">
        <v>1</v>
      </c>
      <c r="M120" s="297">
        <v>1</v>
      </c>
      <c r="N120" s="297">
        <v>1</v>
      </c>
      <c r="O120" s="297">
        <v>1</v>
      </c>
      <c r="P120" s="297">
        <v>1</v>
      </c>
      <c r="Q120" s="297">
        <v>1</v>
      </c>
      <c r="R120" s="297">
        <v>1</v>
      </c>
      <c r="S120" s="297">
        <v>1</v>
      </c>
      <c r="T120" s="297">
        <v>1</v>
      </c>
      <c r="U120" s="297">
        <v>1</v>
      </c>
      <c r="V120" s="297">
        <v>1</v>
      </c>
      <c r="W120" s="297">
        <v>1</v>
      </c>
      <c r="X120" s="297">
        <v>1</v>
      </c>
      <c r="Y120" s="297">
        <v>1</v>
      </c>
      <c r="Z120" s="297">
        <v>1</v>
      </c>
      <c r="AA120" s="297">
        <v>1</v>
      </c>
      <c r="AB120" s="297">
        <v>1</v>
      </c>
      <c r="AC120" s="297">
        <v>1</v>
      </c>
      <c r="AD120" s="297">
        <v>1</v>
      </c>
      <c r="AE120" s="297">
        <v>1</v>
      </c>
      <c r="AF120" s="297">
        <v>1</v>
      </c>
      <c r="AG120" s="297">
        <v>1</v>
      </c>
      <c r="AH120" s="297">
        <v>1</v>
      </c>
      <c r="AI120" s="297">
        <v>1</v>
      </c>
      <c r="AJ120" s="297">
        <v>1</v>
      </c>
      <c r="AK120" s="297">
        <v>1</v>
      </c>
      <c r="AL120" s="297">
        <v>1</v>
      </c>
      <c r="AM120" s="297">
        <v>1</v>
      </c>
      <c r="AN120" s="297">
        <v>1</v>
      </c>
      <c r="AO120" s="297">
        <v>1</v>
      </c>
      <c r="AP120" s="297">
        <v>1</v>
      </c>
      <c r="AQ120" s="297">
        <v>1</v>
      </c>
      <c r="AR120" s="297">
        <v>1</v>
      </c>
      <c r="AS120" s="297">
        <v>1</v>
      </c>
      <c r="AT120" s="297">
        <v>1</v>
      </c>
      <c r="AU120" s="297">
        <v>1</v>
      </c>
      <c r="AV120" s="297">
        <v>1</v>
      </c>
      <c r="AW120" s="297">
        <v>1</v>
      </c>
      <c r="AX120" s="297">
        <v>1</v>
      </c>
      <c r="AY120" s="297">
        <v>1</v>
      </c>
      <c r="AZ120" s="297">
        <v>1</v>
      </c>
      <c r="BA120" s="297">
        <v>1</v>
      </c>
      <c r="BB120" s="297">
        <v>1</v>
      </c>
      <c r="BC120" s="297">
        <v>1</v>
      </c>
      <c r="BD120" s="297">
        <v>1</v>
      </c>
      <c r="BE120" s="297">
        <v>1</v>
      </c>
      <c r="BF120" s="297">
        <v>1</v>
      </c>
    </row>
    <row r="121" spans="3:58" x14ac:dyDescent="0.3">
      <c r="C121" s="295" t="s">
        <v>241</v>
      </c>
      <c r="D121" s="3"/>
      <c r="E121" s="297">
        <v>0</v>
      </c>
      <c r="F121" s="297">
        <v>0</v>
      </c>
      <c r="G121" s="297">
        <v>0</v>
      </c>
      <c r="H121" s="297">
        <v>0</v>
      </c>
      <c r="I121" s="297">
        <v>0.16</v>
      </c>
      <c r="J121" s="297">
        <v>0.37</v>
      </c>
      <c r="K121" s="297">
        <v>0.46</v>
      </c>
      <c r="L121" s="297">
        <v>0.75</v>
      </c>
      <c r="M121" s="297">
        <v>0.75</v>
      </c>
      <c r="N121" s="297">
        <v>0.75</v>
      </c>
      <c r="O121" s="297">
        <v>0.75</v>
      </c>
      <c r="P121" s="297">
        <v>0.75</v>
      </c>
      <c r="Q121" s="297">
        <v>0.75</v>
      </c>
      <c r="R121" s="297">
        <v>0.75</v>
      </c>
      <c r="S121" s="297">
        <v>0.75</v>
      </c>
      <c r="T121" s="297">
        <v>0.75</v>
      </c>
      <c r="U121" s="297">
        <v>0.75</v>
      </c>
      <c r="V121" s="297">
        <v>1</v>
      </c>
      <c r="W121" s="297">
        <v>1</v>
      </c>
      <c r="X121" s="297">
        <v>1</v>
      </c>
      <c r="Y121" s="297">
        <v>1</v>
      </c>
      <c r="Z121" s="297">
        <v>1</v>
      </c>
      <c r="AA121" s="297">
        <v>1</v>
      </c>
      <c r="AB121" s="297">
        <v>1</v>
      </c>
      <c r="AC121" s="297">
        <v>1</v>
      </c>
      <c r="AD121" s="297">
        <v>1</v>
      </c>
      <c r="AE121" s="297">
        <v>1</v>
      </c>
      <c r="AF121" s="297">
        <v>1</v>
      </c>
      <c r="AG121" s="297">
        <v>1</v>
      </c>
      <c r="AH121" s="297">
        <v>1</v>
      </c>
      <c r="AI121" s="297">
        <v>1</v>
      </c>
      <c r="AJ121" s="297">
        <v>1</v>
      </c>
      <c r="AK121" s="297">
        <v>1</v>
      </c>
      <c r="AL121" s="297">
        <v>1</v>
      </c>
      <c r="AM121" s="297">
        <v>1</v>
      </c>
      <c r="AN121" s="297">
        <v>1</v>
      </c>
      <c r="AO121" s="297">
        <v>1</v>
      </c>
      <c r="AP121" s="297">
        <v>1</v>
      </c>
      <c r="AQ121" s="297">
        <v>1</v>
      </c>
      <c r="AR121" s="297">
        <v>1</v>
      </c>
      <c r="AS121" s="297">
        <v>1</v>
      </c>
      <c r="AT121" s="297">
        <v>1</v>
      </c>
      <c r="AU121" s="297">
        <v>1</v>
      </c>
      <c r="AV121" s="297">
        <v>1</v>
      </c>
      <c r="AW121" s="297">
        <v>1</v>
      </c>
      <c r="AX121" s="297">
        <v>1</v>
      </c>
      <c r="AY121" s="297">
        <v>1</v>
      </c>
      <c r="AZ121" s="297">
        <v>1</v>
      </c>
      <c r="BA121" s="297">
        <v>1</v>
      </c>
      <c r="BB121" s="297">
        <v>1</v>
      </c>
      <c r="BC121" s="297">
        <v>1</v>
      </c>
      <c r="BD121" s="297">
        <v>1</v>
      </c>
      <c r="BE121" s="297">
        <v>1</v>
      </c>
      <c r="BF121" s="297">
        <v>1</v>
      </c>
    </row>
    <row r="122" spans="3:58" x14ac:dyDescent="0.3">
      <c r="C122" s="295" t="s">
        <v>242</v>
      </c>
      <c r="D122" s="3"/>
      <c r="E122" s="297">
        <v>0</v>
      </c>
      <c r="F122" s="297">
        <v>0</v>
      </c>
      <c r="G122" s="297">
        <v>0</v>
      </c>
      <c r="H122" s="297">
        <v>0</v>
      </c>
      <c r="I122" s="297">
        <v>0.25</v>
      </c>
      <c r="J122" s="297">
        <v>0.39</v>
      </c>
      <c r="K122" s="297">
        <v>0.72</v>
      </c>
      <c r="L122" s="297">
        <v>0.91</v>
      </c>
      <c r="M122" s="297">
        <v>0.91</v>
      </c>
      <c r="N122" s="297">
        <v>0.91</v>
      </c>
      <c r="O122" s="297">
        <v>0.91</v>
      </c>
      <c r="P122" s="297">
        <v>0.91</v>
      </c>
      <c r="Q122" s="297">
        <v>0.91</v>
      </c>
      <c r="R122" s="297">
        <v>0.91</v>
      </c>
      <c r="S122" s="297">
        <v>0.91</v>
      </c>
      <c r="T122" s="297">
        <v>0.91</v>
      </c>
      <c r="U122" s="297">
        <v>0.94</v>
      </c>
      <c r="V122" s="297">
        <v>1</v>
      </c>
      <c r="W122" s="297">
        <v>1</v>
      </c>
      <c r="X122" s="297">
        <v>1</v>
      </c>
      <c r="Y122" s="297">
        <v>1</v>
      </c>
      <c r="Z122" s="297">
        <v>1</v>
      </c>
      <c r="AA122" s="297">
        <v>1</v>
      </c>
      <c r="AB122" s="297">
        <v>1</v>
      </c>
      <c r="AC122" s="297">
        <v>1</v>
      </c>
      <c r="AD122" s="297">
        <v>1</v>
      </c>
      <c r="AE122" s="297">
        <v>1</v>
      </c>
      <c r="AF122" s="297">
        <v>1</v>
      </c>
      <c r="AG122" s="297">
        <v>1</v>
      </c>
      <c r="AH122" s="297">
        <v>1</v>
      </c>
      <c r="AI122" s="297">
        <v>1</v>
      </c>
      <c r="AJ122" s="297">
        <v>1</v>
      </c>
      <c r="AK122" s="297">
        <v>1</v>
      </c>
      <c r="AL122" s="297">
        <v>1</v>
      </c>
      <c r="AM122" s="297">
        <v>1</v>
      </c>
      <c r="AN122" s="297">
        <v>1</v>
      </c>
      <c r="AO122" s="297">
        <v>1</v>
      </c>
      <c r="AP122" s="297">
        <v>1</v>
      </c>
      <c r="AQ122" s="297">
        <v>1</v>
      </c>
      <c r="AR122" s="297">
        <v>1</v>
      </c>
      <c r="AS122" s="297">
        <v>1</v>
      </c>
      <c r="AT122" s="297">
        <v>1</v>
      </c>
      <c r="AU122" s="297">
        <v>1</v>
      </c>
      <c r="AV122" s="297">
        <v>1</v>
      </c>
      <c r="AW122" s="297">
        <v>1</v>
      </c>
      <c r="AX122" s="297">
        <v>1</v>
      </c>
      <c r="AY122" s="297">
        <v>1</v>
      </c>
      <c r="AZ122" s="297">
        <v>1</v>
      </c>
      <c r="BA122" s="297">
        <v>1</v>
      </c>
      <c r="BB122" s="297">
        <v>1</v>
      </c>
      <c r="BC122" s="297">
        <v>1</v>
      </c>
      <c r="BD122" s="297">
        <v>1</v>
      </c>
      <c r="BE122" s="297">
        <v>1</v>
      </c>
      <c r="BF122" s="297">
        <v>1</v>
      </c>
    </row>
    <row r="123" spans="3:58" x14ac:dyDescent="0.3">
      <c r="C123" s="295" t="s">
        <v>243</v>
      </c>
      <c r="D123" s="3"/>
      <c r="E123" s="297">
        <v>0</v>
      </c>
      <c r="F123" s="297">
        <v>0</v>
      </c>
      <c r="G123" s="297">
        <v>0</v>
      </c>
      <c r="H123" s="297">
        <v>0</v>
      </c>
      <c r="I123" s="297">
        <v>0</v>
      </c>
      <c r="J123" s="297">
        <v>0.12</v>
      </c>
      <c r="K123" s="297">
        <v>0.55000000000000004</v>
      </c>
      <c r="L123" s="297">
        <v>0.74</v>
      </c>
      <c r="M123" s="297">
        <v>0.76</v>
      </c>
      <c r="N123" s="297">
        <v>0.76</v>
      </c>
      <c r="O123" s="297">
        <v>0.76</v>
      </c>
      <c r="P123" s="297">
        <v>0.76</v>
      </c>
      <c r="Q123" s="297">
        <v>0.76</v>
      </c>
      <c r="R123" s="297">
        <v>0.76</v>
      </c>
      <c r="S123" s="297">
        <v>0.76</v>
      </c>
      <c r="T123" s="297">
        <v>0.76</v>
      </c>
      <c r="U123" s="297">
        <v>0.76</v>
      </c>
      <c r="V123" s="297">
        <v>0.81</v>
      </c>
      <c r="W123" s="297">
        <v>1</v>
      </c>
      <c r="X123" s="297">
        <v>1</v>
      </c>
      <c r="Y123" s="297">
        <v>1</v>
      </c>
      <c r="Z123" s="297">
        <v>1</v>
      </c>
      <c r="AA123" s="297">
        <v>1</v>
      </c>
      <c r="AB123" s="297">
        <v>1</v>
      </c>
      <c r="AC123" s="297">
        <v>1</v>
      </c>
      <c r="AD123" s="297">
        <v>1</v>
      </c>
      <c r="AE123" s="297">
        <v>1</v>
      </c>
      <c r="AF123" s="297">
        <v>1</v>
      </c>
      <c r="AG123" s="297">
        <v>1</v>
      </c>
      <c r="AH123" s="297">
        <v>1</v>
      </c>
      <c r="AI123" s="297">
        <v>1</v>
      </c>
      <c r="AJ123" s="297">
        <v>1</v>
      </c>
      <c r="AK123" s="297">
        <v>1</v>
      </c>
      <c r="AL123" s="297">
        <v>1</v>
      </c>
      <c r="AM123" s="297">
        <v>1</v>
      </c>
      <c r="AN123" s="297">
        <v>1</v>
      </c>
      <c r="AO123" s="297">
        <v>1</v>
      </c>
      <c r="AP123" s="297">
        <v>1</v>
      </c>
      <c r="AQ123" s="297">
        <v>1</v>
      </c>
      <c r="AR123" s="297">
        <v>1</v>
      </c>
      <c r="AS123" s="297">
        <v>1</v>
      </c>
      <c r="AT123" s="297">
        <v>1</v>
      </c>
      <c r="AU123" s="297">
        <v>1</v>
      </c>
      <c r="AV123" s="297">
        <v>1</v>
      </c>
      <c r="AW123" s="297">
        <v>1</v>
      </c>
      <c r="AX123" s="297">
        <v>1</v>
      </c>
      <c r="AY123" s="297">
        <v>1</v>
      </c>
      <c r="AZ123" s="297">
        <v>1</v>
      </c>
      <c r="BA123" s="297">
        <v>1</v>
      </c>
      <c r="BB123" s="297">
        <v>1</v>
      </c>
      <c r="BC123" s="297">
        <v>1</v>
      </c>
      <c r="BD123" s="297">
        <v>1</v>
      </c>
      <c r="BE123" s="297">
        <v>1</v>
      </c>
      <c r="BF123" s="297">
        <v>1</v>
      </c>
    </row>
    <row r="124" spans="3:58" x14ac:dyDescent="0.3">
      <c r="C124" s="295" t="s">
        <v>244</v>
      </c>
      <c r="D124" s="3"/>
      <c r="E124" s="297">
        <v>0</v>
      </c>
      <c r="F124" s="297">
        <v>0</v>
      </c>
      <c r="G124" s="297">
        <v>0</v>
      </c>
      <c r="H124" s="297">
        <v>0</v>
      </c>
      <c r="I124" s="297">
        <v>0</v>
      </c>
      <c r="J124" s="297">
        <v>0</v>
      </c>
      <c r="K124" s="297">
        <v>0</v>
      </c>
      <c r="L124" s="297">
        <v>0.28999999999999998</v>
      </c>
      <c r="M124" s="297">
        <v>0.74</v>
      </c>
      <c r="N124" s="297">
        <v>1</v>
      </c>
      <c r="O124" s="297">
        <v>1</v>
      </c>
      <c r="P124" s="297">
        <v>1</v>
      </c>
      <c r="Q124" s="297">
        <v>1</v>
      </c>
      <c r="R124" s="297">
        <v>1</v>
      </c>
      <c r="S124" s="297">
        <v>1</v>
      </c>
      <c r="T124" s="297">
        <v>1</v>
      </c>
      <c r="U124" s="297">
        <v>1</v>
      </c>
      <c r="V124" s="297">
        <v>1</v>
      </c>
      <c r="W124" s="297">
        <v>1</v>
      </c>
      <c r="X124" s="297">
        <v>1</v>
      </c>
      <c r="Y124" s="297">
        <v>1</v>
      </c>
      <c r="Z124" s="297">
        <v>1</v>
      </c>
      <c r="AA124" s="297">
        <v>1</v>
      </c>
      <c r="AB124" s="297">
        <v>1</v>
      </c>
      <c r="AC124" s="297">
        <v>1</v>
      </c>
      <c r="AD124" s="297">
        <v>1</v>
      </c>
      <c r="AE124" s="297">
        <v>1</v>
      </c>
      <c r="AF124" s="297">
        <v>1</v>
      </c>
      <c r="AG124" s="297">
        <v>1</v>
      </c>
      <c r="AH124" s="297">
        <v>1</v>
      </c>
      <c r="AI124" s="297">
        <v>1</v>
      </c>
      <c r="AJ124" s="297">
        <v>1</v>
      </c>
      <c r="AK124" s="297">
        <v>1</v>
      </c>
      <c r="AL124" s="297">
        <v>1</v>
      </c>
      <c r="AM124" s="297">
        <v>1</v>
      </c>
      <c r="AN124" s="297">
        <v>1</v>
      </c>
      <c r="AO124" s="297">
        <v>1</v>
      </c>
      <c r="AP124" s="297">
        <v>1</v>
      </c>
      <c r="AQ124" s="297">
        <v>1</v>
      </c>
      <c r="AR124" s="297">
        <v>1</v>
      </c>
      <c r="AS124" s="297">
        <v>1</v>
      </c>
      <c r="AT124" s="297">
        <v>1</v>
      </c>
      <c r="AU124" s="297">
        <v>1</v>
      </c>
      <c r="AV124" s="297">
        <v>1</v>
      </c>
      <c r="AW124" s="297">
        <v>1</v>
      </c>
      <c r="AX124" s="297">
        <v>1</v>
      </c>
      <c r="AY124" s="297">
        <v>1</v>
      </c>
      <c r="AZ124" s="297">
        <v>1</v>
      </c>
      <c r="BA124" s="297">
        <v>1</v>
      </c>
      <c r="BB124" s="297">
        <v>1</v>
      </c>
      <c r="BC124" s="297">
        <v>1</v>
      </c>
      <c r="BD124" s="297">
        <v>1</v>
      </c>
      <c r="BE124" s="297">
        <v>1</v>
      </c>
      <c r="BF124" s="297">
        <v>1</v>
      </c>
    </row>
    <row r="125" spans="3:58" x14ac:dyDescent="0.3">
      <c r="C125" s="295" t="s">
        <v>245</v>
      </c>
      <c r="D125" s="3"/>
      <c r="E125" s="297">
        <v>0</v>
      </c>
      <c r="F125" s="297">
        <v>0</v>
      </c>
      <c r="G125" s="297">
        <v>0</v>
      </c>
      <c r="H125" s="297">
        <v>0</v>
      </c>
      <c r="I125" s="297">
        <v>0.06</v>
      </c>
      <c r="J125" s="297">
        <v>0.42</v>
      </c>
      <c r="K125" s="297">
        <v>0.63</v>
      </c>
      <c r="L125" s="297">
        <v>0.82</v>
      </c>
      <c r="M125" s="297">
        <v>1</v>
      </c>
      <c r="N125" s="297">
        <v>1</v>
      </c>
      <c r="O125" s="297">
        <v>1</v>
      </c>
      <c r="P125" s="297">
        <v>1</v>
      </c>
      <c r="Q125" s="297">
        <v>1</v>
      </c>
      <c r="R125" s="297">
        <v>1</v>
      </c>
      <c r="S125" s="297">
        <v>1</v>
      </c>
      <c r="T125" s="297">
        <v>1</v>
      </c>
      <c r="U125" s="297">
        <v>1</v>
      </c>
      <c r="V125" s="297">
        <v>1</v>
      </c>
      <c r="W125" s="297">
        <v>1</v>
      </c>
      <c r="X125" s="297">
        <v>1</v>
      </c>
      <c r="Y125" s="297">
        <v>1</v>
      </c>
      <c r="Z125" s="297">
        <v>1</v>
      </c>
      <c r="AA125" s="297">
        <v>1</v>
      </c>
      <c r="AB125" s="297">
        <v>1</v>
      </c>
      <c r="AC125" s="297">
        <v>1</v>
      </c>
      <c r="AD125" s="297">
        <v>1</v>
      </c>
      <c r="AE125" s="297">
        <v>1</v>
      </c>
      <c r="AF125" s="297">
        <v>1</v>
      </c>
      <c r="AG125" s="297">
        <v>1</v>
      </c>
      <c r="AH125" s="297">
        <v>1</v>
      </c>
      <c r="AI125" s="297">
        <v>1</v>
      </c>
      <c r="AJ125" s="297">
        <v>1</v>
      </c>
      <c r="AK125" s="297">
        <v>1</v>
      </c>
      <c r="AL125" s="297">
        <v>1</v>
      </c>
      <c r="AM125" s="297">
        <v>1</v>
      </c>
      <c r="AN125" s="297">
        <v>1</v>
      </c>
      <c r="AO125" s="297">
        <v>1</v>
      </c>
      <c r="AP125" s="297">
        <v>1</v>
      </c>
      <c r="AQ125" s="297">
        <v>1</v>
      </c>
      <c r="AR125" s="297">
        <v>1</v>
      </c>
      <c r="AS125" s="297">
        <v>1</v>
      </c>
      <c r="AT125" s="297">
        <v>1</v>
      </c>
      <c r="AU125" s="297">
        <v>1</v>
      </c>
      <c r="AV125" s="297">
        <v>1</v>
      </c>
      <c r="AW125" s="297">
        <v>1</v>
      </c>
      <c r="AX125" s="297">
        <v>1</v>
      </c>
      <c r="AY125" s="297">
        <v>1</v>
      </c>
      <c r="AZ125" s="297">
        <v>1</v>
      </c>
      <c r="BA125" s="297">
        <v>1</v>
      </c>
      <c r="BB125" s="297">
        <v>1</v>
      </c>
      <c r="BC125" s="297">
        <v>1</v>
      </c>
      <c r="BD125" s="297">
        <v>1</v>
      </c>
      <c r="BE125" s="297">
        <v>1</v>
      </c>
      <c r="BF125" s="297">
        <v>1</v>
      </c>
    </row>
    <row r="126" spans="3:58" x14ac:dyDescent="0.3">
      <c r="C126" s="295" t="s">
        <v>246</v>
      </c>
      <c r="D126" s="3"/>
      <c r="E126" s="297">
        <v>0</v>
      </c>
      <c r="F126" s="297">
        <v>0</v>
      </c>
      <c r="G126" s="297">
        <v>0</v>
      </c>
      <c r="H126" s="297">
        <v>0</v>
      </c>
      <c r="I126" s="297">
        <v>0</v>
      </c>
      <c r="J126" s="297">
        <v>0</v>
      </c>
      <c r="K126" s="297">
        <v>0</v>
      </c>
      <c r="L126" s="297">
        <v>0</v>
      </c>
      <c r="M126" s="297">
        <v>0</v>
      </c>
      <c r="N126" s="297">
        <v>0.11</v>
      </c>
      <c r="O126" s="297">
        <v>0.56999999999999995</v>
      </c>
      <c r="P126" s="297">
        <v>0.78</v>
      </c>
      <c r="Q126" s="297">
        <v>0.98</v>
      </c>
      <c r="R126" s="297">
        <v>1</v>
      </c>
      <c r="S126" s="297">
        <v>1</v>
      </c>
      <c r="T126" s="297">
        <v>1</v>
      </c>
      <c r="U126" s="297">
        <v>1</v>
      </c>
      <c r="V126" s="297">
        <v>1</v>
      </c>
      <c r="W126" s="297">
        <v>1</v>
      </c>
      <c r="X126" s="297">
        <v>1</v>
      </c>
      <c r="Y126" s="297">
        <v>1</v>
      </c>
      <c r="Z126" s="297">
        <v>1</v>
      </c>
      <c r="AA126" s="297">
        <v>1</v>
      </c>
      <c r="AB126" s="297">
        <v>1</v>
      </c>
      <c r="AC126" s="297">
        <v>1</v>
      </c>
      <c r="AD126" s="297">
        <v>1</v>
      </c>
      <c r="AE126" s="297">
        <v>1</v>
      </c>
      <c r="AF126" s="297">
        <v>1</v>
      </c>
      <c r="AG126" s="297">
        <v>1</v>
      </c>
      <c r="AH126" s="297">
        <v>1</v>
      </c>
      <c r="AI126" s="297">
        <v>1</v>
      </c>
      <c r="AJ126" s="297">
        <v>1</v>
      </c>
      <c r="AK126" s="297">
        <v>1</v>
      </c>
      <c r="AL126" s="297">
        <v>1</v>
      </c>
      <c r="AM126" s="297">
        <v>1</v>
      </c>
      <c r="AN126" s="297">
        <v>1</v>
      </c>
      <c r="AO126" s="297">
        <v>1</v>
      </c>
      <c r="AP126" s="297">
        <v>1</v>
      </c>
      <c r="AQ126" s="297">
        <v>1</v>
      </c>
      <c r="AR126" s="297">
        <v>1</v>
      </c>
      <c r="AS126" s="297">
        <v>1</v>
      </c>
      <c r="AT126" s="297">
        <v>1</v>
      </c>
      <c r="AU126" s="297">
        <v>1</v>
      </c>
      <c r="AV126" s="297">
        <v>1</v>
      </c>
      <c r="AW126" s="297">
        <v>1</v>
      </c>
      <c r="AX126" s="297">
        <v>1</v>
      </c>
      <c r="AY126" s="297">
        <v>1</v>
      </c>
      <c r="AZ126" s="297">
        <v>1</v>
      </c>
      <c r="BA126" s="297">
        <v>1</v>
      </c>
      <c r="BB126" s="297">
        <v>1</v>
      </c>
      <c r="BC126" s="297">
        <v>1</v>
      </c>
      <c r="BD126" s="297">
        <v>1</v>
      </c>
      <c r="BE126" s="297">
        <v>1</v>
      </c>
      <c r="BF126" s="297">
        <v>1</v>
      </c>
    </row>
    <row r="127" spans="3:58" x14ac:dyDescent="0.3">
      <c r="C127" s="295" t="s">
        <v>247</v>
      </c>
      <c r="D127" s="3"/>
      <c r="E127" s="297">
        <v>0</v>
      </c>
      <c r="F127" s="297">
        <v>0</v>
      </c>
      <c r="G127" s="297">
        <v>0</v>
      </c>
      <c r="H127" s="297">
        <v>0</v>
      </c>
      <c r="I127" s="297">
        <v>0</v>
      </c>
      <c r="J127" s="297">
        <v>0</v>
      </c>
      <c r="K127" s="297">
        <v>0</v>
      </c>
      <c r="L127" s="297">
        <v>0</v>
      </c>
      <c r="M127" s="297">
        <v>0.22</v>
      </c>
      <c r="N127" s="297">
        <v>1</v>
      </c>
      <c r="O127" s="297">
        <v>1</v>
      </c>
      <c r="P127" s="297">
        <v>1</v>
      </c>
      <c r="Q127" s="297">
        <v>1</v>
      </c>
      <c r="R127" s="297">
        <v>1</v>
      </c>
      <c r="S127" s="297">
        <v>1</v>
      </c>
      <c r="T127" s="297">
        <v>1</v>
      </c>
      <c r="U127" s="297">
        <v>1</v>
      </c>
      <c r="V127" s="297">
        <v>1</v>
      </c>
      <c r="W127" s="297">
        <v>1</v>
      </c>
      <c r="X127" s="297">
        <v>1</v>
      </c>
      <c r="Y127" s="297">
        <v>1</v>
      </c>
      <c r="Z127" s="297">
        <v>1</v>
      </c>
      <c r="AA127" s="297">
        <v>1</v>
      </c>
      <c r="AB127" s="297">
        <v>1</v>
      </c>
      <c r="AC127" s="297">
        <v>1</v>
      </c>
      <c r="AD127" s="297">
        <v>1</v>
      </c>
      <c r="AE127" s="297">
        <v>1</v>
      </c>
      <c r="AF127" s="297">
        <v>1</v>
      </c>
      <c r="AG127" s="297">
        <v>1</v>
      </c>
      <c r="AH127" s="297">
        <v>1</v>
      </c>
      <c r="AI127" s="297">
        <v>1</v>
      </c>
      <c r="AJ127" s="297">
        <v>1</v>
      </c>
      <c r="AK127" s="297">
        <v>1</v>
      </c>
      <c r="AL127" s="297">
        <v>1</v>
      </c>
      <c r="AM127" s="297">
        <v>1</v>
      </c>
      <c r="AN127" s="297">
        <v>1</v>
      </c>
      <c r="AO127" s="297">
        <v>1</v>
      </c>
      <c r="AP127" s="297">
        <v>1</v>
      </c>
      <c r="AQ127" s="297">
        <v>1</v>
      </c>
      <c r="AR127" s="297">
        <v>1</v>
      </c>
      <c r="AS127" s="297">
        <v>1</v>
      </c>
      <c r="AT127" s="297">
        <v>1</v>
      </c>
      <c r="AU127" s="297">
        <v>1</v>
      </c>
      <c r="AV127" s="297">
        <v>1</v>
      </c>
      <c r="AW127" s="297">
        <v>1</v>
      </c>
      <c r="AX127" s="297">
        <v>1</v>
      </c>
      <c r="AY127" s="297">
        <v>1</v>
      </c>
      <c r="AZ127" s="297">
        <v>1</v>
      </c>
      <c r="BA127" s="297">
        <v>1</v>
      </c>
      <c r="BB127" s="297">
        <v>1</v>
      </c>
      <c r="BC127" s="297">
        <v>1</v>
      </c>
      <c r="BD127" s="297">
        <v>1</v>
      </c>
      <c r="BE127" s="297">
        <v>1</v>
      </c>
      <c r="BF127" s="297">
        <v>1</v>
      </c>
    </row>
    <row r="128" spans="3:58" x14ac:dyDescent="0.3">
      <c r="C128" s="295" t="s">
        <v>248</v>
      </c>
      <c r="D128" s="3"/>
      <c r="E128" s="297">
        <v>0</v>
      </c>
      <c r="F128" s="297">
        <v>0</v>
      </c>
      <c r="G128" s="297">
        <v>0</v>
      </c>
      <c r="H128" s="297">
        <v>0</v>
      </c>
      <c r="I128" s="297">
        <v>0</v>
      </c>
      <c r="J128" s="297">
        <v>0</v>
      </c>
      <c r="K128" s="297">
        <v>0</v>
      </c>
      <c r="L128" s="297">
        <v>0</v>
      </c>
      <c r="M128" s="297">
        <v>0</v>
      </c>
      <c r="N128" s="297">
        <v>0</v>
      </c>
      <c r="O128" s="297">
        <v>0</v>
      </c>
      <c r="P128" s="297">
        <v>0</v>
      </c>
      <c r="Q128" s="297">
        <v>0</v>
      </c>
      <c r="R128" s="297">
        <v>0.14000000000000001</v>
      </c>
      <c r="S128" s="297">
        <v>0.2</v>
      </c>
      <c r="T128" s="297">
        <v>0.49</v>
      </c>
      <c r="U128" s="297">
        <v>0.98</v>
      </c>
      <c r="V128" s="297">
        <v>1</v>
      </c>
      <c r="W128" s="297">
        <v>1</v>
      </c>
      <c r="X128" s="297">
        <v>1</v>
      </c>
      <c r="Y128" s="297">
        <v>1</v>
      </c>
      <c r="Z128" s="297">
        <v>1</v>
      </c>
      <c r="AA128" s="297">
        <v>1</v>
      </c>
      <c r="AB128" s="297">
        <v>1</v>
      </c>
      <c r="AC128" s="297">
        <v>1</v>
      </c>
      <c r="AD128" s="297">
        <v>1</v>
      </c>
      <c r="AE128" s="297">
        <v>1</v>
      </c>
      <c r="AF128" s="297">
        <v>1</v>
      </c>
      <c r="AG128" s="297">
        <v>1</v>
      </c>
      <c r="AH128" s="297">
        <v>1</v>
      </c>
      <c r="AI128" s="297">
        <v>1</v>
      </c>
      <c r="AJ128" s="297">
        <v>1</v>
      </c>
      <c r="AK128" s="297">
        <v>1</v>
      </c>
      <c r="AL128" s="297">
        <v>1</v>
      </c>
      <c r="AM128" s="297">
        <v>1</v>
      </c>
      <c r="AN128" s="297">
        <v>1</v>
      </c>
      <c r="AO128" s="297">
        <v>1</v>
      </c>
      <c r="AP128" s="297">
        <v>1</v>
      </c>
      <c r="AQ128" s="297">
        <v>1</v>
      </c>
      <c r="AR128" s="297">
        <v>1</v>
      </c>
      <c r="AS128" s="297">
        <v>1</v>
      </c>
      <c r="AT128" s="297">
        <v>1</v>
      </c>
      <c r="AU128" s="297">
        <v>1</v>
      </c>
      <c r="AV128" s="297">
        <v>1</v>
      </c>
      <c r="AW128" s="297">
        <v>1</v>
      </c>
      <c r="AX128" s="297">
        <v>1</v>
      </c>
      <c r="AY128" s="297">
        <v>1</v>
      </c>
      <c r="AZ128" s="297">
        <v>1</v>
      </c>
      <c r="BA128" s="297">
        <v>1</v>
      </c>
      <c r="BB128" s="297">
        <v>1</v>
      </c>
      <c r="BC128" s="297">
        <v>1</v>
      </c>
      <c r="BD128" s="297">
        <v>1</v>
      </c>
      <c r="BE128" s="297">
        <v>1</v>
      </c>
      <c r="BF128" s="297">
        <v>1</v>
      </c>
    </row>
    <row r="129" spans="3:58" x14ac:dyDescent="0.3">
      <c r="C129" s="295" t="s">
        <v>249</v>
      </c>
      <c r="D129" s="3"/>
      <c r="E129" s="297">
        <v>0</v>
      </c>
      <c r="F129" s="297">
        <v>0</v>
      </c>
      <c r="G129" s="297">
        <v>0</v>
      </c>
      <c r="H129" s="297">
        <v>0</v>
      </c>
      <c r="I129" s="297">
        <v>0</v>
      </c>
      <c r="J129" s="297">
        <v>0</v>
      </c>
      <c r="K129" s="297">
        <v>0</v>
      </c>
      <c r="L129" s="297">
        <v>0</v>
      </c>
      <c r="M129" s="297">
        <v>0</v>
      </c>
      <c r="N129" s="297">
        <v>0</v>
      </c>
      <c r="O129" s="297">
        <v>0</v>
      </c>
      <c r="P129" s="297">
        <v>0</v>
      </c>
      <c r="Q129" s="297">
        <v>0</v>
      </c>
      <c r="R129" s="297">
        <v>0.22</v>
      </c>
      <c r="S129" s="297">
        <v>0.41</v>
      </c>
      <c r="T129" s="297">
        <v>0.66</v>
      </c>
      <c r="U129" s="297">
        <v>1</v>
      </c>
      <c r="V129" s="297">
        <v>1</v>
      </c>
      <c r="W129" s="297">
        <v>1</v>
      </c>
      <c r="X129" s="297">
        <v>1</v>
      </c>
      <c r="Y129" s="297">
        <v>1</v>
      </c>
      <c r="Z129" s="297">
        <v>1</v>
      </c>
      <c r="AA129" s="297">
        <v>1</v>
      </c>
      <c r="AB129" s="297">
        <v>1</v>
      </c>
      <c r="AC129" s="297">
        <v>1</v>
      </c>
      <c r="AD129" s="297">
        <v>1</v>
      </c>
      <c r="AE129" s="297">
        <v>1</v>
      </c>
      <c r="AF129" s="297">
        <v>1</v>
      </c>
      <c r="AG129" s="297">
        <v>1</v>
      </c>
      <c r="AH129" s="297">
        <v>1</v>
      </c>
      <c r="AI129" s="297">
        <v>1</v>
      </c>
      <c r="AJ129" s="297">
        <v>1</v>
      </c>
      <c r="AK129" s="297">
        <v>1</v>
      </c>
      <c r="AL129" s="297">
        <v>1</v>
      </c>
      <c r="AM129" s="297">
        <v>1</v>
      </c>
      <c r="AN129" s="297">
        <v>1</v>
      </c>
      <c r="AO129" s="297">
        <v>1</v>
      </c>
      <c r="AP129" s="297">
        <v>1</v>
      </c>
      <c r="AQ129" s="297">
        <v>1</v>
      </c>
      <c r="AR129" s="297">
        <v>1</v>
      </c>
      <c r="AS129" s="297">
        <v>1</v>
      </c>
      <c r="AT129" s="297">
        <v>1</v>
      </c>
      <c r="AU129" s="297">
        <v>1</v>
      </c>
      <c r="AV129" s="297">
        <v>1</v>
      </c>
      <c r="AW129" s="297">
        <v>1</v>
      </c>
      <c r="AX129" s="297">
        <v>1</v>
      </c>
      <c r="AY129" s="297">
        <v>1</v>
      </c>
      <c r="AZ129" s="297">
        <v>1</v>
      </c>
      <c r="BA129" s="297">
        <v>1</v>
      </c>
      <c r="BB129" s="297">
        <v>1</v>
      </c>
      <c r="BC129" s="297">
        <v>1</v>
      </c>
      <c r="BD129" s="297">
        <v>1</v>
      </c>
      <c r="BE129" s="297">
        <v>1</v>
      </c>
      <c r="BF129" s="297">
        <v>1</v>
      </c>
    </row>
    <row r="130" spans="3:58" x14ac:dyDescent="0.3">
      <c r="C130" s="295" t="s">
        <v>250</v>
      </c>
      <c r="D130" s="3"/>
      <c r="E130" s="297">
        <v>0</v>
      </c>
      <c r="F130" s="297">
        <v>0</v>
      </c>
      <c r="G130" s="297">
        <v>0</v>
      </c>
      <c r="H130" s="297">
        <v>0</v>
      </c>
      <c r="I130" s="297">
        <v>0</v>
      </c>
      <c r="J130" s="297">
        <v>0</v>
      </c>
      <c r="K130" s="297">
        <v>0</v>
      </c>
      <c r="L130" s="297">
        <v>0</v>
      </c>
      <c r="M130" s="297">
        <v>0</v>
      </c>
      <c r="N130" s="297">
        <v>0</v>
      </c>
      <c r="O130" s="297">
        <v>0</v>
      </c>
      <c r="P130" s="297">
        <v>0</v>
      </c>
      <c r="Q130" s="297">
        <v>0</v>
      </c>
      <c r="R130" s="297">
        <v>0</v>
      </c>
      <c r="S130" s="297">
        <v>0</v>
      </c>
      <c r="T130" s="297">
        <v>0</v>
      </c>
      <c r="U130" s="297">
        <v>0</v>
      </c>
      <c r="V130" s="297">
        <v>0.44</v>
      </c>
      <c r="W130" s="297">
        <v>1</v>
      </c>
      <c r="X130" s="297">
        <v>1</v>
      </c>
      <c r="Y130" s="297">
        <v>1</v>
      </c>
      <c r="Z130" s="297">
        <v>1</v>
      </c>
      <c r="AA130" s="297">
        <v>1</v>
      </c>
      <c r="AB130" s="297">
        <v>1</v>
      </c>
      <c r="AC130" s="297">
        <v>1</v>
      </c>
      <c r="AD130" s="297">
        <v>1</v>
      </c>
      <c r="AE130" s="297">
        <v>1</v>
      </c>
      <c r="AF130" s="297">
        <v>1</v>
      </c>
      <c r="AG130" s="297">
        <v>1</v>
      </c>
      <c r="AH130" s="297">
        <v>1</v>
      </c>
      <c r="AI130" s="297">
        <v>1</v>
      </c>
      <c r="AJ130" s="297">
        <v>1</v>
      </c>
      <c r="AK130" s="297">
        <v>1</v>
      </c>
      <c r="AL130" s="297">
        <v>1</v>
      </c>
      <c r="AM130" s="297">
        <v>1</v>
      </c>
      <c r="AN130" s="297">
        <v>1</v>
      </c>
      <c r="AO130" s="297">
        <v>1</v>
      </c>
      <c r="AP130" s="297">
        <v>1</v>
      </c>
      <c r="AQ130" s="297">
        <v>1</v>
      </c>
      <c r="AR130" s="297">
        <v>1</v>
      </c>
      <c r="AS130" s="297">
        <v>1</v>
      </c>
      <c r="AT130" s="297">
        <v>1</v>
      </c>
      <c r="AU130" s="297">
        <v>1</v>
      </c>
      <c r="AV130" s="297">
        <v>1</v>
      </c>
      <c r="AW130" s="297">
        <v>1</v>
      </c>
      <c r="AX130" s="297">
        <v>1</v>
      </c>
      <c r="AY130" s="297">
        <v>1</v>
      </c>
      <c r="AZ130" s="297">
        <v>1</v>
      </c>
      <c r="BA130" s="297">
        <v>1</v>
      </c>
      <c r="BB130" s="297">
        <v>1</v>
      </c>
      <c r="BC130" s="297">
        <v>1</v>
      </c>
      <c r="BD130" s="297">
        <v>1</v>
      </c>
      <c r="BE130" s="297">
        <v>1</v>
      </c>
      <c r="BF130" s="297">
        <v>1</v>
      </c>
    </row>
    <row r="131" spans="3:58" x14ac:dyDescent="0.3">
      <c r="C131" s="287" t="s">
        <v>251</v>
      </c>
      <c r="D131" s="3"/>
      <c r="E131" s="288">
        <v>0</v>
      </c>
      <c r="F131" s="288">
        <v>0</v>
      </c>
      <c r="G131" s="288">
        <v>0</v>
      </c>
      <c r="H131" s="288">
        <v>0</v>
      </c>
      <c r="I131" s="288">
        <v>0.04</v>
      </c>
      <c r="J131" s="288">
        <v>0.09</v>
      </c>
      <c r="K131" s="288">
        <v>0.17</v>
      </c>
      <c r="L131" s="288">
        <v>0.23</v>
      </c>
      <c r="M131" s="288">
        <v>0.35</v>
      </c>
      <c r="N131" s="288">
        <v>0.49</v>
      </c>
      <c r="O131" s="288">
        <v>0.57999999999999996</v>
      </c>
      <c r="P131" s="288">
        <v>0.63</v>
      </c>
      <c r="Q131" s="288">
        <v>0.65</v>
      </c>
      <c r="R131" s="288">
        <v>0.66</v>
      </c>
      <c r="S131" s="288">
        <v>0.67</v>
      </c>
      <c r="T131" s="288">
        <v>0.69</v>
      </c>
      <c r="U131" s="288">
        <v>0.71</v>
      </c>
      <c r="V131" s="288">
        <v>0.72</v>
      </c>
      <c r="W131" s="288">
        <v>0.73</v>
      </c>
      <c r="X131" s="288">
        <v>0.74</v>
      </c>
      <c r="Y131" s="288">
        <v>0.78</v>
      </c>
      <c r="Z131" s="288">
        <v>0.95</v>
      </c>
      <c r="AA131" s="288">
        <v>1</v>
      </c>
      <c r="AB131" s="288">
        <v>1</v>
      </c>
      <c r="AC131" s="288">
        <v>1</v>
      </c>
      <c r="AD131" s="288">
        <v>1</v>
      </c>
      <c r="AE131" s="288">
        <v>1</v>
      </c>
      <c r="AF131" s="288">
        <v>1</v>
      </c>
      <c r="AG131" s="288">
        <v>1</v>
      </c>
      <c r="AH131" s="288">
        <v>1</v>
      </c>
      <c r="AI131" s="288">
        <v>1</v>
      </c>
      <c r="AJ131" s="288">
        <v>1</v>
      </c>
      <c r="AK131" s="288">
        <v>1</v>
      </c>
      <c r="AL131" s="288">
        <v>1</v>
      </c>
      <c r="AM131" s="288">
        <v>1</v>
      </c>
      <c r="AN131" s="288">
        <v>1</v>
      </c>
      <c r="AO131" s="288">
        <v>1</v>
      </c>
      <c r="AP131" s="288">
        <v>1</v>
      </c>
      <c r="AQ131" s="288">
        <v>1</v>
      </c>
      <c r="AR131" s="288">
        <v>1</v>
      </c>
      <c r="AS131" s="288">
        <v>1</v>
      </c>
      <c r="AT131" s="288">
        <v>1</v>
      </c>
      <c r="AU131" s="288">
        <v>1</v>
      </c>
      <c r="AV131" s="288">
        <v>1</v>
      </c>
      <c r="AW131" s="288">
        <v>1</v>
      </c>
      <c r="AX131" s="288">
        <v>1</v>
      </c>
      <c r="AY131" s="288">
        <v>1</v>
      </c>
      <c r="AZ131" s="288">
        <v>1</v>
      </c>
      <c r="BA131" s="288">
        <v>1</v>
      </c>
      <c r="BB131" s="288">
        <v>1</v>
      </c>
      <c r="BC131" s="288">
        <v>1</v>
      </c>
      <c r="BD131" s="288">
        <v>1</v>
      </c>
      <c r="BE131" s="288">
        <v>1</v>
      </c>
      <c r="BF131" s="288">
        <v>1</v>
      </c>
    </row>
    <row r="132" spans="3:58" x14ac:dyDescent="0.3">
      <c r="C132" s="295" t="s">
        <v>237</v>
      </c>
      <c r="D132" s="3"/>
      <c r="E132" s="297">
        <v>0</v>
      </c>
      <c r="F132" s="297">
        <v>0</v>
      </c>
      <c r="G132" s="297">
        <v>0</v>
      </c>
      <c r="H132" s="297">
        <v>0</v>
      </c>
      <c r="I132" s="297">
        <v>0.61</v>
      </c>
      <c r="J132" s="297">
        <v>0.86</v>
      </c>
      <c r="K132" s="297">
        <v>1</v>
      </c>
      <c r="L132" s="297">
        <v>1</v>
      </c>
      <c r="M132" s="297">
        <v>1</v>
      </c>
      <c r="N132" s="297">
        <v>1</v>
      </c>
      <c r="O132" s="297">
        <v>1</v>
      </c>
      <c r="P132" s="297">
        <v>1</v>
      </c>
      <c r="Q132" s="297">
        <v>1</v>
      </c>
      <c r="R132" s="297">
        <v>1</v>
      </c>
      <c r="S132" s="297">
        <v>1</v>
      </c>
      <c r="T132" s="297">
        <v>1</v>
      </c>
      <c r="U132" s="297">
        <v>1</v>
      </c>
      <c r="V132" s="297">
        <v>1</v>
      </c>
      <c r="W132" s="297">
        <v>1</v>
      </c>
      <c r="X132" s="297">
        <v>1</v>
      </c>
      <c r="Y132" s="297">
        <v>1</v>
      </c>
      <c r="Z132" s="297">
        <v>1</v>
      </c>
      <c r="AA132" s="297">
        <v>1</v>
      </c>
      <c r="AB132" s="297">
        <v>1</v>
      </c>
      <c r="AC132" s="297">
        <v>1</v>
      </c>
      <c r="AD132" s="297">
        <v>1</v>
      </c>
      <c r="AE132" s="297">
        <v>1</v>
      </c>
      <c r="AF132" s="297">
        <v>1</v>
      </c>
      <c r="AG132" s="297">
        <v>1</v>
      </c>
      <c r="AH132" s="297">
        <v>1</v>
      </c>
      <c r="AI132" s="297">
        <v>1</v>
      </c>
      <c r="AJ132" s="297">
        <v>1</v>
      </c>
      <c r="AK132" s="297">
        <v>1</v>
      </c>
      <c r="AL132" s="297">
        <v>1</v>
      </c>
      <c r="AM132" s="297">
        <v>1</v>
      </c>
      <c r="AN132" s="297">
        <v>1</v>
      </c>
      <c r="AO132" s="297">
        <v>1</v>
      </c>
      <c r="AP132" s="297">
        <v>1</v>
      </c>
      <c r="AQ132" s="297">
        <v>1</v>
      </c>
      <c r="AR132" s="297">
        <v>1</v>
      </c>
      <c r="AS132" s="297">
        <v>1</v>
      </c>
      <c r="AT132" s="297">
        <v>1</v>
      </c>
      <c r="AU132" s="297">
        <v>1</v>
      </c>
      <c r="AV132" s="297">
        <v>1</v>
      </c>
      <c r="AW132" s="297">
        <v>1</v>
      </c>
      <c r="AX132" s="297">
        <v>1</v>
      </c>
      <c r="AY132" s="297">
        <v>1</v>
      </c>
      <c r="AZ132" s="297">
        <v>1</v>
      </c>
      <c r="BA132" s="297">
        <v>1</v>
      </c>
      <c r="BB132" s="297">
        <v>1</v>
      </c>
      <c r="BC132" s="297">
        <v>1</v>
      </c>
      <c r="BD132" s="297">
        <v>1</v>
      </c>
      <c r="BE132" s="297">
        <v>1</v>
      </c>
      <c r="BF132" s="297">
        <v>1</v>
      </c>
    </row>
    <row r="133" spans="3:58" x14ac:dyDescent="0.3">
      <c r="C133" s="295" t="s">
        <v>238</v>
      </c>
      <c r="D133" s="3"/>
      <c r="E133" s="297">
        <v>0</v>
      </c>
      <c r="F133" s="297">
        <v>0</v>
      </c>
      <c r="G133" s="297">
        <v>0</v>
      </c>
      <c r="H133" s="297">
        <v>0</v>
      </c>
      <c r="I133" s="297">
        <v>0.08</v>
      </c>
      <c r="J133" s="297">
        <v>0.48</v>
      </c>
      <c r="K133" s="297">
        <v>0.94</v>
      </c>
      <c r="L133" s="297">
        <v>1</v>
      </c>
      <c r="M133" s="297">
        <v>1</v>
      </c>
      <c r="N133" s="297">
        <v>1</v>
      </c>
      <c r="O133" s="297">
        <v>1</v>
      </c>
      <c r="P133" s="297">
        <v>1</v>
      </c>
      <c r="Q133" s="297">
        <v>1</v>
      </c>
      <c r="R133" s="297">
        <v>1</v>
      </c>
      <c r="S133" s="297">
        <v>1</v>
      </c>
      <c r="T133" s="297">
        <v>1</v>
      </c>
      <c r="U133" s="297">
        <v>1</v>
      </c>
      <c r="V133" s="297">
        <v>1</v>
      </c>
      <c r="W133" s="297">
        <v>1</v>
      </c>
      <c r="X133" s="297">
        <v>1</v>
      </c>
      <c r="Y133" s="297">
        <v>1</v>
      </c>
      <c r="Z133" s="297">
        <v>1</v>
      </c>
      <c r="AA133" s="297">
        <v>1</v>
      </c>
      <c r="AB133" s="297">
        <v>1</v>
      </c>
      <c r="AC133" s="297">
        <v>1</v>
      </c>
      <c r="AD133" s="297">
        <v>1</v>
      </c>
      <c r="AE133" s="297">
        <v>1</v>
      </c>
      <c r="AF133" s="297">
        <v>1</v>
      </c>
      <c r="AG133" s="297">
        <v>1</v>
      </c>
      <c r="AH133" s="297">
        <v>1</v>
      </c>
      <c r="AI133" s="297">
        <v>1</v>
      </c>
      <c r="AJ133" s="297">
        <v>1</v>
      </c>
      <c r="AK133" s="297">
        <v>1</v>
      </c>
      <c r="AL133" s="297">
        <v>1</v>
      </c>
      <c r="AM133" s="297">
        <v>1</v>
      </c>
      <c r="AN133" s="297">
        <v>1</v>
      </c>
      <c r="AO133" s="297">
        <v>1</v>
      </c>
      <c r="AP133" s="297">
        <v>1</v>
      </c>
      <c r="AQ133" s="297">
        <v>1</v>
      </c>
      <c r="AR133" s="297">
        <v>1</v>
      </c>
      <c r="AS133" s="297">
        <v>1</v>
      </c>
      <c r="AT133" s="297">
        <v>1</v>
      </c>
      <c r="AU133" s="297">
        <v>1</v>
      </c>
      <c r="AV133" s="297">
        <v>1</v>
      </c>
      <c r="AW133" s="297">
        <v>1</v>
      </c>
      <c r="AX133" s="297">
        <v>1</v>
      </c>
      <c r="AY133" s="297">
        <v>1</v>
      </c>
      <c r="AZ133" s="297">
        <v>1</v>
      </c>
      <c r="BA133" s="297">
        <v>1</v>
      </c>
      <c r="BB133" s="297">
        <v>1</v>
      </c>
      <c r="BC133" s="297">
        <v>1</v>
      </c>
      <c r="BD133" s="297">
        <v>1</v>
      </c>
      <c r="BE133" s="297">
        <v>1</v>
      </c>
      <c r="BF133" s="297">
        <v>1</v>
      </c>
    </row>
    <row r="134" spans="3:58" x14ac:dyDescent="0.3">
      <c r="C134" s="295" t="s">
        <v>239</v>
      </c>
      <c r="D134" s="3"/>
      <c r="E134" s="297">
        <v>0</v>
      </c>
      <c r="F134" s="297">
        <v>0</v>
      </c>
      <c r="G134" s="297">
        <v>0</v>
      </c>
      <c r="H134" s="297">
        <v>0</v>
      </c>
      <c r="I134" s="297">
        <v>0</v>
      </c>
      <c r="J134" s="297">
        <v>0.03</v>
      </c>
      <c r="K134" s="297">
        <v>0.28999999999999998</v>
      </c>
      <c r="L134" s="297">
        <v>0.52</v>
      </c>
      <c r="M134" s="297">
        <v>0.87</v>
      </c>
      <c r="N134" s="297">
        <v>1</v>
      </c>
      <c r="O134" s="297">
        <v>1</v>
      </c>
      <c r="P134" s="297">
        <v>1</v>
      </c>
      <c r="Q134" s="297">
        <v>1</v>
      </c>
      <c r="R134" s="297">
        <v>1</v>
      </c>
      <c r="S134" s="297">
        <v>1</v>
      </c>
      <c r="T134" s="297">
        <v>1</v>
      </c>
      <c r="U134" s="297">
        <v>1</v>
      </c>
      <c r="V134" s="297">
        <v>1</v>
      </c>
      <c r="W134" s="297">
        <v>1</v>
      </c>
      <c r="X134" s="297">
        <v>1</v>
      </c>
      <c r="Y134" s="297">
        <v>1</v>
      </c>
      <c r="Z134" s="297">
        <v>1</v>
      </c>
      <c r="AA134" s="297">
        <v>1</v>
      </c>
      <c r="AB134" s="297">
        <v>1</v>
      </c>
      <c r="AC134" s="297">
        <v>1</v>
      </c>
      <c r="AD134" s="297">
        <v>1</v>
      </c>
      <c r="AE134" s="297">
        <v>1</v>
      </c>
      <c r="AF134" s="297">
        <v>1</v>
      </c>
      <c r="AG134" s="297">
        <v>1</v>
      </c>
      <c r="AH134" s="297">
        <v>1</v>
      </c>
      <c r="AI134" s="297">
        <v>1</v>
      </c>
      <c r="AJ134" s="297">
        <v>1</v>
      </c>
      <c r="AK134" s="297">
        <v>1</v>
      </c>
      <c r="AL134" s="297">
        <v>1</v>
      </c>
      <c r="AM134" s="297">
        <v>1</v>
      </c>
      <c r="AN134" s="297">
        <v>1</v>
      </c>
      <c r="AO134" s="297">
        <v>1</v>
      </c>
      <c r="AP134" s="297">
        <v>1</v>
      </c>
      <c r="AQ134" s="297">
        <v>1</v>
      </c>
      <c r="AR134" s="297">
        <v>1</v>
      </c>
      <c r="AS134" s="297">
        <v>1</v>
      </c>
      <c r="AT134" s="297">
        <v>1</v>
      </c>
      <c r="AU134" s="297">
        <v>1</v>
      </c>
      <c r="AV134" s="297">
        <v>1</v>
      </c>
      <c r="AW134" s="297">
        <v>1</v>
      </c>
      <c r="AX134" s="297">
        <v>1</v>
      </c>
      <c r="AY134" s="297">
        <v>1</v>
      </c>
      <c r="AZ134" s="297">
        <v>1</v>
      </c>
      <c r="BA134" s="297">
        <v>1</v>
      </c>
      <c r="BB134" s="297">
        <v>1</v>
      </c>
      <c r="BC134" s="297">
        <v>1</v>
      </c>
      <c r="BD134" s="297">
        <v>1</v>
      </c>
      <c r="BE134" s="297">
        <v>1</v>
      </c>
      <c r="BF134" s="297">
        <v>1</v>
      </c>
    </row>
    <row r="135" spans="3:58" x14ac:dyDescent="0.3">
      <c r="C135" s="295" t="s">
        <v>252</v>
      </c>
      <c r="D135" s="3"/>
      <c r="E135" s="297">
        <v>0</v>
      </c>
      <c r="F135" s="297">
        <v>0</v>
      </c>
      <c r="G135" s="297">
        <v>0</v>
      </c>
      <c r="H135" s="297">
        <v>0</v>
      </c>
      <c r="I135" s="297">
        <v>0</v>
      </c>
      <c r="J135" s="297">
        <v>0</v>
      </c>
      <c r="K135" s="297">
        <v>0</v>
      </c>
      <c r="L135" s="297">
        <v>0.22</v>
      </c>
      <c r="M135" s="297">
        <v>0.96</v>
      </c>
      <c r="N135" s="297">
        <v>1</v>
      </c>
      <c r="O135" s="297">
        <v>1</v>
      </c>
      <c r="P135" s="297">
        <v>1</v>
      </c>
      <c r="Q135" s="297">
        <v>1</v>
      </c>
      <c r="R135" s="297">
        <v>1</v>
      </c>
      <c r="S135" s="297">
        <v>1</v>
      </c>
      <c r="T135" s="297">
        <v>1</v>
      </c>
      <c r="U135" s="297">
        <v>1</v>
      </c>
      <c r="V135" s="297">
        <v>1</v>
      </c>
      <c r="W135" s="297">
        <v>1</v>
      </c>
      <c r="X135" s="297">
        <v>1</v>
      </c>
      <c r="Y135" s="297">
        <v>1</v>
      </c>
      <c r="Z135" s="297">
        <v>1</v>
      </c>
      <c r="AA135" s="297">
        <v>1</v>
      </c>
      <c r="AB135" s="297">
        <v>1</v>
      </c>
      <c r="AC135" s="297">
        <v>1</v>
      </c>
      <c r="AD135" s="297">
        <v>1</v>
      </c>
      <c r="AE135" s="297">
        <v>1</v>
      </c>
      <c r="AF135" s="297">
        <v>1</v>
      </c>
      <c r="AG135" s="297">
        <v>1</v>
      </c>
      <c r="AH135" s="297">
        <v>1</v>
      </c>
      <c r="AI135" s="297">
        <v>1</v>
      </c>
      <c r="AJ135" s="297">
        <v>1</v>
      </c>
      <c r="AK135" s="297">
        <v>1</v>
      </c>
      <c r="AL135" s="297">
        <v>1</v>
      </c>
      <c r="AM135" s="297">
        <v>1</v>
      </c>
      <c r="AN135" s="297">
        <v>1</v>
      </c>
      <c r="AO135" s="297">
        <v>1</v>
      </c>
      <c r="AP135" s="297">
        <v>1</v>
      </c>
      <c r="AQ135" s="297">
        <v>1</v>
      </c>
      <c r="AR135" s="297">
        <v>1</v>
      </c>
      <c r="AS135" s="297">
        <v>1</v>
      </c>
      <c r="AT135" s="297">
        <v>1</v>
      </c>
      <c r="AU135" s="297">
        <v>1</v>
      </c>
      <c r="AV135" s="297">
        <v>1</v>
      </c>
      <c r="AW135" s="297">
        <v>1</v>
      </c>
      <c r="AX135" s="297">
        <v>1</v>
      </c>
      <c r="AY135" s="297">
        <v>1</v>
      </c>
      <c r="AZ135" s="297">
        <v>1</v>
      </c>
      <c r="BA135" s="297">
        <v>1</v>
      </c>
      <c r="BB135" s="297">
        <v>1</v>
      </c>
      <c r="BC135" s="297">
        <v>1</v>
      </c>
      <c r="BD135" s="297">
        <v>1</v>
      </c>
      <c r="BE135" s="297">
        <v>1</v>
      </c>
      <c r="BF135" s="297">
        <v>1</v>
      </c>
    </row>
    <row r="136" spans="3:58" x14ac:dyDescent="0.3">
      <c r="C136" s="295" t="s">
        <v>241</v>
      </c>
      <c r="D136" s="3"/>
      <c r="E136" s="297">
        <v>0</v>
      </c>
      <c r="F136" s="297">
        <v>0</v>
      </c>
      <c r="G136" s="297">
        <v>0</v>
      </c>
      <c r="H136" s="297">
        <v>0</v>
      </c>
      <c r="I136" s="297">
        <v>0</v>
      </c>
      <c r="J136" s="297">
        <v>0</v>
      </c>
      <c r="K136" s="297">
        <v>0.09</v>
      </c>
      <c r="L136" s="297">
        <v>0.23</v>
      </c>
      <c r="M136" s="297">
        <v>0.4</v>
      </c>
      <c r="N136" s="297">
        <v>0.56000000000000005</v>
      </c>
      <c r="O136" s="297">
        <v>0.75</v>
      </c>
      <c r="P136" s="297">
        <v>0.75</v>
      </c>
      <c r="Q136" s="297">
        <v>0.75</v>
      </c>
      <c r="R136" s="297">
        <v>0.75</v>
      </c>
      <c r="S136" s="297">
        <v>0.75</v>
      </c>
      <c r="T136" s="297">
        <v>0.75</v>
      </c>
      <c r="U136" s="297">
        <v>0.75</v>
      </c>
      <c r="V136" s="297">
        <v>0.75</v>
      </c>
      <c r="W136" s="297">
        <v>0.75</v>
      </c>
      <c r="X136" s="297">
        <v>0.75</v>
      </c>
      <c r="Y136" s="297">
        <v>0.86</v>
      </c>
      <c r="Z136" s="297">
        <v>1</v>
      </c>
      <c r="AA136" s="297">
        <v>1</v>
      </c>
      <c r="AB136" s="297">
        <v>1</v>
      </c>
      <c r="AC136" s="297">
        <v>1</v>
      </c>
      <c r="AD136" s="297">
        <v>1</v>
      </c>
      <c r="AE136" s="297">
        <v>1</v>
      </c>
      <c r="AF136" s="297">
        <v>1</v>
      </c>
      <c r="AG136" s="297">
        <v>1</v>
      </c>
      <c r="AH136" s="297">
        <v>1</v>
      </c>
      <c r="AI136" s="297">
        <v>1</v>
      </c>
      <c r="AJ136" s="297">
        <v>1</v>
      </c>
      <c r="AK136" s="297">
        <v>1</v>
      </c>
      <c r="AL136" s="297">
        <v>1</v>
      </c>
      <c r="AM136" s="297">
        <v>1</v>
      </c>
      <c r="AN136" s="297">
        <v>1</v>
      </c>
      <c r="AO136" s="297">
        <v>1</v>
      </c>
      <c r="AP136" s="297">
        <v>1</v>
      </c>
      <c r="AQ136" s="297">
        <v>1</v>
      </c>
      <c r="AR136" s="297">
        <v>1</v>
      </c>
      <c r="AS136" s="297">
        <v>1</v>
      </c>
      <c r="AT136" s="297">
        <v>1</v>
      </c>
      <c r="AU136" s="297">
        <v>1</v>
      </c>
      <c r="AV136" s="297">
        <v>1</v>
      </c>
      <c r="AW136" s="297">
        <v>1</v>
      </c>
      <c r="AX136" s="297">
        <v>1</v>
      </c>
      <c r="AY136" s="297">
        <v>1</v>
      </c>
      <c r="AZ136" s="297">
        <v>1</v>
      </c>
      <c r="BA136" s="297">
        <v>1</v>
      </c>
      <c r="BB136" s="297">
        <v>1</v>
      </c>
      <c r="BC136" s="297">
        <v>1</v>
      </c>
      <c r="BD136" s="297">
        <v>1</v>
      </c>
      <c r="BE136" s="297">
        <v>1</v>
      </c>
      <c r="BF136" s="297">
        <v>1</v>
      </c>
    </row>
    <row r="137" spans="3:58" x14ac:dyDescent="0.3">
      <c r="C137" s="295" t="s">
        <v>242</v>
      </c>
      <c r="D137" s="3"/>
      <c r="E137" s="297">
        <v>0</v>
      </c>
      <c r="F137" s="297">
        <v>0</v>
      </c>
      <c r="G137" s="297">
        <v>0</v>
      </c>
      <c r="H137" s="297">
        <v>0</v>
      </c>
      <c r="I137" s="297">
        <v>0</v>
      </c>
      <c r="J137" s="297">
        <v>0</v>
      </c>
      <c r="K137" s="297">
        <v>0</v>
      </c>
      <c r="L137" s="297">
        <v>0.03</v>
      </c>
      <c r="M137" s="297">
        <v>0.24</v>
      </c>
      <c r="N137" s="297">
        <v>0.39</v>
      </c>
      <c r="O137" s="297">
        <v>0.64</v>
      </c>
      <c r="P137" s="297">
        <v>0.9</v>
      </c>
      <c r="Q137" s="297">
        <v>0.91</v>
      </c>
      <c r="R137" s="297">
        <v>0.91</v>
      </c>
      <c r="S137" s="297">
        <v>0.91</v>
      </c>
      <c r="T137" s="297">
        <v>0.91</v>
      </c>
      <c r="U137" s="297">
        <v>0.91</v>
      </c>
      <c r="V137" s="297">
        <v>0.91</v>
      </c>
      <c r="W137" s="297">
        <v>0.91</v>
      </c>
      <c r="X137" s="297">
        <v>0.91</v>
      </c>
      <c r="Y137" s="297">
        <v>0.91</v>
      </c>
      <c r="Z137" s="297">
        <v>1</v>
      </c>
      <c r="AA137" s="297">
        <v>1</v>
      </c>
      <c r="AB137" s="297">
        <v>1</v>
      </c>
      <c r="AC137" s="297">
        <v>1</v>
      </c>
      <c r="AD137" s="297">
        <v>1</v>
      </c>
      <c r="AE137" s="297">
        <v>1</v>
      </c>
      <c r="AF137" s="297">
        <v>1</v>
      </c>
      <c r="AG137" s="297">
        <v>1</v>
      </c>
      <c r="AH137" s="297">
        <v>1</v>
      </c>
      <c r="AI137" s="297">
        <v>1</v>
      </c>
      <c r="AJ137" s="297">
        <v>1</v>
      </c>
      <c r="AK137" s="297">
        <v>1</v>
      </c>
      <c r="AL137" s="297">
        <v>1</v>
      </c>
      <c r="AM137" s="297">
        <v>1</v>
      </c>
      <c r="AN137" s="297">
        <v>1</v>
      </c>
      <c r="AO137" s="297">
        <v>1</v>
      </c>
      <c r="AP137" s="297">
        <v>1</v>
      </c>
      <c r="AQ137" s="297">
        <v>1</v>
      </c>
      <c r="AR137" s="297">
        <v>1</v>
      </c>
      <c r="AS137" s="297">
        <v>1</v>
      </c>
      <c r="AT137" s="297">
        <v>1</v>
      </c>
      <c r="AU137" s="297">
        <v>1</v>
      </c>
      <c r="AV137" s="297">
        <v>1</v>
      </c>
      <c r="AW137" s="297">
        <v>1</v>
      </c>
      <c r="AX137" s="297">
        <v>1</v>
      </c>
      <c r="AY137" s="297">
        <v>1</v>
      </c>
      <c r="AZ137" s="297">
        <v>1</v>
      </c>
      <c r="BA137" s="297">
        <v>1</v>
      </c>
      <c r="BB137" s="297">
        <v>1</v>
      </c>
      <c r="BC137" s="297">
        <v>1</v>
      </c>
      <c r="BD137" s="297">
        <v>1</v>
      </c>
      <c r="BE137" s="297">
        <v>1</v>
      </c>
      <c r="BF137" s="297">
        <v>1</v>
      </c>
    </row>
    <row r="138" spans="3:58" x14ac:dyDescent="0.3">
      <c r="C138" s="295" t="s">
        <v>243</v>
      </c>
      <c r="D138" s="3"/>
      <c r="E138" s="297">
        <v>0</v>
      </c>
      <c r="F138" s="297">
        <v>0</v>
      </c>
      <c r="G138" s="297">
        <v>0</v>
      </c>
      <c r="H138" s="297">
        <v>0</v>
      </c>
      <c r="I138" s="297">
        <v>0</v>
      </c>
      <c r="J138" s="297">
        <v>0</v>
      </c>
      <c r="K138" s="297">
        <v>0</v>
      </c>
      <c r="L138" s="297">
        <v>0</v>
      </c>
      <c r="M138" s="297">
        <v>0</v>
      </c>
      <c r="N138" s="297">
        <v>0.51</v>
      </c>
      <c r="O138" s="297">
        <v>0.64</v>
      </c>
      <c r="P138" s="297">
        <v>0.76</v>
      </c>
      <c r="Q138" s="297">
        <v>0.76</v>
      </c>
      <c r="R138" s="297">
        <v>0.76</v>
      </c>
      <c r="S138" s="297">
        <v>0.76</v>
      </c>
      <c r="T138" s="297">
        <v>0.76</v>
      </c>
      <c r="U138" s="297">
        <v>0.76</v>
      </c>
      <c r="V138" s="297">
        <v>0.76</v>
      </c>
      <c r="W138" s="297">
        <v>0.76</v>
      </c>
      <c r="X138" s="297">
        <v>0.76</v>
      </c>
      <c r="Y138" s="297">
        <v>0.76</v>
      </c>
      <c r="Z138" s="297">
        <v>1</v>
      </c>
      <c r="AA138" s="297">
        <v>1</v>
      </c>
      <c r="AB138" s="297">
        <v>1</v>
      </c>
      <c r="AC138" s="297">
        <v>1</v>
      </c>
      <c r="AD138" s="297">
        <v>1</v>
      </c>
      <c r="AE138" s="297">
        <v>1</v>
      </c>
      <c r="AF138" s="297">
        <v>1</v>
      </c>
      <c r="AG138" s="297">
        <v>1</v>
      </c>
      <c r="AH138" s="297">
        <v>1</v>
      </c>
      <c r="AI138" s="297">
        <v>1</v>
      </c>
      <c r="AJ138" s="297">
        <v>1</v>
      </c>
      <c r="AK138" s="297">
        <v>1</v>
      </c>
      <c r="AL138" s="297">
        <v>1</v>
      </c>
      <c r="AM138" s="297">
        <v>1</v>
      </c>
      <c r="AN138" s="297">
        <v>1</v>
      </c>
      <c r="AO138" s="297">
        <v>1</v>
      </c>
      <c r="AP138" s="297">
        <v>1</v>
      </c>
      <c r="AQ138" s="297">
        <v>1</v>
      </c>
      <c r="AR138" s="297">
        <v>1</v>
      </c>
      <c r="AS138" s="297">
        <v>1</v>
      </c>
      <c r="AT138" s="297">
        <v>1</v>
      </c>
      <c r="AU138" s="297">
        <v>1</v>
      </c>
      <c r="AV138" s="297">
        <v>1</v>
      </c>
      <c r="AW138" s="297">
        <v>1</v>
      </c>
      <c r="AX138" s="297">
        <v>1</v>
      </c>
      <c r="AY138" s="297">
        <v>1</v>
      </c>
      <c r="AZ138" s="297">
        <v>1</v>
      </c>
      <c r="BA138" s="297">
        <v>1</v>
      </c>
      <c r="BB138" s="297">
        <v>1</v>
      </c>
      <c r="BC138" s="297">
        <v>1</v>
      </c>
      <c r="BD138" s="297">
        <v>1</v>
      </c>
      <c r="BE138" s="297">
        <v>1</v>
      </c>
      <c r="BF138" s="297">
        <v>1</v>
      </c>
    </row>
    <row r="139" spans="3:58" x14ac:dyDescent="0.3">
      <c r="C139" s="295" t="s">
        <v>244</v>
      </c>
      <c r="D139" s="3"/>
      <c r="E139" s="297">
        <v>0</v>
      </c>
      <c r="F139" s="297">
        <v>0</v>
      </c>
      <c r="G139" s="297">
        <v>0</v>
      </c>
      <c r="H139" s="297">
        <v>0</v>
      </c>
      <c r="I139" s="297">
        <v>0</v>
      </c>
      <c r="J139" s="297">
        <v>0</v>
      </c>
      <c r="K139" s="297">
        <v>0</v>
      </c>
      <c r="L139" s="297">
        <v>0</v>
      </c>
      <c r="M139" s="297">
        <v>0</v>
      </c>
      <c r="N139" s="297">
        <v>0</v>
      </c>
      <c r="O139" s="297">
        <v>0</v>
      </c>
      <c r="P139" s="297">
        <v>7.0000000000000007E-2</v>
      </c>
      <c r="Q139" s="297">
        <v>0.42</v>
      </c>
      <c r="R139" s="297">
        <v>0.87</v>
      </c>
      <c r="S139" s="297">
        <v>1</v>
      </c>
      <c r="T139" s="297">
        <v>1</v>
      </c>
      <c r="U139" s="297">
        <v>1</v>
      </c>
      <c r="V139" s="297">
        <v>1</v>
      </c>
      <c r="W139" s="297">
        <v>1</v>
      </c>
      <c r="X139" s="297">
        <v>1</v>
      </c>
      <c r="Y139" s="297">
        <v>1</v>
      </c>
      <c r="Z139" s="297">
        <v>1</v>
      </c>
      <c r="AA139" s="297">
        <v>1</v>
      </c>
      <c r="AB139" s="297">
        <v>1</v>
      </c>
      <c r="AC139" s="297">
        <v>1</v>
      </c>
      <c r="AD139" s="297">
        <v>1</v>
      </c>
      <c r="AE139" s="297">
        <v>1</v>
      </c>
      <c r="AF139" s="297">
        <v>1</v>
      </c>
      <c r="AG139" s="297">
        <v>1</v>
      </c>
      <c r="AH139" s="297">
        <v>1</v>
      </c>
      <c r="AI139" s="297">
        <v>1</v>
      </c>
      <c r="AJ139" s="297">
        <v>1</v>
      </c>
      <c r="AK139" s="297">
        <v>1</v>
      </c>
      <c r="AL139" s="297">
        <v>1</v>
      </c>
      <c r="AM139" s="297">
        <v>1</v>
      </c>
      <c r="AN139" s="297">
        <v>1</v>
      </c>
      <c r="AO139" s="297">
        <v>1</v>
      </c>
      <c r="AP139" s="297">
        <v>1</v>
      </c>
      <c r="AQ139" s="297">
        <v>1</v>
      </c>
      <c r="AR139" s="297">
        <v>1</v>
      </c>
      <c r="AS139" s="297">
        <v>1</v>
      </c>
      <c r="AT139" s="297">
        <v>1</v>
      </c>
      <c r="AU139" s="297">
        <v>1</v>
      </c>
      <c r="AV139" s="297">
        <v>1</v>
      </c>
      <c r="AW139" s="297">
        <v>1</v>
      </c>
      <c r="AX139" s="297">
        <v>1</v>
      </c>
      <c r="AY139" s="297">
        <v>1</v>
      </c>
      <c r="AZ139" s="297">
        <v>1</v>
      </c>
      <c r="BA139" s="297">
        <v>1</v>
      </c>
      <c r="BB139" s="297">
        <v>1</v>
      </c>
      <c r="BC139" s="297">
        <v>1</v>
      </c>
      <c r="BD139" s="297">
        <v>1</v>
      </c>
      <c r="BE139" s="297">
        <v>1</v>
      </c>
      <c r="BF139" s="297">
        <v>1</v>
      </c>
    </row>
    <row r="140" spans="3:58" x14ac:dyDescent="0.3">
      <c r="C140" s="295" t="s">
        <v>245</v>
      </c>
      <c r="D140" s="3"/>
      <c r="E140" s="297">
        <v>0</v>
      </c>
      <c r="F140" s="297">
        <v>0</v>
      </c>
      <c r="G140" s="297">
        <v>0</v>
      </c>
      <c r="H140" s="297">
        <v>0</v>
      </c>
      <c r="I140" s="297">
        <v>0</v>
      </c>
      <c r="J140" s="297">
        <v>0</v>
      </c>
      <c r="K140" s="297">
        <v>0</v>
      </c>
      <c r="L140" s="297">
        <v>0</v>
      </c>
      <c r="M140" s="297">
        <v>0.04</v>
      </c>
      <c r="N140" s="297">
        <v>0.31</v>
      </c>
      <c r="O140" s="297">
        <v>0.56999999999999995</v>
      </c>
      <c r="P140" s="297">
        <v>0.72</v>
      </c>
      <c r="Q140" s="297">
        <v>0.87</v>
      </c>
      <c r="R140" s="297">
        <v>1</v>
      </c>
      <c r="S140" s="297">
        <v>1</v>
      </c>
      <c r="T140" s="297">
        <v>1</v>
      </c>
      <c r="U140" s="297">
        <v>1</v>
      </c>
      <c r="V140" s="297">
        <v>1</v>
      </c>
      <c r="W140" s="297">
        <v>1</v>
      </c>
      <c r="X140" s="297">
        <v>1</v>
      </c>
      <c r="Y140" s="297">
        <v>1</v>
      </c>
      <c r="Z140" s="297">
        <v>1</v>
      </c>
      <c r="AA140" s="297">
        <v>1</v>
      </c>
      <c r="AB140" s="297">
        <v>1</v>
      </c>
      <c r="AC140" s="297">
        <v>1</v>
      </c>
      <c r="AD140" s="297">
        <v>1</v>
      </c>
      <c r="AE140" s="297">
        <v>1</v>
      </c>
      <c r="AF140" s="297">
        <v>1</v>
      </c>
      <c r="AG140" s="297">
        <v>1</v>
      </c>
      <c r="AH140" s="297">
        <v>1</v>
      </c>
      <c r="AI140" s="297">
        <v>1</v>
      </c>
      <c r="AJ140" s="297">
        <v>1</v>
      </c>
      <c r="AK140" s="297">
        <v>1</v>
      </c>
      <c r="AL140" s="297">
        <v>1</v>
      </c>
      <c r="AM140" s="297">
        <v>1</v>
      </c>
      <c r="AN140" s="297">
        <v>1</v>
      </c>
      <c r="AO140" s="297">
        <v>1</v>
      </c>
      <c r="AP140" s="297">
        <v>1</v>
      </c>
      <c r="AQ140" s="297">
        <v>1</v>
      </c>
      <c r="AR140" s="297">
        <v>1</v>
      </c>
      <c r="AS140" s="297">
        <v>1</v>
      </c>
      <c r="AT140" s="297">
        <v>1</v>
      </c>
      <c r="AU140" s="297">
        <v>1</v>
      </c>
      <c r="AV140" s="297">
        <v>1</v>
      </c>
      <c r="AW140" s="297">
        <v>1</v>
      </c>
      <c r="AX140" s="297">
        <v>1</v>
      </c>
      <c r="AY140" s="297">
        <v>1</v>
      </c>
      <c r="AZ140" s="297">
        <v>1</v>
      </c>
      <c r="BA140" s="297">
        <v>1</v>
      </c>
      <c r="BB140" s="297">
        <v>1</v>
      </c>
      <c r="BC140" s="297">
        <v>1</v>
      </c>
      <c r="BD140" s="297">
        <v>1</v>
      </c>
      <c r="BE140" s="297">
        <v>1</v>
      </c>
      <c r="BF140" s="297">
        <v>1</v>
      </c>
    </row>
    <row r="141" spans="3:58" x14ac:dyDescent="0.3">
      <c r="C141" s="295" t="s">
        <v>246</v>
      </c>
      <c r="D141" s="3"/>
      <c r="E141" s="297">
        <v>0</v>
      </c>
      <c r="F141" s="297">
        <v>0</v>
      </c>
      <c r="G141" s="297">
        <v>0</v>
      </c>
      <c r="H141" s="297">
        <v>0</v>
      </c>
      <c r="I141" s="297">
        <v>0</v>
      </c>
      <c r="J141" s="297">
        <v>0</v>
      </c>
      <c r="K141" s="297">
        <v>0</v>
      </c>
      <c r="L141" s="297">
        <v>0</v>
      </c>
      <c r="M141" s="297">
        <v>0</v>
      </c>
      <c r="N141" s="297">
        <v>0</v>
      </c>
      <c r="O141" s="297">
        <v>0</v>
      </c>
      <c r="P141" s="297">
        <v>0</v>
      </c>
      <c r="Q141" s="297">
        <v>0</v>
      </c>
      <c r="R141" s="297">
        <v>0</v>
      </c>
      <c r="S141" s="297">
        <v>0</v>
      </c>
      <c r="T141" s="297">
        <v>0.36</v>
      </c>
      <c r="U141" s="297">
        <v>0.7</v>
      </c>
      <c r="V141" s="297">
        <v>0.96</v>
      </c>
      <c r="W141" s="297">
        <v>1</v>
      </c>
      <c r="X141" s="297">
        <v>1</v>
      </c>
      <c r="Y141" s="297">
        <v>1</v>
      </c>
      <c r="Z141" s="297">
        <v>1</v>
      </c>
      <c r="AA141" s="297">
        <v>1</v>
      </c>
      <c r="AB141" s="297">
        <v>1</v>
      </c>
      <c r="AC141" s="297">
        <v>1</v>
      </c>
      <c r="AD141" s="297">
        <v>1</v>
      </c>
      <c r="AE141" s="297">
        <v>1</v>
      </c>
      <c r="AF141" s="297">
        <v>1</v>
      </c>
      <c r="AG141" s="297">
        <v>1</v>
      </c>
      <c r="AH141" s="297">
        <v>1</v>
      </c>
      <c r="AI141" s="297">
        <v>1</v>
      </c>
      <c r="AJ141" s="297">
        <v>1</v>
      </c>
      <c r="AK141" s="297">
        <v>1</v>
      </c>
      <c r="AL141" s="297">
        <v>1</v>
      </c>
      <c r="AM141" s="297">
        <v>1</v>
      </c>
      <c r="AN141" s="297">
        <v>1</v>
      </c>
      <c r="AO141" s="297">
        <v>1</v>
      </c>
      <c r="AP141" s="297">
        <v>1</v>
      </c>
      <c r="AQ141" s="297">
        <v>1</v>
      </c>
      <c r="AR141" s="297">
        <v>1</v>
      </c>
      <c r="AS141" s="297">
        <v>1</v>
      </c>
      <c r="AT141" s="297">
        <v>1</v>
      </c>
      <c r="AU141" s="297">
        <v>1</v>
      </c>
      <c r="AV141" s="297">
        <v>1</v>
      </c>
      <c r="AW141" s="297">
        <v>1</v>
      </c>
      <c r="AX141" s="297">
        <v>1</v>
      </c>
      <c r="AY141" s="297">
        <v>1</v>
      </c>
      <c r="AZ141" s="297">
        <v>1</v>
      </c>
      <c r="BA141" s="297">
        <v>1</v>
      </c>
      <c r="BB141" s="297">
        <v>1</v>
      </c>
      <c r="BC141" s="297">
        <v>1</v>
      </c>
      <c r="BD141" s="297">
        <v>1</v>
      </c>
      <c r="BE141" s="297">
        <v>1</v>
      </c>
      <c r="BF141" s="297">
        <v>1</v>
      </c>
    </row>
    <row r="142" spans="3:58" x14ac:dyDescent="0.3">
      <c r="C142" s="295" t="s">
        <v>247</v>
      </c>
      <c r="D142" s="3"/>
      <c r="E142" s="297">
        <v>0</v>
      </c>
      <c r="F142" s="297">
        <v>0</v>
      </c>
      <c r="G142" s="297">
        <v>0</v>
      </c>
      <c r="H142" s="297">
        <v>0</v>
      </c>
      <c r="I142" s="297">
        <v>0</v>
      </c>
      <c r="J142" s="297">
        <v>0</v>
      </c>
      <c r="K142" s="297">
        <v>0</v>
      </c>
      <c r="L142" s="297">
        <v>0</v>
      </c>
      <c r="M142" s="297">
        <v>0</v>
      </c>
      <c r="N142" s="297">
        <v>0</v>
      </c>
      <c r="O142" s="297">
        <v>0</v>
      </c>
      <c r="P142" s="297">
        <v>0</v>
      </c>
      <c r="Q142" s="297">
        <v>0</v>
      </c>
      <c r="R142" s="297">
        <v>0</v>
      </c>
      <c r="S142" s="297">
        <v>0.51</v>
      </c>
      <c r="T142" s="297">
        <v>1</v>
      </c>
      <c r="U142" s="297">
        <v>1</v>
      </c>
      <c r="V142" s="297">
        <v>1</v>
      </c>
      <c r="W142" s="297">
        <v>1</v>
      </c>
      <c r="X142" s="297">
        <v>1</v>
      </c>
      <c r="Y142" s="297">
        <v>1</v>
      </c>
      <c r="Z142" s="297">
        <v>1</v>
      </c>
      <c r="AA142" s="297">
        <v>1</v>
      </c>
      <c r="AB142" s="297">
        <v>1</v>
      </c>
      <c r="AC142" s="297">
        <v>1</v>
      </c>
      <c r="AD142" s="297">
        <v>1</v>
      </c>
      <c r="AE142" s="297">
        <v>1</v>
      </c>
      <c r="AF142" s="297">
        <v>1</v>
      </c>
      <c r="AG142" s="297">
        <v>1</v>
      </c>
      <c r="AH142" s="297">
        <v>1</v>
      </c>
      <c r="AI142" s="297">
        <v>1</v>
      </c>
      <c r="AJ142" s="297">
        <v>1</v>
      </c>
      <c r="AK142" s="297">
        <v>1</v>
      </c>
      <c r="AL142" s="297">
        <v>1</v>
      </c>
      <c r="AM142" s="297">
        <v>1</v>
      </c>
      <c r="AN142" s="297">
        <v>1</v>
      </c>
      <c r="AO142" s="297">
        <v>1</v>
      </c>
      <c r="AP142" s="297">
        <v>1</v>
      </c>
      <c r="AQ142" s="297">
        <v>1</v>
      </c>
      <c r="AR142" s="297">
        <v>1</v>
      </c>
      <c r="AS142" s="297">
        <v>1</v>
      </c>
      <c r="AT142" s="297">
        <v>1</v>
      </c>
      <c r="AU142" s="297">
        <v>1</v>
      </c>
      <c r="AV142" s="297">
        <v>1</v>
      </c>
      <c r="AW142" s="297">
        <v>1</v>
      </c>
      <c r="AX142" s="297">
        <v>1</v>
      </c>
      <c r="AY142" s="297">
        <v>1</v>
      </c>
      <c r="AZ142" s="297">
        <v>1</v>
      </c>
      <c r="BA142" s="297">
        <v>1</v>
      </c>
      <c r="BB142" s="297">
        <v>1</v>
      </c>
      <c r="BC142" s="297">
        <v>1</v>
      </c>
      <c r="BD142" s="297">
        <v>1</v>
      </c>
      <c r="BE142" s="297">
        <v>1</v>
      </c>
      <c r="BF142" s="297">
        <v>1</v>
      </c>
    </row>
    <row r="143" spans="3:58" x14ac:dyDescent="0.3">
      <c r="C143" s="295" t="s">
        <v>248</v>
      </c>
      <c r="D143" s="3"/>
      <c r="E143" s="297">
        <v>0</v>
      </c>
      <c r="F143" s="297">
        <v>0</v>
      </c>
      <c r="G143" s="297">
        <v>0</v>
      </c>
      <c r="H143" s="297">
        <v>0</v>
      </c>
      <c r="I143" s="297">
        <v>0</v>
      </c>
      <c r="J143" s="297">
        <v>0</v>
      </c>
      <c r="K143" s="297">
        <v>0</v>
      </c>
      <c r="L143" s="297">
        <v>0</v>
      </c>
      <c r="M143" s="297">
        <v>0</v>
      </c>
      <c r="N143" s="297">
        <v>0</v>
      </c>
      <c r="O143" s="297">
        <v>0</v>
      </c>
      <c r="P143" s="297">
        <v>0</v>
      </c>
      <c r="Q143" s="297">
        <v>0</v>
      </c>
      <c r="R143" s="297">
        <v>0</v>
      </c>
      <c r="S143" s="297">
        <v>0</v>
      </c>
      <c r="T143" s="297">
        <v>0</v>
      </c>
      <c r="U143" s="297">
        <v>0.04</v>
      </c>
      <c r="V143" s="297">
        <v>0.04</v>
      </c>
      <c r="W143" s="297">
        <v>0.04</v>
      </c>
      <c r="X143" s="297">
        <v>0.04</v>
      </c>
      <c r="Y143" s="297">
        <v>0.06</v>
      </c>
      <c r="Z143" s="297">
        <v>0.92</v>
      </c>
      <c r="AA143" s="297">
        <v>1</v>
      </c>
      <c r="AB143" s="297">
        <v>1</v>
      </c>
      <c r="AC143" s="297">
        <v>1</v>
      </c>
      <c r="AD143" s="297">
        <v>1</v>
      </c>
      <c r="AE143" s="297">
        <v>1</v>
      </c>
      <c r="AF143" s="297">
        <v>1</v>
      </c>
      <c r="AG143" s="297">
        <v>1</v>
      </c>
      <c r="AH143" s="297">
        <v>1</v>
      </c>
      <c r="AI143" s="297">
        <v>1</v>
      </c>
      <c r="AJ143" s="297">
        <v>1</v>
      </c>
      <c r="AK143" s="297">
        <v>1</v>
      </c>
      <c r="AL143" s="297">
        <v>1</v>
      </c>
      <c r="AM143" s="297">
        <v>1</v>
      </c>
      <c r="AN143" s="297">
        <v>1</v>
      </c>
      <c r="AO143" s="297">
        <v>1</v>
      </c>
      <c r="AP143" s="297">
        <v>1</v>
      </c>
      <c r="AQ143" s="297">
        <v>1</v>
      </c>
      <c r="AR143" s="297">
        <v>1</v>
      </c>
      <c r="AS143" s="297">
        <v>1</v>
      </c>
      <c r="AT143" s="297">
        <v>1</v>
      </c>
      <c r="AU143" s="297">
        <v>1</v>
      </c>
      <c r="AV143" s="297">
        <v>1</v>
      </c>
      <c r="AW143" s="297">
        <v>1</v>
      </c>
      <c r="AX143" s="297">
        <v>1</v>
      </c>
      <c r="AY143" s="297">
        <v>1</v>
      </c>
      <c r="AZ143" s="297">
        <v>1</v>
      </c>
      <c r="BA143" s="297">
        <v>1</v>
      </c>
      <c r="BB143" s="297">
        <v>1</v>
      </c>
      <c r="BC143" s="297">
        <v>1</v>
      </c>
      <c r="BD143" s="297">
        <v>1</v>
      </c>
      <c r="BE143" s="297">
        <v>1</v>
      </c>
      <c r="BF143" s="297">
        <v>1</v>
      </c>
    </row>
    <row r="144" spans="3:58" x14ac:dyDescent="0.3">
      <c r="C144" s="295" t="s">
        <v>249</v>
      </c>
      <c r="D144" s="3"/>
      <c r="E144" s="297">
        <v>0</v>
      </c>
      <c r="F144" s="297">
        <v>0</v>
      </c>
      <c r="G144" s="297">
        <v>0</v>
      </c>
      <c r="H144" s="297">
        <v>0</v>
      </c>
      <c r="I144" s="297">
        <v>0</v>
      </c>
      <c r="J144" s="297">
        <v>0</v>
      </c>
      <c r="K144" s="297">
        <v>0</v>
      </c>
      <c r="L144" s="297">
        <v>0</v>
      </c>
      <c r="M144" s="297">
        <v>0</v>
      </c>
      <c r="N144" s="297">
        <v>0</v>
      </c>
      <c r="O144" s="297">
        <v>0</v>
      </c>
      <c r="P144" s="297">
        <v>0</v>
      </c>
      <c r="Q144" s="297">
        <v>0</v>
      </c>
      <c r="R144" s="297">
        <v>0</v>
      </c>
      <c r="S144" s="297">
        <v>0</v>
      </c>
      <c r="T144" s="297">
        <v>0.12</v>
      </c>
      <c r="U144" s="297">
        <v>0.24</v>
      </c>
      <c r="V144" s="297">
        <v>0.24</v>
      </c>
      <c r="W144" s="297">
        <v>0.43</v>
      </c>
      <c r="X144" s="297">
        <v>0.71</v>
      </c>
      <c r="Y144" s="297">
        <v>1</v>
      </c>
      <c r="Z144" s="297">
        <v>1</v>
      </c>
      <c r="AA144" s="297">
        <v>1</v>
      </c>
      <c r="AB144" s="297">
        <v>1</v>
      </c>
      <c r="AC144" s="297">
        <v>1</v>
      </c>
      <c r="AD144" s="297">
        <v>1</v>
      </c>
      <c r="AE144" s="297">
        <v>1</v>
      </c>
      <c r="AF144" s="297">
        <v>1</v>
      </c>
      <c r="AG144" s="297">
        <v>1</v>
      </c>
      <c r="AH144" s="297">
        <v>1</v>
      </c>
      <c r="AI144" s="297">
        <v>1</v>
      </c>
      <c r="AJ144" s="297">
        <v>1</v>
      </c>
      <c r="AK144" s="297">
        <v>1</v>
      </c>
      <c r="AL144" s="297">
        <v>1</v>
      </c>
      <c r="AM144" s="297">
        <v>1</v>
      </c>
      <c r="AN144" s="297">
        <v>1</v>
      </c>
      <c r="AO144" s="297">
        <v>1</v>
      </c>
      <c r="AP144" s="297">
        <v>1</v>
      </c>
      <c r="AQ144" s="297">
        <v>1</v>
      </c>
      <c r="AR144" s="297">
        <v>1</v>
      </c>
      <c r="AS144" s="297">
        <v>1</v>
      </c>
      <c r="AT144" s="297">
        <v>1</v>
      </c>
      <c r="AU144" s="297">
        <v>1</v>
      </c>
      <c r="AV144" s="297">
        <v>1</v>
      </c>
      <c r="AW144" s="297">
        <v>1</v>
      </c>
      <c r="AX144" s="297">
        <v>1</v>
      </c>
      <c r="AY144" s="297">
        <v>1</v>
      </c>
      <c r="AZ144" s="297">
        <v>1</v>
      </c>
      <c r="BA144" s="297">
        <v>1</v>
      </c>
      <c r="BB144" s="297">
        <v>1</v>
      </c>
      <c r="BC144" s="297">
        <v>1</v>
      </c>
      <c r="BD144" s="297">
        <v>1</v>
      </c>
      <c r="BE144" s="297">
        <v>1</v>
      </c>
      <c r="BF144" s="297">
        <v>1</v>
      </c>
    </row>
    <row r="145" spans="3:58" x14ac:dyDescent="0.3">
      <c r="C145" s="295" t="s">
        <v>250</v>
      </c>
      <c r="D145" s="3"/>
      <c r="E145" s="297">
        <v>0</v>
      </c>
      <c r="F145" s="297">
        <v>0</v>
      </c>
      <c r="G145" s="297">
        <v>0</v>
      </c>
      <c r="H145" s="297">
        <v>0</v>
      </c>
      <c r="I145" s="297">
        <v>0</v>
      </c>
      <c r="J145" s="297">
        <v>0</v>
      </c>
      <c r="K145" s="297">
        <v>0</v>
      </c>
      <c r="L145" s="297">
        <v>0</v>
      </c>
      <c r="M145" s="297">
        <v>0</v>
      </c>
      <c r="N145" s="297">
        <v>0</v>
      </c>
      <c r="O145" s="297">
        <v>0</v>
      </c>
      <c r="P145" s="297">
        <v>0</v>
      </c>
      <c r="Q145" s="297">
        <v>0</v>
      </c>
      <c r="R145" s="297">
        <v>0</v>
      </c>
      <c r="S145" s="297">
        <v>0</v>
      </c>
      <c r="T145" s="297">
        <v>0</v>
      </c>
      <c r="U145" s="297">
        <v>0</v>
      </c>
      <c r="V145" s="297">
        <v>0</v>
      </c>
      <c r="W145" s="297">
        <v>0</v>
      </c>
      <c r="X145" s="297">
        <v>0</v>
      </c>
      <c r="Y145" s="297">
        <v>0</v>
      </c>
      <c r="Z145" s="297">
        <v>0.25</v>
      </c>
      <c r="AA145" s="297">
        <v>1</v>
      </c>
      <c r="AB145" s="297">
        <v>1</v>
      </c>
      <c r="AC145" s="297">
        <v>1</v>
      </c>
      <c r="AD145" s="297">
        <v>1</v>
      </c>
      <c r="AE145" s="297">
        <v>1</v>
      </c>
      <c r="AF145" s="297">
        <v>1</v>
      </c>
      <c r="AG145" s="297">
        <v>1</v>
      </c>
      <c r="AH145" s="297">
        <v>1</v>
      </c>
      <c r="AI145" s="297">
        <v>1</v>
      </c>
      <c r="AJ145" s="297">
        <v>1</v>
      </c>
      <c r="AK145" s="297">
        <v>1</v>
      </c>
      <c r="AL145" s="297">
        <v>1</v>
      </c>
      <c r="AM145" s="297">
        <v>1</v>
      </c>
      <c r="AN145" s="297">
        <v>1</v>
      </c>
      <c r="AO145" s="297">
        <v>1</v>
      </c>
      <c r="AP145" s="297">
        <v>1</v>
      </c>
      <c r="AQ145" s="297">
        <v>1</v>
      </c>
      <c r="AR145" s="297">
        <v>1</v>
      </c>
      <c r="AS145" s="297">
        <v>1</v>
      </c>
      <c r="AT145" s="297">
        <v>1</v>
      </c>
      <c r="AU145" s="297">
        <v>1</v>
      </c>
      <c r="AV145" s="297">
        <v>1</v>
      </c>
      <c r="AW145" s="297">
        <v>1</v>
      </c>
      <c r="AX145" s="297">
        <v>1</v>
      </c>
      <c r="AY145" s="297">
        <v>1</v>
      </c>
      <c r="AZ145" s="297">
        <v>1</v>
      </c>
      <c r="BA145" s="297">
        <v>1</v>
      </c>
      <c r="BB145" s="297">
        <v>1</v>
      </c>
      <c r="BC145" s="297">
        <v>1</v>
      </c>
      <c r="BD145" s="297">
        <v>1</v>
      </c>
      <c r="BE145" s="297">
        <v>1</v>
      </c>
      <c r="BF145" s="297">
        <v>1</v>
      </c>
    </row>
    <row r="146" spans="3:58" ht="21" customHeight="1" x14ac:dyDescent="0.3">
      <c r="C146" s="287" t="s">
        <v>253</v>
      </c>
      <c r="D146" s="3"/>
      <c r="E146" s="288">
        <v>0</v>
      </c>
      <c r="F146" s="288">
        <v>0</v>
      </c>
      <c r="G146" s="288">
        <v>0</v>
      </c>
      <c r="H146" s="288">
        <v>0</v>
      </c>
      <c r="I146" s="288">
        <v>0</v>
      </c>
      <c r="J146" s="288">
        <v>0</v>
      </c>
      <c r="K146" s="288">
        <v>0.02</v>
      </c>
      <c r="L146" s="288">
        <v>0.03</v>
      </c>
      <c r="M146" s="288">
        <v>0.04</v>
      </c>
      <c r="N146" s="288">
        <v>0.1</v>
      </c>
      <c r="O146" s="288">
        <v>0.15</v>
      </c>
      <c r="P146" s="288">
        <v>0.18</v>
      </c>
      <c r="Q146" s="288">
        <v>0.24</v>
      </c>
      <c r="R146" s="288">
        <v>0.31</v>
      </c>
      <c r="S146" s="288">
        <v>0.36</v>
      </c>
      <c r="T146" s="288">
        <v>0.43</v>
      </c>
      <c r="U146" s="288">
        <v>0.47</v>
      </c>
      <c r="V146" s="288">
        <v>0.57999999999999996</v>
      </c>
      <c r="W146" s="288">
        <v>0.59</v>
      </c>
      <c r="X146" s="288">
        <v>0.61</v>
      </c>
      <c r="Y146" s="288">
        <v>0.62</v>
      </c>
      <c r="Z146" s="288">
        <v>0.67</v>
      </c>
      <c r="AA146" s="288">
        <v>0.7</v>
      </c>
      <c r="AB146" s="288">
        <v>0.71</v>
      </c>
      <c r="AC146" s="288">
        <v>0.72</v>
      </c>
      <c r="AD146" s="288">
        <v>0.76</v>
      </c>
      <c r="AE146" s="288">
        <v>0.76</v>
      </c>
      <c r="AF146" s="288">
        <v>0.76</v>
      </c>
      <c r="AG146" s="288">
        <v>0.81</v>
      </c>
      <c r="AH146" s="288">
        <v>0.89</v>
      </c>
      <c r="AI146" s="288">
        <v>0.98</v>
      </c>
      <c r="AJ146" s="288">
        <v>1</v>
      </c>
      <c r="AK146" s="288">
        <v>1</v>
      </c>
      <c r="AL146" s="288">
        <v>1</v>
      </c>
      <c r="AM146" s="288">
        <v>1</v>
      </c>
      <c r="AN146" s="288">
        <v>1</v>
      </c>
      <c r="AO146" s="288">
        <v>1</v>
      </c>
      <c r="AP146" s="288">
        <v>1</v>
      </c>
      <c r="AQ146" s="288">
        <v>1</v>
      </c>
      <c r="AR146" s="288">
        <v>1</v>
      </c>
      <c r="AS146" s="288">
        <v>1</v>
      </c>
      <c r="AT146" s="288">
        <v>1</v>
      </c>
      <c r="AU146" s="288">
        <v>1</v>
      </c>
      <c r="AV146" s="288">
        <v>1</v>
      </c>
      <c r="AW146" s="288">
        <v>1</v>
      </c>
      <c r="AX146" s="288">
        <v>1</v>
      </c>
      <c r="AY146" s="288">
        <v>1</v>
      </c>
      <c r="AZ146" s="288">
        <v>1</v>
      </c>
      <c r="BA146" s="288">
        <v>1</v>
      </c>
      <c r="BB146" s="288">
        <v>1</v>
      </c>
      <c r="BC146" s="288">
        <v>1</v>
      </c>
      <c r="BD146" s="288">
        <v>1</v>
      </c>
      <c r="BE146" s="288">
        <v>1</v>
      </c>
      <c r="BF146" s="288">
        <v>1</v>
      </c>
    </row>
    <row r="147" spans="3:58" x14ac:dyDescent="0.3">
      <c r="C147" s="295" t="s">
        <v>237</v>
      </c>
      <c r="E147" s="297">
        <v>0</v>
      </c>
      <c r="F147" s="297">
        <v>0</v>
      </c>
      <c r="G147" s="297">
        <v>0</v>
      </c>
      <c r="H147" s="297">
        <v>0</v>
      </c>
      <c r="I147" s="297">
        <v>0</v>
      </c>
      <c r="J147" s="297">
        <v>0</v>
      </c>
      <c r="K147" s="297">
        <v>0</v>
      </c>
      <c r="L147" s="297">
        <v>0</v>
      </c>
      <c r="M147" s="297">
        <v>0.02</v>
      </c>
      <c r="N147" s="297">
        <v>0.81</v>
      </c>
      <c r="O147" s="297">
        <v>1</v>
      </c>
      <c r="P147" s="297">
        <v>1</v>
      </c>
      <c r="Q147" s="297">
        <v>1</v>
      </c>
      <c r="R147" s="297">
        <v>1</v>
      </c>
      <c r="S147" s="297">
        <v>1</v>
      </c>
      <c r="T147" s="297">
        <v>1</v>
      </c>
      <c r="U147" s="297">
        <v>1</v>
      </c>
      <c r="V147" s="297">
        <v>1</v>
      </c>
      <c r="W147" s="297">
        <v>1</v>
      </c>
      <c r="X147" s="297">
        <v>1</v>
      </c>
      <c r="Y147" s="297">
        <v>1</v>
      </c>
      <c r="Z147" s="297">
        <v>1</v>
      </c>
      <c r="AA147" s="297">
        <v>1</v>
      </c>
      <c r="AB147" s="297">
        <v>1</v>
      </c>
      <c r="AC147" s="297">
        <v>1</v>
      </c>
      <c r="AD147" s="297">
        <v>1</v>
      </c>
      <c r="AE147" s="297">
        <v>1</v>
      </c>
      <c r="AF147" s="297">
        <v>1</v>
      </c>
      <c r="AG147" s="297">
        <v>1</v>
      </c>
      <c r="AH147" s="297">
        <v>1</v>
      </c>
      <c r="AI147" s="297">
        <v>1</v>
      </c>
      <c r="AJ147" s="297">
        <v>1</v>
      </c>
      <c r="AK147" s="297">
        <v>1</v>
      </c>
      <c r="AL147" s="297">
        <v>1</v>
      </c>
      <c r="AM147" s="297">
        <v>1</v>
      </c>
      <c r="AN147" s="297">
        <v>1</v>
      </c>
      <c r="AO147" s="297">
        <v>1</v>
      </c>
      <c r="AP147" s="297">
        <v>1</v>
      </c>
      <c r="AQ147" s="297">
        <v>1</v>
      </c>
      <c r="AR147" s="297">
        <v>1</v>
      </c>
      <c r="AS147" s="297">
        <v>1</v>
      </c>
      <c r="AT147" s="297">
        <v>1</v>
      </c>
      <c r="AU147" s="297">
        <v>1</v>
      </c>
      <c r="AV147" s="297">
        <v>1</v>
      </c>
      <c r="AW147" s="297">
        <v>1</v>
      </c>
      <c r="AX147" s="297">
        <v>1</v>
      </c>
      <c r="AY147" s="297">
        <v>1</v>
      </c>
      <c r="AZ147" s="297">
        <v>1</v>
      </c>
      <c r="BA147" s="297">
        <v>1</v>
      </c>
      <c r="BB147" s="297">
        <v>1</v>
      </c>
      <c r="BC147" s="297">
        <v>1</v>
      </c>
      <c r="BD147" s="297">
        <v>1</v>
      </c>
      <c r="BE147" s="297">
        <v>1</v>
      </c>
      <c r="BF147" s="297">
        <v>1</v>
      </c>
    </row>
    <row r="148" spans="3:58" ht="15" customHeight="1" x14ac:dyDescent="0.3">
      <c r="C148" s="295" t="s">
        <v>254</v>
      </c>
      <c r="E148" s="297">
        <v>0</v>
      </c>
      <c r="F148" s="297">
        <v>0</v>
      </c>
      <c r="G148" s="297">
        <v>0</v>
      </c>
      <c r="H148" s="297">
        <v>0</v>
      </c>
      <c r="I148" s="297">
        <v>0</v>
      </c>
      <c r="J148" s="297">
        <v>0</v>
      </c>
      <c r="K148" s="297">
        <v>0</v>
      </c>
      <c r="L148" s="297">
        <v>0</v>
      </c>
      <c r="M148" s="297">
        <v>0</v>
      </c>
      <c r="N148" s="297">
        <v>0.31</v>
      </c>
      <c r="O148" s="297">
        <v>0.99</v>
      </c>
      <c r="P148" s="297">
        <v>1</v>
      </c>
      <c r="Q148" s="297">
        <v>1</v>
      </c>
      <c r="R148" s="297">
        <v>1</v>
      </c>
      <c r="S148" s="297">
        <v>1</v>
      </c>
      <c r="T148" s="297">
        <v>1</v>
      </c>
      <c r="U148" s="297">
        <v>1</v>
      </c>
      <c r="V148" s="297">
        <v>1</v>
      </c>
      <c r="W148" s="297">
        <v>1</v>
      </c>
      <c r="X148" s="297">
        <v>1</v>
      </c>
      <c r="Y148" s="297">
        <v>1</v>
      </c>
      <c r="Z148" s="297">
        <v>1</v>
      </c>
      <c r="AA148" s="297">
        <v>1</v>
      </c>
      <c r="AB148" s="297">
        <v>1</v>
      </c>
      <c r="AC148" s="297">
        <v>1</v>
      </c>
      <c r="AD148" s="297">
        <v>1</v>
      </c>
      <c r="AE148" s="297">
        <v>1</v>
      </c>
      <c r="AF148" s="297">
        <v>1</v>
      </c>
      <c r="AG148" s="297">
        <v>1</v>
      </c>
      <c r="AH148" s="297">
        <v>1</v>
      </c>
      <c r="AI148" s="297">
        <v>1</v>
      </c>
      <c r="AJ148" s="297">
        <v>1</v>
      </c>
      <c r="AK148" s="297">
        <v>1</v>
      </c>
      <c r="AL148" s="297">
        <v>1</v>
      </c>
      <c r="AM148" s="297">
        <v>1</v>
      </c>
      <c r="AN148" s="297">
        <v>1</v>
      </c>
      <c r="AO148" s="297">
        <v>1</v>
      </c>
      <c r="AP148" s="297">
        <v>1</v>
      </c>
      <c r="AQ148" s="297">
        <v>1</v>
      </c>
      <c r="AR148" s="297">
        <v>1</v>
      </c>
      <c r="AS148" s="297">
        <v>1</v>
      </c>
      <c r="AT148" s="297">
        <v>1</v>
      </c>
      <c r="AU148" s="297">
        <v>1</v>
      </c>
      <c r="AV148" s="297">
        <v>1</v>
      </c>
      <c r="AW148" s="297">
        <v>1</v>
      </c>
      <c r="AX148" s="297">
        <v>1</v>
      </c>
      <c r="AY148" s="297">
        <v>1</v>
      </c>
      <c r="AZ148" s="297">
        <v>1</v>
      </c>
      <c r="BA148" s="297">
        <v>1</v>
      </c>
      <c r="BB148" s="297">
        <v>1</v>
      </c>
      <c r="BC148" s="297">
        <v>1</v>
      </c>
      <c r="BD148" s="297">
        <v>1</v>
      </c>
      <c r="BE148" s="297">
        <v>1</v>
      </c>
      <c r="BF148" s="297">
        <v>1</v>
      </c>
    </row>
    <row r="149" spans="3:58" ht="15" customHeight="1" x14ac:dyDescent="0.3">
      <c r="C149" s="295" t="s">
        <v>255</v>
      </c>
      <c r="E149" s="297">
        <v>0</v>
      </c>
      <c r="F149" s="297">
        <v>0</v>
      </c>
      <c r="G149" s="297">
        <v>0</v>
      </c>
      <c r="H149" s="297">
        <v>0</v>
      </c>
      <c r="I149" s="297">
        <v>0</v>
      </c>
      <c r="J149" s="297">
        <v>0</v>
      </c>
      <c r="K149" s="297">
        <v>0</v>
      </c>
      <c r="L149" s="297">
        <v>0</v>
      </c>
      <c r="M149" s="297">
        <v>0</v>
      </c>
      <c r="N149" s="297">
        <v>0</v>
      </c>
      <c r="O149" s="297">
        <v>0</v>
      </c>
      <c r="P149" s="297">
        <v>0.4</v>
      </c>
      <c r="Q149" s="297">
        <v>0.75</v>
      </c>
      <c r="R149" s="297">
        <v>1</v>
      </c>
      <c r="S149" s="297">
        <v>1</v>
      </c>
      <c r="T149" s="297">
        <v>1</v>
      </c>
      <c r="U149" s="297">
        <v>1</v>
      </c>
      <c r="V149" s="297">
        <v>1</v>
      </c>
      <c r="W149" s="297">
        <v>1</v>
      </c>
      <c r="X149" s="297">
        <v>1</v>
      </c>
      <c r="Y149" s="297">
        <v>1</v>
      </c>
      <c r="Z149" s="297">
        <v>1</v>
      </c>
      <c r="AA149" s="297">
        <v>1</v>
      </c>
      <c r="AB149" s="297">
        <v>1</v>
      </c>
      <c r="AC149" s="297">
        <v>1</v>
      </c>
      <c r="AD149" s="297">
        <v>1</v>
      </c>
      <c r="AE149" s="297">
        <v>1</v>
      </c>
      <c r="AF149" s="297">
        <v>1</v>
      </c>
      <c r="AG149" s="297">
        <v>1</v>
      </c>
      <c r="AH149" s="297">
        <v>1</v>
      </c>
      <c r="AI149" s="297">
        <v>1</v>
      </c>
      <c r="AJ149" s="297">
        <v>1</v>
      </c>
      <c r="AK149" s="297">
        <v>1</v>
      </c>
      <c r="AL149" s="297">
        <v>1</v>
      </c>
      <c r="AM149" s="297">
        <v>1</v>
      </c>
      <c r="AN149" s="297">
        <v>1</v>
      </c>
      <c r="AO149" s="297">
        <v>1</v>
      </c>
      <c r="AP149" s="297">
        <v>1</v>
      </c>
      <c r="AQ149" s="297">
        <v>1</v>
      </c>
      <c r="AR149" s="297">
        <v>1</v>
      </c>
      <c r="AS149" s="297">
        <v>1</v>
      </c>
      <c r="AT149" s="297">
        <v>1</v>
      </c>
      <c r="AU149" s="297">
        <v>1</v>
      </c>
      <c r="AV149" s="297">
        <v>1</v>
      </c>
      <c r="AW149" s="297">
        <v>1</v>
      </c>
      <c r="AX149" s="297">
        <v>1</v>
      </c>
      <c r="AY149" s="297">
        <v>1</v>
      </c>
      <c r="AZ149" s="297">
        <v>1</v>
      </c>
      <c r="BA149" s="297">
        <v>1</v>
      </c>
      <c r="BB149" s="297">
        <v>1</v>
      </c>
      <c r="BC149" s="297">
        <v>1</v>
      </c>
      <c r="BD149" s="297">
        <v>1</v>
      </c>
      <c r="BE149" s="297">
        <v>1</v>
      </c>
      <c r="BF149" s="297">
        <v>1</v>
      </c>
    </row>
    <row r="150" spans="3:58" ht="15" customHeight="1" x14ac:dyDescent="0.3">
      <c r="C150" s="295" t="s">
        <v>252</v>
      </c>
      <c r="E150" s="297">
        <v>0</v>
      </c>
      <c r="F150" s="297">
        <v>0</v>
      </c>
      <c r="G150" s="297">
        <v>0</v>
      </c>
      <c r="H150" s="297">
        <v>0</v>
      </c>
      <c r="I150" s="297">
        <v>0</v>
      </c>
      <c r="J150" s="297">
        <v>0.04</v>
      </c>
      <c r="K150" s="297">
        <v>0.67</v>
      </c>
      <c r="L150" s="297">
        <v>0.95</v>
      </c>
      <c r="M150" s="297">
        <v>1</v>
      </c>
      <c r="N150" s="297">
        <v>1</v>
      </c>
      <c r="O150" s="297">
        <v>1</v>
      </c>
      <c r="P150" s="297">
        <v>1</v>
      </c>
      <c r="Q150" s="297">
        <v>1</v>
      </c>
      <c r="R150" s="297">
        <v>1</v>
      </c>
      <c r="S150" s="297">
        <v>1</v>
      </c>
      <c r="T150" s="297">
        <v>1</v>
      </c>
      <c r="U150" s="297">
        <v>1</v>
      </c>
      <c r="V150" s="297">
        <v>1</v>
      </c>
      <c r="W150" s="297">
        <v>1</v>
      </c>
      <c r="X150" s="297">
        <v>1</v>
      </c>
      <c r="Y150" s="297">
        <v>1</v>
      </c>
      <c r="Z150" s="297">
        <v>1</v>
      </c>
      <c r="AA150" s="297">
        <v>1</v>
      </c>
      <c r="AB150" s="297">
        <v>1</v>
      </c>
      <c r="AC150" s="297">
        <v>1</v>
      </c>
      <c r="AD150" s="297">
        <v>1</v>
      </c>
      <c r="AE150" s="297">
        <v>1</v>
      </c>
      <c r="AF150" s="297">
        <v>1</v>
      </c>
      <c r="AG150" s="297">
        <v>1</v>
      </c>
      <c r="AH150" s="297">
        <v>1</v>
      </c>
      <c r="AI150" s="297">
        <v>1</v>
      </c>
      <c r="AJ150" s="297">
        <v>1</v>
      </c>
      <c r="AK150" s="297">
        <v>1</v>
      </c>
      <c r="AL150" s="297">
        <v>1</v>
      </c>
      <c r="AM150" s="297">
        <v>1</v>
      </c>
      <c r="AN150" s="297">
        <v>1</v>
      </c>
      <c r="AO150" s="297">
        <v>1</v>
      </c>
      <c r="AP150" s="297">
        <v>1</v>
      </c>
      <c r="AQ150" s="297">
        <v>1</v>
      </c>
      <c r="AR150" s="297">
        <v>1</v>
      </c>
      <c r="AS150" s="297">
        <v>1</v>
      </c>
      <c r="AT150" s="297">
        <v>1</v>
      </c>
      <c r="AU150" s="297">
        <v>1</v>
      </c>
      <c r="AV150" s="297">
        <v>1</v>
      </c>
      <c r="AW150" s="297">
        <v>1</v>
      </c>
      <c r="AX150" s="297">
        <v>1</v>
      </c>
      <c r="AY150" s="297">
        <v>1</v>
      </c>
      <c r="AZ150" s="297">
        <v>1</v>
      </c>
      <c r="BA150" s="297">
        <v>1</v>
      </c>
      <c r="BB150" s="297">
        <v>1</v>
      </c>
      <c r="BC150" s="297">
        <v>1</v>
      </c>
      <c r="BD150" s="297">
        <v>1</v>
      </c>
      <c r="BE150" s="297">
        <v>1</v>
      </c>
      <c r="BF150" s="297">
        <v>1</v>
      </c>
    </row>
    <row r="151" spans="3:58" ht="15" customHeight="1" x14ac:dyDescent="0.3">
      <c r="C151" s="295" t="s">
        <v>241</v>
      </c>
      <c r="E151" s="297">
        <v>0</v>
      </c>
      <c r="F151" s="297">
        <v>0</v>
      </c>
      <c r="G151" s="297">
        <v>0</v>
      </c>
      <c r="H151" s="297">
        <v>0</v>
      </c>
      <c r="I151" s="297">
        <v>0</v>
      </c>
      <c r="J151" s="297">
        <v>0</v>
      </c>
      <c r="K151" s="297">
        <v>0</v>
      </c>
      <c r="L151" s="297">
        <v>0</v>
      </c>
      <c r="M151" s="297">
        <v>0</v>
      </c>
      <c r="N151" s="297">
        <v>0</v>
      </c>
      <c r="O151" s="297">
        <v>0</v>
      </c>
      <c r="P151" s="297">
        <v>0</v>
      </c>
      <c r="Q151" s="297">
        <v>0</v>
      </c>
      <c r="R151" s="297">
        <v>7.0000000000000007E-2</v>
      </c>
      <c r="S151" s="297">
        <v>0.15</v>
      </c>
      <c r="T151" s="297">
        <v>0.37</v>
      </c>
      <c r="U151" s="297">
        <v>0.45</v>
      </c>
      <c r="V151" s="297">
        <v>0.75</v>
      </c>
      <c r="W151" s="297">
        <v>0.75</v>
      </c>
      <c r="X151" s="297">
        <v>0.75</v>
      </c>
      <c r="Y151" s="297">
        <v>0.75</v>
      </c>
      <c r="Z151" s="297">
        <v>0.75</v>
      </c>
      <c r="AA151" s="297">
        <v>0.75</v>
      </c>
      <c r="AB151" s="297">
        <v>0.75</v>
      </c>
      <c r="AC151" s="297">
        <v>0.75</v>
      </c>
      <c r="AD151" s="297">
        <v>0.75</v>
      </c>
      <c r="AE151" s="297">
        <v>0.75</v>
      </c>
      <c r="AF151" s="297">
        <v>0.75</v>
      </c>
      <c r="AG151" s="297">
        <v>0.75</v>
      </c>
      <c r="AH151" s="297">
        <v>0.75</v>
      </c>
      <c r="AI151" s="297">
        <v>0.97</v>
      </c>
      <c r="AJ151" s="297">
        <v>1</v>
      </c>
      <c r="AK151" s="297">
        <v>1</v>
      </c>
      <c r="AL151" s="297">
        <v>1</v>
      </c>
      <c r="AM151" s="297">
        <v>1</v>
      </c>
      <c r="AN151" s="297">
        <v>1</v>
      </c>
      <c r="AO151" s="297">
        <v>1</v>
      </c>
      <c r="AP151" s="297">
        <v>1</v>
      </c>
      <c r="AQ151" s="297">
        <v>1</v>
      </c>
      <c r="AR151" s="297">
        <v>1</v>
      </c>
      <c r="AS151" s="297">
        <v>1</v>
      </c>
      <c r="AT151" s="297">
        <v>1</v>
      </c>
      <c r="AU151" s="297">
        <v>1</v>
      </c>
      <c r="AV151" s="297">
        <v>1</v>
      </c>
      <c r="AW151" s="297">
        <v>1</v>
      </c>
      <c r="AX151" s="297">
        <v>1</v>
      </c>
      <c r="AY151" s="297">
        <v>1</v>
      </c>
      <c r="AZ151" s="297">
        <v>1</v>
      </c>
      <c r="BA151" s="297">
        <v>1</v>
      </c>
      <c r="BB151" s="297">
        <v>1</v>
      </c>
      <c r="BC151" s="297">
        <v>1</v>
      </c>
      <c r="BD151" s="297">
        <v>1</v>
      </c>
      <c r="BE151" s="297">
        <v>1</v>
      </c>
      <c r="BF151" s="297">
        <v>1</v>
      </c>
    </row>
    <row r="152" spans="3:58" ht="15" customHeight="1" x14ac:dyDescent="0.3">
      <c r="C152" s="295" t="s">
        <v>242</v>
      </c>
      <c r="E152" s="297">
        <v>0</v>
      </c>
      <c r="F152" s="297">
        <v>0</v>
      </c>
      <c r="G152" s="297">
        <v>0</v>
      </c>
      <c r="H152" s="297">
        <v>0</v>
      </c>
      <c r="I152" s="297">
        <v>0</v>
      </c>
      <c r="J152" s="297">
        <v>0</v>
      </c>
      <c r="K152" s="297">
        <v>0</v>
      </c>
      <c r="L152" s="297">
        <v>0</v>
      </c>
      <c r="M152" s="297">
        <v>0</v>
      </c>
      <c r="N152" s="297">
        <v>0</v>
      </c>
      <c r="O152" s="297">
        <v>0</v>
      </c>
      <c r="P152" s="297">
        <v>0</v>
      </c>
      <c r="Q152" s="297">
        <v>0</v>
      </c>
      <c r="R152" s="297">
        <v>0.05</v>
      </c>
      <c r="S152" s="297">
        <v>0.2</v>
      </c>
      <c r="T152" s="297">
        <v>0.35</v>
      </c>
      <c r="U152" s="297">
        <v>0.6</v>
      </c>
      <c r="V152" s="297">
        <v>0.91</v>
      </c>
      <c r="W152" s="297">
        <v>0.91</v>
      </c>
      <c r="X152" s="297">
        <v>0.91</v>
      </c>
      <c r="Y152" s="297">
        <v>0.91</v>
      </c>
      <c r="Z152" s="297">
        <v>0.91</v>
      </c>
      <c r="AA152" s="297">
        <v>0.91</v>
      </c>
      <c r="AB152" s="297">
        <v>0.91</v>
      </c>
      <c r="AC152" s="297">
        <v>0.91</v>
      </c>
      <c r="AD152" s="297">
        <v>0.91</v>
      </c>
      <c r="AE152" s="297">
        <v>0.91</v>
      </c>
      <c r="AF152" s="297">
        <v>0.91</v>
      </c>
      <c r="AG152" s="297">
        <v>0.91</v>
      </c>
      <c r="AH152" s="297">
        <v>0.91</v>
      </c>
      <c r="AI152" s="297">
        <v>0.91</v>
      </c>
      <c r="AJ152" s="297">
        <v>1</v>
      </c>
      <c r="AK152" s="297">
        <v>1</v>
      </c>
      <c r="AL152" s="297">
        <v>1</v>
      </c>
      <c r="AM152" s="297">
        <v>1</v>
      </c>
      <c r="AN152" s="297">
        <v>1</v>
      </c>
      <c r="AO152" s="297">
        <v>1</v>
      </c>
      <c r="AP152" s="297">
        <v>1</v>
      </c>
      <c r="AQ152" s="297">
        <v>1</v>
      </c>
      <c r="AR152" s="297">
        <v>1</v>
      </c>
      <c r="AS152" s="297">
        <v>1</v>
      </c>
      <c r="AT152" s="297">
        <v>1</v>
      </c>
      <c r="AU152" s="297">
        <v>1</v>
      </c>
      <c r="AV152" s="297">
        <v>1</v>
      </c>
      <c r="AW152" s="297">
        <v>1</v>
      </c>
      <c r="AX152" s="297">
        <v>1</v>
      </c>
      <c r="AY152" s="297">
        <v>1</v>
      </c>
      <c r="AZ152" s="297">
        <v>1</v>
      </c>
      <c r="BA152" s="297">
        <v>1</v>
      </c>
      <c r="BB152" s="297">
        <v>1</v>
      </c>
      <c r="BC152" s="297">
        <v>1</v>
      </c>
      <c r="BD152" s="297">
        <v>1</v>
      </c>
      <c r="BE152" s="297">
        <v>1</v>
      </c>
      <c r="BF152" s="297">
        <v>1</v>
      </c>
    </row>
    <row r="153" spans="3:58" ht="15" customHeight="1" x14ac:dyDescent="0.3">
      <c r="C153" s="295" t="s">
        <v>243</v>
      </c>
      <c r="E153" s="297">
        <v>0</v>
      </c>
      <c r="F153" s="297">
        <v>0</v>
      </c>
      <c r="G153" s="297">
        <v>0</v>
      </c>
      <c r="H153" s="297">
        <v>0</v>
      </c>
      <c r="I153" s="297">
        <v>0</v>
      </c>
      <c r="J153" s="297">
        <v>0</v>
      </c>
      <c r="K153" s="297">
        <v>0</v>
      </c>
      <c r="L153" s="297">
        <v>0</v>
      </c>
      <c r="M153" s="297">
        <v>0</v>
      </c>
      <c r="N153" s="297">
        <v>0</v>
      </c>
      <c r="O153" s="297">
        <v>0</v>
      </c>
      <c r="P153" s="297">
        <v>0</v>
      </c>
      <c r="Q153" s="297">
        <v>0.28000000000000003</v>
      </c>
      <c r="R153" s="297">
        <v>0.6</v>
      </c>
      <c r="S153" s="297">
        <v>0.75</v>
      </c>
      <c r="T153" s="297">
        <v>0.76</v>
      </c>
      <c r="U153" s="297">
        <v>0.76</v>
      </c>
      <c r="V153" s="297">
        <v>0.76</v>
      </c>
      <c r="W153" s="297">
        <v>0.76</v>
      </c>
      <c r="X153" s="297">
        <v>0.76</v>
      </c>
      <c r="Y153" s="297">
        <v>0.76</v>
      </c>
      <c r="Z153" s="297">
        <v>1</v>
      </c>
      <c r="AA153" s="297">
        <v>1</v>
      </c>
      <c r="AB153" s="297">
        <v>1</v>
      </c>
      <c r="AC153" s="297">
        <v>1</v>
      </c>
      <c r="AD153" s="297">
        <v>1</v>
      </c>
      <c r="AE153" s="297">
        <v>1</v>
      </c>
      <c r="AF153" s="297">
        <v>1</v>
      </c>
      <c r="AG153" s="297">
        <v>1</v>
      </c>
      <c r="AH153" s="297">
        <v>1</v>
      </c>
      <c r="AI153" s="297">
        <v>1</v>
      </c>
      <c r="AJ153" s="297">
        <v>1</v>
      </c>
      <c r="AK153" s="297">
        <v>1</v>
      </c>
      <c r="AL153" s="297">
        <v>1</v>
      </c>
      <c r="AM153" s="297">
        <v>1</v>
      </c>
      <c r="AN153" s="297">
        <v>1</v>
      </c>
      <c r="AO153" s="297">
        <v>1</v>
      </c>
      <c r="AP153" s="297">
        <v>1</v>
      </c>
      <c r="AQ153" s="297">
        <v>1</v>
      </c>
      <c r="AR153" s="297">
        <v>1</v>
      </c>
      <c r="AS153" s="297">
        <v>1</v>
      </c>
      <c r="AT153" s="297">
        <v>1</v>
      </c>
      <c r="AU153" s="297">
        <v>1</v>
      </c>
      <c r="AV153" s="297">
        <v>1</v>
      </c>
      <c r="AW153" s="297">
        <v>1</v>
      </c>
      <c r="AX153" s="297">
        <v>1</v>
      </c>
      <c r="AY153" s="297">
        <v>1</v>
      </c>
      <c r="AZ153" s="297">
        <v>1</v>
      </c>
      <c r="BA153" s="297">
        <v>1</v>
      </c>
      <c r="BB153" s="297">
        <v>1</v>
      </c>
      <c r="BC153" s="297">
        <v>1</v>
      </c>
      <c r="BD153" s="297">
        <v>1</v>
      </c>
      <c r="BE153" s="297">
        <v>1</v>
      </c>
      <c r="BF153" s="297">
        <v>1</v>
      </c>
    </row>
    <row r="154" spans="3:58" ht="15" customHeight="1" x14ac:dyDescent="0.3">
      <c r="C154" s="295" t="s">
        <v>244</v>
      </c>
      <c r="E154" s="297">
        <v>0</v>
      </c>
      <c r="F154" s="297">
        <v>0</v>
      </c>
      <c r="G154" s="297">
        <v>0</v>
      </c>
      <c r="H154" s="297">
        <v>0</v>
      </c>
      <c r="I154" s="297">
        <v>0</v>
      </c>
      <c r="J154" s="297">
        <v>0</v>
      </c>
      <c r="K154" s="297">
        <v>0</v>
      </c>
      <c r="L154" s="297">
        <v>0</v>
      </c>
      <c r="M154" s="297">
        <v>0</v>
      </c>
      <c r="N154" s="297">
        <v>0</v>
      </c>
      <c r="O154" s="297">
        <v>0</v>
      </c>
      <c r="P154" s="297">
        <v>0</v>
      </c>
      <c r="Q154" s="297">
        <v>0</v>
      </c>
      <c r="R154" s="297">
        <v>0</v>
      </c>
      <c r="S154" s="297">
        <v>0</v>
      </c>
      <c r="T154" s="297">
        <v>0</v>
      </c>
      <c r="U154" s="297">
        <v>0</v>
      </c>
      <c r="V154" s="297">
        <v>0</v>
      </c>
      <c r="W154" s="297">
        <v>0</v>
      </c>
      <c r="X154" s="297">
        <v>0.31</v>
      </c>
      <c r="Y154" s="297">
        <v>0.68</v>
      </c>
      <c r="Z154" s="297">
        <v>1</v>
      </c>
      <c r="AA154" s="297">
        <v>1</v>
      </c>
      <c r="AB154" s="297">
        <v>1</v>
      </c>
      <c r="AC154" s="297">
        <v>1</v>
      </c>
      <c r="AD154" s="297">
        <v>1</v>
      </c>
      <c r="AE154" s="297">
        <v>1</v>
      </c>
      <c r="AF154" s="297">
        <v>1</v>
      </c>
      <c r="AG154" s="297">
        <v>1</v>
      </c>
      <c r="AH154" s="297">
        <v>1</v>
      </c>
      <c r="AI154" s="297">
        <v>1</v>
      </c>
      <c r="AJ154" s="297">
        <v>1</v>
      </c>
      <c r="AK154" s="297">
        <v>1</v>
      </c>
      <c r="AL154" s="297">
        <v>1</v>
      </c>
      <c r="AM154" s="297">
        <v>1</v>
      </c>
      <c r="AN154" s="297">
        <v>1</v>
      </c>
      <c r="AO154" s="297">
        <v>1</v>
      </c>
      <c r="AP154" s="297">
        <v>1</v>
      </c>
      <c r="AQ154" s="297">
        <v>1</v>
      </c>
      <c r="AR154" s="297">
        <v>1</v>
      </c>
      <c r="AS154" s="297">
        <v>1</v>
      </c>
      <c r="AT154" s="297">
        <v>1</v>
      </c>
      <c r="AU154" s="297">
        <v>1</v>
      </c>
      <c r="AV154" s="297">
        <v>1</v>
      </c>
      <c r="AW154" s="297">
        <v>1</v>
      </c>
      <c r="AX154" s="297">
        <v>1</v>
      </c>
      <c r="AY154" s="297">
        <v>1</v>
      </c>
      <c r="AZ154" s="297">
        <v>1</v>
      </c>
      <c r="BA154" s="297">
        <v>1</v>
      </c>
      <c r="BB154" s="297">
        <v>1</v>
      </c>
      <c r="BC154" s="297">
        <v>1</v>
      </c>
      <c r="BD154" s="297">
        <v>1</v>
      </c>
      <c r="BE154" s="297">
        <v>1</v>
      </c>
      <c r="BF154" s="297">
        <v>1</v>
      </c>
    </row>
    <row r="155" spans="3:58" ht="15" customHeight="1" x14ac:dyDescent="0.3">
      <c r="C155" s="295" t="s">
        <v>245</v>
      </c>
      <c r="E155" s="297">
        <v>0</v>
      </c>
      <c r="F155" s="297">
        <v>0</v>
      </c>
      <c r="G155" s="297">
        <v>0</v>
      </c>
      <c r="H155" s="297">
        <v>0</v>
      </c>
      <c r="I155" s="297">
        <v>0</v>
      </c>
      <c r="J155" s="297">
        <v>0</v>
      </c>
      <c r="K155" s="297">
        <v>0</v>
      </c>
      <c r="L155" s="297">
        <v>0</v>
      </c>
      <c r="M155" s="297">
        <v>0</v>
      </c>
      <c r="N155" s="297">
        <v>0</v>
      </c>
      <c r="O155" s="297">
        <v>0</v>
      </c>
      <c r="P155" s="297">
        <v>0</v>
      </c>
      <c r="Q155" s="297">
        <v>0</v>
      </c>
      <c r="R155" s="297">
        <v>0</v>
      </c>
      <c r="S155" s="297">
        <v>0</v>
      </c>
      <c r="T155" s="297">
        <v>0.04</v>
      </c>
      <c r="U155" s="297">
        <v>0.2</v>
      </c>
      <c r="V155" s="297">
        <v>0.48</v>
      </c>
      <c r="W155" s="297">
        <v>0.62</v>
      </c>
      <c r="X155" s="297">
        <v>0.76</v>
      </c>
      <c r="Y155" s="297">
        <v>0.91</v>
      </c>
      <c r="Z155" s="297">
        <v>1</v>
      </c>
      <c r="AA155" s="297">
        <v>1</v>
      </c>
      <c r="AB155" s="297">
        <v>1</v>
      </c>
      <c r="AC155" s="297">
        <v>1</v>
      </c>
      <c r="AD155" s="297">
        <v>1</v>
      </c>
      <c r="AE155" s="297">
        <v>1</v>
      </c>
      <c r="AF155" s="297">
        <v>1</v>
      </c>
      <c r="AG155" s="297">
        <v>1</v>
      </c>
      <c r="AH155" s="297">
        <v>1</v>
      </c>
      <c r="AI155" s="297">
        <v>1</v>
      </c>
      <c r="AJ155" s="297">
        <v>1</v>
      </c>
      <c r="AK155" s="297">
        <v>1</v>
      </c>
      <c r="AL155" s="297">
        <v>1</v>
      </c>
      <c r="AM155" s="297">
        <v>1</v>
      </c>
      <c r="AN155" s="297">
        <v>1</v>
      </c>
      <c r="AO155" s="297">
        <v>1</v>
      </c>
      <c r="AP155" s="297">
        <v>1</v>
      </c>
      <c r="AQ155" s="297">
        <v>1</v>
      </c>
      <c r="AR155" s="297">
        <v>1</v>
      </c>
      <c r="AS155" s="297">
        <v>1</v>
      </c>
      <c r="AT155" s="297">
        <v>1</v>
      </c>
      <c r="AU155" s="297">
        <v>1</v>
      </c>
      <c r="AV155" s="297">
        <v>1</v>
      </c>
      <c r="AW155" s="297">
        <v>1</v>
      </c>
      <c r="AX155" s="297">
        <v>1</v>
      </c>
      <c r="AY155" s="297">
        <v>1</v>
      </c>
      <c r="AZ155" s="297">
        <v>1</v>
      </c>
      <c r="BA155" s="297">
        <v>1</v>
      </c>
      <c r="BB155" s="297">
        <v>1</v>
      </c>
      <c r="BC155" s="297">
        <v>1</v>
      </c>
      <c r="BD155" s="297">
        <v>1</v>
      </c>
      <c r="BE155" s="297">
        <v>1</v>
      </c>
      <c r="BF155" s="297">
        <v>1</v>
      </c>
    </row>
    <row r="156" spans="3:58" ht="15" customHeight="1" x14ac:dyDescent="0.3">
      <c r="C156" s="295" t="s">
        <v>246</v>
      </c>
      <c r="E156" s="297">
        <v>0</v>
      </c>
      <c r="F156" s="297">
        <v>0</v>
      </c>
      <c r="G156" s="297">
        <v>0</v>
      </c>
      <c r="H156" s="297">
        <v>0</v>
      </c>
      <c r="I156" s="297">
        <v>0</v>
      </c>
      <c r="J156" s="297">
        <v>0</v>
      </c>
      <c r="K156" s="297">
        <v>0</v>
      </c>
      <c r="L156" s="297">
        <v>0</v>
      </c>
      <c r="M156" s="297">
        <v>0</v>
      </c>
      <c r="N156" s="297">
        <v>0</v>
      </c>
      <c r="O156" s="297">
        <v>0</v>
      </c>
      <c r="P156" s="297">
        <v>0</v>
      </c>
      <c r="Q156" s="297">
        <v>0</v>
      </c>
      <c r="R156" s="297">
        <v>0</v>
      </c>
      <c r="S156" s="297">
        <v>0</v>
      </c>
      <c r="T156" s="297">
        <v>0</v>
      </c>
      <c r="U156" s="297">
        <v>0</v>
      </c>
      <c r="V156" s="297">
        <v>0</v>
      </c>
      <c r="W156" s="297">
        <v>0</v>
      </c>
      <c r="X156" s="297">
        <v>0</v>
      </c>
      <c r="Y156" s="297">
        <v>0</v>
      </c>
      <c r="Z156" s="297">
        <v>0.08</v>
      </c>
      <c r="AA156" s="297">
        <v>0.77</v>
      </c>
      <c r="AB156" s="297">
        <v>0.98</v>
      </c>
      <c r="AC156" s="297">
        <v>1</v>
      </c>
      <c r="AD156" s="297">
        <v>1</v>
      </c>
      <c r="AE156" s="297">
        <v>1</v>
      </c>
      <c r="AF156" s="297">
        <v>1</v>
      </c>
      <c r="AG156" s="297">
        <v>1</v>
      </c>
      <c r="AH156" s="297">
        <v>1</v>
      </c>
      <c r="AI156" s="297">
        <v>1</v>
      </c>
      <c r="AJ156" s="297">
        <v>1</v>
      </c>
      <c r="AK156" s="297">
        <v>1</v>
      </c>
      <c r="AL156" s="297">
        <v>1</v>
      </c>
      <c r="AM156" s="297">
        <v>1</v>
      </c>
      <c r="AN156" s="297">
        <v>1</v>
      </c>
      <c r="AO156" s="297">
        <v>1</v>
      </c>
      <c r="AP156" s="297">
        <v>1</v>
      </c>
      <c r="AQ156" s="297">
        <v>1</v>
      </c>
      <c r="AR156" s="297">
        <v>1</v>
      </c>
      <c r="AS156" s="297">
        <v>1</v>
      </c>
      <c r="AT156" s="297">
        <v>1</v>
      </c>
      <c r="AU156" s="297">
        <v>1</v>
      </c>
      <c r="AV156" s="297">
        <v>1</v>
      </c>
      <c r="AW156" s="297">
        <v>1</v>
      </c>
      <c r="AX156" s="297">
        <v>1</v>
      </c>
      <c r="AY156" s="297">
        <v>1</v>
      </c>
      <c r="AZ156" s="297">
        <v>1</v>
      </c>
      <c r="BA156" s="297">
        <v>1</v>
      </c>
      <c r="BB156" s="297">
        <v>1</v>
      </c>
      <c r="BC156" s="297">
        <v>1</v>
      </c>
      <c r="BD156" s="297">
        <v>1</v>
      </c>
      <c r="BE156" s="297">
        <v>1</v>
      </c>
      <c r="BF156" s="297">
        <v>1</v>
      </c>
    </row>
    <row r="157" spans="3:58" ht="15" customHeight="1" x14ac:dyDescent="0.3">
      <c r="C157" s="295" t="s">
        <v>247</v>
      </c>
      <c r="E157" s="297">
        <v>0</v>
      </c>
      <c r="F157" s="297">
        <v>0</v>
      </c>
      <c r="G157" s="297">
        <v>0</v>
      </c>
      <c r="H157" s="297">
        <v>0</v>
      </c>
      <c r="I157" s="297">
        <v>0</v>
      </c>
      <c r="J157" s="297">
        <v>0</v>
      </c>
      <c r="K157" s="297">
        <v>0</v>
      </c>
      <c r="L157" s="297">
        <v>0</v>
      </c>
      <c r="M157" s="297">
        <v>0</v>
      </c>
      <c r="N157" s="297">
        <v>0</v>
      </c>
      <c r="O157" s="297">
        <v>0</v>
      </c>
      <c r="P157" s="297">
        <v>0</v>
      </c>
      <c r="Q157" s="297">
        <v>0</v>
      </c>
      <c r="R157" s="297">
        <v>0</v>
      </c>
      <c r="S157" s="297">
        <v>0</v>
      </c>
      <c r="T157" s="297">
        <v>0</v>
      </c>
      <c r="U157" s="297">
        <v>0</v>
      </c>
      <c r="V157" s="297">
        <v>0</v>
      </c>
      <c r="W157" s="297">
        <v>0</v>
      </c>
      <c r="X157" s="297">
        <v>0</v>
      </c>
      <c r="Y157" s="297">
        <v>0</v>
      </c>
      <c r="Z157" s="297">
        <v>0.96</v>
      </c>
      <c r="AA157" s="297">
        <v>1</v>
      </c>
      <c r="AB157" s="297">
        <v>1</v>
      </c>
      <c r="AC157" s="297">
        <v>1</v>
      </c>
      <c r="AD157" s="297">
        <v>1</v>
      </c>
      <c r="AE157" s="297">
        <v>1</v>
      </c>
      <c r="AF157" s="297">
        <v>1</v>
      </c>
      <c r="AG157" s="297">
        <v>1</v>
      </c>
      <c r="AH157" s="297">
        <v>1</v>
      </c>
      <c r="AI157" s="297">
        <v>1</v>
      </c>
      <c r="AJ157" s="297">
        <v>1</v>
      </c>
      <c r="AK157" s="297">
        <v>1</v>
      </c>
      <c r="AL157" s="297">
        <v>1</v>
      </c>
      <c r="AM157" s="297">
        <v>1</v>
      </c>
      <c r="AN157" s="297">
        <v>1</v>
      </c>
      <c r="AO157" s="297">
        <v>1</v>
      </c>
      <c r="AP157" s="297">
        <v>1</v>
      </c>
      <c r="AQ157" s="297">
        <v>1</v>
      </c>
      <c r="AR157" s="297">
        <v>1</v>
      </c>
      <c r="AS157" s="297">
        <v>1</v>
      </c>
      <c r="AT157" s="297">
        <v>1</v>
      </c>
      <c r="AU157" s="297">
        <v>1</v>
      </c>
      <c r="AV157" s="297">
        <v>1</v>
      </c>
      <c r="AW157" s="297">
        <v>1</v>
      </c>
      <c r="AX157" s="297">
        <v>1</v>
      </c>
      <c r="AY157" s="297">
        <v>1</v>
      </c>
      <c r="AZ157" s="297">
        <v>1</v>
      </c>
      <c r="BA157" s="297">
        <v>1</v>
      </c>
      <c r="BB157" s="297">
        <v>1</v>
      </c>
      <c r="BC157" s="297">
        <v>1</v>
      </c>
      <c r="BD157" s="297">
        <v>1</v>
      </c>
      <c r="BE157" s="297">
        <v>1</v>
      </c>
      <c r="BF157" s="297">
        <v>1</v>
      </c>
    </row>
    <row r="158" spans="3:58" ht="15" customHeight="1" x14ac:dyDescent="0.3">
      <c r="C158" s="295" t="s">
        <v>248</v>
      </c>
      <c r="E158" s="297">
        <v>0</v>
      </c>
      <c r="F158" s="297">
        <v>0</v>
      </c>
      <c r="G158" s="297">
        <v>0</v>
      </c>
      <c r="H158" s="297">
        <v>0</v>
      </c>
      <c r="I158" s="297">
        <v>0</v>
      </c>
      <c r="J158" s="297">
        <v>0</v>
      </c>
      <c r="K158" s="297">
        <v>0</v>
      </c>
      <c r="L158" s="297">
        <v>0</v>
      </c>
      <c r="M158" s="297">
        <v>0</v>
      </c>
      <c r="N158" s="297">
        <v>0</v>
      </c>
      <c r="O158" s="297">
        <v>0</v>
      </c>
      <c r="P158" s="297">
        <v>0</v>
      </c>
      <c r="Q158" s="297">
        <v>0</v>
      </c>
      <c r="R158" s="297">
        <v>0</v>
      </c>
      <c r="S158" s="297">
        <v>0</v>
      </c>
      <c r="T158" s="297">
        <v>0</v>
      </c>
      <c r="U158" s="297">
        <v>0</v>
      </c>
      <c r="V158" s="297">
        <v>0</v>
      </c>
      <c r="W158" s="297">
        <v>0</v>
      </c>
      <c r="X158" s="297">
        <v>0</v>
      </c>
      <c r="Y158" s="297">
        <v>0</v>
      </c>
      <c r="Z158" s="297">
        <v>0</v>
      </c>
      <c r="AA158" s="297">
        <v>0</v>
      </c>
      <c r="AB158" s="297">
        <v>0</v>
      </c>
      <c r="AC158" s="297">
        <v>0</v>
      </c>
      <c r="AD158" s="297">
        <v>0.16</v>
      </c>
      <c r="AE158" s="297">
        <v>0.17</v>
      </c>
      <c r="AF158" s="297">
        <v>0.21</v>
      </c>
      <c r="AG158" s="297">
        <v>0.5</v>
      </c>
      <c r="AH158" s="297">
        <v>1</v>
      </c>
      <c r="AI158" s="297">
        <v>1</v>
      </c>
      <c r="AJ158" s="297">
        <v>1</v>
      </c>
      <c r="AK158" s="297">
        <v>1</v>
      </c>
      <c r="AL158" s="297">
        <v>1</v>
      </c>
      <c r="AM158" s="297">
        <v>1</v>
      </c>
      <c r="AN158" s="297">
        <v>1</v>
      </c>
      <c r="AO158" s="297">
        <v>1</v>
      </c>
      <c r="AP158" s="297">
        <v>1</v>
      </c>
      <c r="AQ158" s="297">
        <v>1</v>
      </c>
      <c r="AR158" s="297">
        <v>1</v>
      </c>
      <c r="AS158" s="297">
        <v>1</v>
      </c>
      <c r="AT158" s="297">
        <v>1</v>
      </c>
      <c r="AU158" s="297">
        <v>1</v>
      </c>
      <c r="AV158" s="297">
        <v>1</v>
      </c>
      <c r="AW158" s="297">
        <v>1</v>
      </c>
      <c r="AX158" s="297">
        <v>1</v>
      </c>
      <c r="AY158" s="297">
        <v>1</v>
      </c>
      <c r="AZ158" s="297">
        <v>1</v>
      </c>
      <c r="BA158" s="297">
        <v>1</v>
      </c>
      <c r="BB158" s="297">
        <v>1</v>
      </c>
      <c r="BC158" s="297">
        <v>1</v>
      </c>
      <c r="BD158" s="297">
        <v>1</v>
      </c>
      <c r="BE158" s="297">
        <v>1</v>
      </c>
      <c r="BF158" s="297">
        <v>1</v>
      </c>
    </row>
    <row r="159" spans="3:58" ht="15" customHeight="1" x14ac:dyDescent="0.3">
      <c r="C159" s="295" t="s">
        <v>249</v>
      </c>
      <c r="E159" s="297">
        <v>0</v>
      </c>
      <c r="F159" s="297">
        <v>0</v>
      </c>
      <c r="G159" s="297">
        <v>0</v>
      </c>
      <c r="H159" s="297">
        <v>0</v>
      </c>
      <c r="I159" s="297">
        <v>0</v>
      </c>
      <c r="J159" s="297">
        <v>0</v>
      </c>
      <c r="K159" s="297">
        <v>0</v>
      </c>
      <c r="L159" s="297">
        <v>0</v>
      </c>
      <c r="M159" s="297">
        <v>0</v>
      </c>
      <c r="N159" s="297">
        <v>0</v>
      </c>
      <c r="O159" s="297">
        <v>0</v>
      </c>
      <c r="P159" s="297">
        <v>0</v>
      </c>
      <c r="Q159" s="297">
        <v>0</v>
      </c>
      <c r="R159" s="297">
        <v>0</v>
      </c>
      <c r="S159" s="297">
        <v>0</v>
      </c>
      <c r="T159" s="297">
        <v>0</v>
      </c>
      <c r="U159" s="297">
        <v>0</v>
      </c>
      <c r="V159" s="297">
        <v>0</v>
      </c>
      <c r="W159" s="297">
        <v>0</v>
      </c>
      <c r="X159" s="297">
        <v>0</v>
      </c>
      <c r="Y159" s="297">
        <v>0</v>
      </c>
      <c r="Z159" s="297">
        <v>0</v>
      </c>
      <c r="AA159" s="297">
        <v>0</v>
      </c>
      <c r="AB159" s="297">
        <v>0</v>
      </c>
      <c r="AC159" s="297">
        <v>0.56000000000000005</v>
      </c>
      <c r="AD159" s="297">
        <v>1</v>
      </c>
      <c r="AE159" s="297">
        <v>1</v>
      </c>
      <c r="AF159" s="297">
        <v>1</v>
      </c>
      <c r="AG159" s="297">
        <v>1</v>
      </c>
      <c r="AH159" s="297">
        <v>1</v>
      </c>
      <c r="AI159" s="297">
        <v>1</v>
      </c>
      <c r="AJ159" s="297">
        <v>1</v>
      </c>
      <c r="AK159" s="297">
        <v>1</v>
      </c>
      <c r="AL159" s="297">
        <v>1</v>
      </c>
      <c r="AM159" s="297">
        <v>1</v>
      </c>
      <c r="AN159" s="297">
        <v>1</v>
      </c>
      <c r="AO159" s="297">
        <v>1</v>
      </c>
      <c r="AP159" s="297">
        <v>1</v>
      </c>
      <c r="AQ159" s="297">
        <v>1</v>
      </c>
      <c r="AR159" s="297">
        <v>1</v>
      </c>
      <c r="AS159" s="297">
        <v>1</v>
      </c>
      <c r="AT159" s="297">
        <v>1</v>
      </c>
      <c r="AU159" s="297">
        <v>1</v>
      </c>
      <c r="AV159" s="297">
        <v>1</v>
      </c>
      <c r="AW159" s="297">
        <v>1</v>
      </c>
      <c r="AX159" s="297">
        <v>1</v>
      </c>
      <c r="AY159" s="297">
        <v>1</v>
      </c>
      <c r="AZ159" s="297">
        <v>1</v>
      </c>
      <c r="BA159" s="297">
        <v>1</v>
      </c>
      <c r="BB159" s="297">
        <v>1</v>
      </c>
      <c r="BC159" s="297">
        <v>1</v>
      </c>
      <c r="BD159" s="297">
        <v>1</v>
      </c>
      <c r="BE159" s="297">
        <v>1</v>
      </c>
      <c r="BF159" s="297">
        <v>1</v>
      </c>
    </row>
    <row r="160" spans="3:58" ht="15" customHeight="1" x14ac:dyDescent="0.3">
      <c r="C160" s="295" t="s">
        <v>250</v>
      </c>
      <c r="E160" s="297">
        <v>0</v>
      </c>
      <c r="F160" s="297">
        <v>0</v>
      </c>
      <c r="G160" s="297">
        <v>0</v>
      </c>
      <c r="H160" s="297">
        <v>0</v>
      </c>
      <c r="I160" s="297">
        <v>0</v>
      </c>
      <c r="J160" s="297">
        <v>0</v>
      </c>
      <c r="K160" s="297">
        <v>0</v>
      </c>
      <c r="L160" s="297">
        <v>0</v>
      </c>
      <c r="M160" s="297">
        <v>0</v>
      </c>
      <c r="N160" s="297">
        <v>0</v>
      </c>
      <c r="O160" s="297">
        <v>0</v>
      </c>
      <c r="P160" s="297">
        <v>0</v>
      </c>
      <c r="Q160" s="297">
        <v>0</v>
      </c>
      <c r="R160" s="297">
        <v>0</v>
      </c>
      <c r="S160" s="297">
        <v>0</v>
      </c>
      <c r="T160" s="297">
        <v>0</v>
      </c>
      <c r="U160" s="297">
        <v>0</v>
      </c>
      <c r="V160" s="297">
        <v>0</v>
      </c>
      <c r="W160" s="297">
        <v>0</v>
      </c>
      <c r="X160" s="297">
        <v>0</v>
      </c>
      <c r="Y160" s="297">
        <v>0</v>
      </c>
      <c r="Z160" s="297">
        <v>0</v>
      </c>
      <c r="AA160" s="297">
        <v>0</v>
      </c>
      <c r="AB160" s="297">
        <v>0</v>
      </c>
      <c r="AC160" s="297">
        <v>0</v>
      </c>
      <c r="AD160" s="297">
        <v>0</v>
      </c>
      <c r="AE160" s="297">
        <v>0</v>
      </c>
      <c r="AF160" s="297">
        <v>0</v>
      </c>
      <c r="AG160" s="297">
        <v>0</v>
      </c>
      <c r="AH160" s="297">
        <v>0.12</v>
      </c>
      <c r="AI160" s="297">
        <v>0.79</v>
      </c>
      <c r="AJ160" s="297">
        <v>1</v>
      </c>
      <c r="AK160" s="297">
        <v>1</v>
      </c>
      <c r="AL160" s="297">
        <v>1</v>
      </c>
      <c r="AM160" s="297">
        <v>1</v>
      </c>
      <c r="AN160" s="297">
        <v>1</v>
      </c>
      <c r="AO160" s="297">
        <v>1</v>
      </c>
      <c r="AP160" s="297">
        <v>1</v>
      </c>
      <c r="AQ160" s="297">
        <v>1</v>
      </c>
      <c r="AR160" s="297">
        <v>1</v>
      </c>
      <c r="AS160" s="297">
        <v>1</v>
      </c>
      <c r="AT160" s="297">
        <v>1</v>
      </c>
      <c r="AU160" s="297">
        <v>1</v>
      </c>
      <c r="AV160" s="297">
        <v>1</v>
      </c>
      <c r="AW160" s="297">
        <v>1</v>
      </c>
      <c r="AX160" s="297">
        <v>1</v>
      </c>
      <c r="AY160" s="297">
        <v>1</v>
      </c>
      <c r="AZ160" s="297">
        <v>1</v>
      </c>
      <c r="BA160" s="297">
        <v>1</v>
      </c>
      <c r="BB160" s="297">
        <v>1</v>
      </c>
      <c r="BC160" s="297">
        <v>1</v>
      </c>
      <c r="BD160" s="297">
        <v>1</v>
      </c>
      <c r="BE160" s="297">
        <v>1</v>
      </c>
      <c r="BF160" s="297">
        <v>1</v>
      </c>
    </row>
    <row r="161" spans="3:58" ht="15" customHeight="1" x14ac:dyDescent="0.3">
      <c r="C161" s="287" t="s">
        <v>256</v>
      </c>
      <c r="E161" s="288">
        <v>0</v>
      </c>
      <c r="F161" s="288">
        <v>0</v>
      </c>
      <c r="G161" s="288">
        <v>0</v>
      </c>
      <c r="H161" s="288">
        <v>0</v>
      </c>
      <c r="I161" s="288">
        <v>0</v>
      </c>
      <c r="J161" s="288">
        <v>0</v>
      </c>
      <c r="K161" s="288">
        <v>0</v>
      </c>
      <c r="L161" s="288">
        <v>0</v>
      </c>
      <c r="M161" s="288">
        <v>0</v>
      </c>
      <c r="N161" s="288">
        <v>0</v>
      </c>
      <c r="O161" s="288">
        <v>0</v>
      </c>
      <c r="P161" s="288">
        <v>0</v>
      </c>
      <c r="Q161" s="288">
        <v>0</v>
      </c>
      <c r="R161" s="288">
        <v>0</v>
      </c>
      <c r="S161" s="288">
        <v>0.04</v>
      </c>
      <c r="T161" s="288">
        <v>0.1</v>
      </c>
      <c r="U161" s="288">
        <v>0.12</v>
      </c>
      <c r="V161" s="288">
        <v>0.14000000000000001</v>
      </c>
      <c r="W161" s="288">
        <v>0.22</v>
      </c>
      <c r="X161" s="288">
        <v>0.27</v>
      </c>
      <c r="Y161" s="288">
        <v>0.3</v>
      </c>
      <c r="Z161" s="288">
        <v>0.32</v>
      </c>
      <c r="AA161" s="288">
        <v>0.36</v>
      </c>
      <c r="AB161" s="288">
        <v>0.39</v>
      </c>
      <c r="AC161" s="288">
        <v>0.45</v>
      </c>
      <c r="AD161" s="288">
        <v>0.51</v>
      </c>
      <c r="AE161" s="288">
        <v>0.57999999999999996</v>
      </c>
      <c r="AF161" s="288">
        <v>0.62</v>
      </c>
      <c r="AG161" s="288">
        <v>0.64</v>
      </c>
      <c r="AH161" s="288">
        <v>0.65</v>
      </c>
      <c r="AI161" s="288">
        <v>0.66</v>
      </c>
      <c r="AJ161" s="288">
        <v>0.67</v>
      </c>
      <c r="AK161" s="288">
        <v>0.68</v>
      </c>
      <c r="AL161" s="288">
        <v>0.81</v>
      </c>
      <c r="AM161" s="288">
        <v>0.87</v>
      </c>
      <c r="AN161" s="288">
        <v>1</v>
      </c>
      <c r="AO161" s="288">
        <v>1</v>
      </c>
      <c r="AP161" s="288">
        <v>1</v>
      </c>
      <c r="AQ161" s="288">
        <v>1</v>
      </c>
      <c r="AR161" s="288">
        <v>1</v>
      </c>
      <c r="AS161" s="288">
        <v>1</v>
      </c>
      <c r="AT161" s="288">
        <v>1</v>
      </c>
      <c r="AU161" s="288">
        <v>1</v>
      </c>
      <c r="AV161" s="288">
        <v>1</v>
      </c>
      <c r="AW161" s="288">
        <v>1</v>
      </c>
      <c r="AX161" s="288">
        <v>1</v>
      </c>
      <c r="AY161" s="288">
        <v>1</v>
      </c>
      <c r="AZ161" s="288">
        <v>1</v>
      </c>
      <c r="BA161" s="288">
        <v>1</v>
      </c>
      <c r="BB161" s="288">
        <v>1</v>
      </c>
      <c r="BC161" s="288">
        <v>1</v>
      </c>
      <c r="BD161" s="288">
        <v>1</v>
      </c>
      <c r="BE161" s="288">
        <v>1</v>
      </c>
      <c r="BF161" s="288">
        <v>1</v>
      </c>
    </row>
    <row r="162" spans="3:58" ht="15" customHeight="1" x14ac:dyDescent="0.3">
      <c r="C162" s="295" t="s">
        <v>237</v>
      </c>
      <c r="E162" s="297">
        <v>0</v>
      </c>
      <c r="F162" s="297">
        <v>0</v>
      </c>
      <c r="G162" s="297">
        <v>0</v>
      </c>
      <c r="H162" s="297">
        <v>0</v>
      </c>
      <c r="I162" s="297">
        <v>0</v>
      </c>
      <c r="J162" s="297">
        <v>0</v>
      </c>
      <c r="K162" s="297">
        <v>0</v>
      </c>
      <c r="L162" s="297">
        <v>0</v>
      </c>
      <c r="M162" s="297">
        <v>0</v>
      </c>
      <c r="N162" s="297">
        <v>0</v>
      </c>
      <c r="O162" s="297">
        <v>0</v>
      </c>
      <c r="P162" s="297">
        <v>0</v>
      </c>
      <c r="Q162" s="297">
        <v>0</v>
      </c>
      <c r="R162" s="297">
        <v>0</v>
      </c>
      <c r="S162" s="297">
        <v>0.63</v>
      </c>
      <c r="T162" s="297">
        <v>0.97</v>
      </c>
      <c r="U162" s="297">
        <v>1</v>
      </c>
      <c r="V162" s="297">
        <v>1</v>
      </c>
      <c r="W162" s="297">
        <v>1</v>
      </c>
      <c r="X162" s="297">
        <v>1</v>
      </c>
      <c r="Y162" s="297">
        <v>1</v>
      </c>
      <c r="Z162" s="297">
        <v>1</v>
      </c>
      <c r="AA162" s="297">
        <v>1</v>
      </c>
      <c r="AB162" s="297">
        <v>1</v>
      </c>
      <c r="AC162" s="297">
        <v>1</v>
      </c>
      <c r="AD162" s="297">
        <v>1</v>
      </c>
      <c r="AE162" s="297">
        <v>1</v>
      </c>
      <c r="AF162" s="297">
        <v>1</v>
      </c>
      <c r="AG162" s="297">
        <v>1</v>
      </c>
      <c r="AH162" s="297">
        <v>1</v>
      </c>
      <c r="AI162" s="297">
        <v>1</v>
      </c>
      <c r="AJ162" s="297">
        <v>1</v>
      </c>
      <c r="AK162" s="297">
        <v>1</v>
      </c>
      <c r="AL162" s="297">
        <v>1</v>
      </c>
      <c r="AM162" s="297">
        <v>1</v>
      </c>
      <c r="AN162" s="297">
        <v>1</v>
      </c>
      <c r="AO162" s="297">
        <v>1</v>
      </c>
      <c r="AP162" s="297">
        <v>1</v>
      </c>
      <c r="AQ162" s="297">
        <v>1</v>
      </c>
      <c r="AR162" s="297">
        <v>1</v>
      </c>
      <c r="AS162" s="297">
        <v>1</v>
      </c>
      <c r="AT162" s="297">
        <v>1</v>
      </c>
      <c r="AU162" s="297">
        <v>1</v>
      </c>
      <c r="AV162" s="297">
        <v>1</v>
      </c>
      <c r="AW162" s="297">
        <v>1</v>
      </c>
      <c r="AX162" s="297">
        <v>1</v>
      </c>
      <c r="AY162" s="297">
        <v>1</v>
      </c>
      <c r="AZ162" s="297">
        <v>1</v>
      </c>
      <c r="BA162" s="297">
        <v>1</v>
      </c>
      <c r="BB162" s="297">
        <v>1</v>
      </c>
      <c r="BC162" s="297">
        <v>1</v>
      </c>
      <c r="BD162" s="297">
        <v>1</v>
      </c>
      <c r="BE162" s="297">
        <v>1</v>
      </c>
      <c r="BF162" s="297">
        <v>1</v>
      </c>
    </row>
    <row r="163" spans="3:58" ht="15" customHeight="1" x14ac:dyDescent="0.3">
      <c r="C163" s="295" t="s">
        <v>254</v>
      </c>
      <c r="E163" s="297">
        <v>0</v>
      </c>
      <c r="F163" s="297">
        <v>0</v>
      </c>
      <c r="G163" s="297">
        <v>0</v>
      </c>
      <c r="H163" s="297">
        <v>0</v>
      </c>
      <c r="I163" s="297">
        <v>0</v>
      </c>
      <c r="J163" s="297">
        <v>0</v>
      </c>
      <c r="K163" s="297">
        <v>0</v>
      </c>
      <c r="L163" s="297">
        <v>0</v>
      </c>
      <c r="M163" s="297">
        <v>0</v>
      </c>
      <c r="N163" s="297">
        <v>0</v>
      </c>
      <c r="O163" s="297">
        <v>0</v>
      </c>
      <c r="P163" s="297">
        <v>0</v>
      </c>
      <c r="Q163" s="297">
        <v>0</v>
      </c>
      <c r="R163" s="297">
        <v>0</v>
      </c>
      <c r="S163" s="297">
        <v>7.0000000000000007E-2</v>
      </c>
      <c r="T163" s="297">
        <v>0.9</v>
      </c>
      <c r="U163" s="297">
        <v>1</v>
      </c>
      <c r="V163" s="297">
        <v>1</v>
      </c>
      <c r="W163" s="297">
        <v>1</v>
      </c>
      <c r="X163" s="297">
        <v>1</v>
      </c>
      <c r="Y163" s="297">
        <v>1</v>
      </c>
      <c r="Z163" s="297">
        <v>1</v>
      </c>
      <c r="AA163" s="297">
        <v>1</v>
      </c>
      <c r="AB163" s="297">
        <v>1</v>
      </c>
      <c r="AC163" s="297">
        <v>1</v>
      </c>
      <c r="AD163" s="297">
        <v>1</v>
      </c>
      <c r="AE163" s="297">
        <v>1</v>
      </c>
      <c r="AF163" s="297">
        <v>1</v>
      </c>
      <c r="AG163" s="297">
        <v>1</v>
      </c>
      <c r="AH163" s="297">
        <v>1</v>
      </c>
      <c r="AI163" s="297">
        <v>1</v>
      </c>
      <c r="AJ163" s="297">
        <v>1</v>
      </c>
      <c r="AK163" s="297">
        <v>1</v>
      </c>
      <c r="AL163" s="297">
        <v>1</v>
      </c>
      <c r="AM163" s="297">
        <v>1</v>
      </c>
      <c r="AN163" s="297">
        <v>1</v>
      </c>
      <c r="AO163" s="297">
        <v>1</v>
      </c>
      <c r="AP163" s="297">
        <v>1</v>
      </c>
      <c r="AQ163" s="297">
        <v>1</v>
      </c>
      <c r="AR163" s="297">
        <v>1</v>
      </c>
      <c r="AS163" s="297">
        <v>1</v>
      </c>
      <c r="AT163" s="297">
        <v>1</v>
      </c>
      <c r="AU163" s="297">
        <v>1</v>
      </c>
      <c r="AV163" s="297">
        <v>1</v>
      </c>
      <c r="AW163" s="297">
        <v>1</v>
      </c>
      <c r="AX163" s="297">
        <v>1</v>
      </c>
      <c r="AY163" s="297">
        <v>1</v>
      </c>
      <c r="AZ163" s="297">
        <v>1</v>
      </c>
      <c r="BA163" s="297">
        <v>1</v>
      </c>
      <c r="BB163" s="297">
        <v>1</v>
      </c>
      <c r="BC163" s="297">
        <v>1</v>
      </c>
      <c r="BD163" s="297">
        <v>1</v>
      </c>
      <c r="BE163" s="297">
        <v>1</v>
      </c>
      <c r="BF163" s="297">
        <v>1</v>
      </c>
    </row>
    <row r="164" spans="3:58" ht="15" customHeight="1" x14ac:dyDescent="0.3">
      <c r="C164" s="295" t="s">
        <v>257</v>
      </c>
      <c r="E164" s="297">
        <v>0</v>
      </c>
      <c r="F164" s="297">
        <v>0</v>
      </c>
      <c r="G164" s="297">
        <v>0</v>
      </c>
      <c r="H164" s="297">
        <v>0</v>
      </c>
      <c r="I164" s="297">
        <v>0</v>
      </c>
      <c r="J164" s="297">
        <v>0</v>
      </c>
      <c r="K164" s="297">
        <v>0</v>
      </c>
      <c r="L164" s="297">
        <v>0</v>
      </c>
      <c r="M164" s="297">
        <v>0</v>
      </c>
      <c r="N164" s="297">
        <v>0</v>
      </c>
      <c r="O164" s="297">
        <v>0</v>
      </c>
      <c r="P164" s="297">
        <v>0</v>
      </c>
      <c r="Q164" s="297">
        <v>0</v>
      </c>
      <c r="R164" s="297">
        <v>0</v>
      </c>
      <c r="S164" s="297">
        <v>0</v>
      </c>
      <c r="T164" s="297">
        <v>0</v>
      </c>
      <c r="U164" s="297">
        <v>0.11</v>
      </c>
      <c r="V164" s="297">
        <v>0.24</v>
      </c>
      <c r="W164" s="297">
        <v>0.51</v>
      </c>
      <c r="X164" s="297">
        <v>0.81</v>
      </c>
      <c r="Y164" s="297">
        <v>1</v>
      </c>
      <c r="Z164" s="297">
        <v>1</v>
      </c>
      <c r="AA164" s="297">
        <v>1</v>
      </c>
      <c r="AB164" s="297">
        <v>1</v>
      </c>
      <c r="AC164" s="297">
        <v>1</v>
      </c>
      <c r="AD164" s="297">
        <v>1</v>
      </c>
      <c r="AE164" s="297">
        <v>1</v>
      </c>
      <c r="AF164" s="297">
        <v>1</v>
      </c>
      <c r="AG164" s="297">
        <v>1</v>
      </c>
      <c r="AH164" s="297">
        <v>1</v>
      </c>
      <c r="AI164" s="297">
        <v>1</v>
      </c>
      <c r="AJ164" s="297">
        <v>1</v>
      </c>
      <c r="AK164" s="297">
        <v>1</v>
      </c>
      <c r="AL164" s="297">
        <v>1</v>
      </c>
      <c r="AM164" s="297">
        <v>1</v>
      </c>
      <c r="AN164" s="297">
        <v>1</v>
      </c>
      <c r="AO164" s="297">
        <v>1</v>
      </c>
      <c r="AP164" s="297">
        <v>1</v>
      </c>
      <c r="AQ164" s="297">
        <v>1</v>
      </c>
      <c r="AR164" s="297">
        <v>1</v>
      </c>
      <c r="AS164" s="297">
        <v>1</v>
      </c>
      <c r="AT164" s="297">
        <v>1</v>
      </c>
      <c r="AU164" s="297">
        <v>1</v>
      </c>
      <c r="AV164" s="297">
        <v>1</v>
      </c>
      <c r="AW164" s="297">
        <v>1</v>
      </c>
      <c r="AX164" s="297">
        <v>1</v>
      </c>
      <c r="AY164" s="297">
        <v>1</v>
      </c>
      <c r="AZ164" s="297">
        <v>1</v>
      </c>
      <c r="BA164" s="297">
        <v>1</v>
      </c>
      <c r="BB164" s="297">
        <v>1</v>
      </c>
      <c r="BC164" s="297">
        <v>1</v>
      </c>
      <c r="BD164" s="297">
        <v>1</v>
      </c>
      <c r="BE164" s="297">
        <v>1</v>
      </c>
      <c r="BF164" s="297">
        <v>1</v>
      </c>
    </row>
    <row r="165" spans="3:58" ht="15" customHeight="1" x14ac:dyDescent="0.3">
      <c r="C165" s="295" t="s">
        <v>252</v>
      </c>
      <c r="E165" s="297">
        <v>0</v>
      </c>
      <c r="F165" s="297">
        <v>0</v>
      </c>
      <c r="G165" s="297">
        <v>0</v>
      </c>
      <c r="H165" s="297">
        <v>0</v>
      </c>
      <c r="I165" s="297">
        <v>0</v>
      </c>
      <c r="J165" s="297">
        <v>0</v>
      </c>
      <c r="K165" s="297">
        <v>0</v>
      </c>
      <c r="L165" s="297">
        <v>0</v>
      </c>
      <c r="M165" s="297">
        <v>0</v>
      </c>
      <c r="N165" s="297">
        <v>0</v>
      </c>
      <c r="O165" s="297">
        <v>0</v>
      </c>
      <c r="P165" s="297">
        <v>0</v>
      </c>
      <c r="Q165" s="297">
        <v>0</v>
      </c>
      <c r="R165" s="297">
        <v>0</v>
      </c>
      <c r="S165" s="297">
        <v>0</v>
      </c>
      <c r="T165" s="297">
        <v>0</v>
      </c>
      <c r="U165" s="297">
        <v>0</v>
      </c>
      <c r="V165" s="297">
        <v>0</v>
      </c>
      <c r="W165" s="297">
        <v>0</v>
      </c>
      <c r="X165" s="297">
        <v>0</v>
      </c>
      <c r="Y165" s="297">
        <v>0.09</v>
      </c>
      <c r="Z165" s="297">
        <v>0.72</v>
      </c>
      <c r="AA165" s="297">
        <v>1</v>
      </c>
      <c r="AB165" s="297">
        <v>1</v>
      </c>
      <c r="AC165" s="297">
        <v>1</v>
      </c>
      <c r="AD165" s="297">
        <v>1</v>
      </c>
      <c r="AE165" s="297">
        <v>1</v>
      </c>
      <c r="AF165" s="297">
        <v>1</v>
      </c>
      <c r="AG165" s="297">
        <v>1</v>
      </c>
      <c r="AH165" s="297">
        <v>1</v>
      </c>
      <c r="AI165" s="297">
        <v>1</v>
      </c>
      <c r="AJ165" s="297">
        <v>1</v>
      </c>
      <c r="AK165" s="297">
        <v>1</v>
      </c>
      <c r="AL165" s="297">
        <v>1</v>
      </c>
      <c r="AM165" s="297">
        <v>1</v>
      </c>
      <c r="AN165" s="297">
        <v>1</v>
      </c>
      <c r="AO165" s="297">
        <v>1</v>
      </c>
      <c r="AP165" s="297">
        <v>1</v>
      </c>
      <c r="AQ165" s="297">
        <v>1</v>
      </c>
      <c r="AR165" s="297">
        <v>1</v>
      </c>
      <c r="AS165" s="297">
        <v>1</v>
      </c>
      <c r="AT165" s="297">
        <v>1</v>
      </c>
      <c r="AU165" s="297">
        <v>1</v>
      </c>
      <c r="AV165" s="297">
        <v>1</v>
      </c>
      <c r="AW165" s="297">
        <v>1</v>
      </c>
      <c r="AX165" s="297">
        <v>1</v>
      </c>
      <c r="AY165" s="297">
        <v>1</v>
      </c>
      <c r="AZ165" s="297">
        <v>1</v>
      </c>
      <c r="BA165" s="297">
        <v>1</v>
      </c>
      <c r="BB165" s="297">
        <v>1</v>
      </c>
      <c r="BC165" s="297">
        <v>1</v>
      </c>
      <c r="BD165" s="297">
        <v>1</v>
      </c>
      <c r="BE165" s="297">
        <v>1</v>
      </c>
      <c r="BF165" s="297">
        <v>1</v>
      </c>
    </row>
    <row r="166" spans="3:58" ht="15" customHeight="1" x14ac:dyDescent="0.3">
      <c r="C166" s="295" t="s">
        <v>241</v>
      </c>
      <c r="E166" s="297">
        <v>0</v>
      </c>
      <c r="F166" s="297">
        <v>0</v>
      </c>
      <c r="G166" s="297">
        <v>0</v>
      </c>
      <c r="H166" s="297">
        <v>0</v>
      </c>
      <c r="I166" s="297">
        <v>0</v>
      </c>
      <c r="J166" s="297">
        <v>0</v>
      </c>
      <c r="K166" s="297">
        <v>0</v>
      </c>
      <c r="L166" s="297">
        <v>0</v>
      </c>
      <c r="M166" s="297">
        <v>0</v>
      </c>
      <c r="N166" s="297">
        <v>0</v>
      </c>
      <c r="O166" s="297">
        <v>0</v>
      </c>
      <c r="P166" s="297">
        <v>0</v>
      </c>
      <c r="Q166" s="297">
        <v>0</v>
      </c>
      <c r="R166" s="297">
        <v>0</v>
      </c>
      <c r="S166" s="297">
        <v>0</v>
      </c>
      <c r="T166" s="297">
        <v>0</v>
      </c>
      <c r="U166" s="297">
        <v>0</v>
      </c>
      <c r="V166" s="297">
        <v>0</v>
      </c>
      <c r="W166" s="297">
        <v>0</v>
      </c>
      <c r="X166" s="297">
        <v>0</v>
      </c>
      <c r="Y166" s="297">
        <v>0</v>
      </c>
      <c r="Z166" s="297">
        <v>0.01</v>
      </c>
      <c r="AA166" s="297">
        <v>0.13</v>
      </c>
      <c r="AB166" s="297">
        <v>0.24</v>
      </c>
      <c r="AC166" s="297">
        <v>0.41</v>
      </c>
      <c r="AD166" s="297">
        <v>0.59</v>
      </c>
      <c r="AE166" s="297">
        <v>0.75</v>
      </c>
      <c r="AF166" s="297">
        <v>0.75</v>
      </c>
      <c r="AG166" s="297">
        <v>0.75</v>
      </c>
      <c r="AH166" s="297">
        <v>0.75</v>
      </c>
      <c r="AI166" s="297">
        <v>0.75</v>
      </c>
      <c r="AJ166" s="297">
        <v>0.75</v>
      </c>
      <c r="AK166" s="297">
        <v>0.75</v>
      </c>
      <c r="AL166" s="297">
        <v>0.75</v>
      </c>
      <c r="AM166" s="297">
        <v>0.75</v>
      </c>
      <c r="AN166" s="297">
        <v>1</v>
      </c>
      <c r="AO166" s="297">
        <v>1</v>
      </c>
      <c r="AP166" s="297">
        <v>1</v>
      </c>
      <c r="AQ166" s="297">
        <v>1</v>
      </c>
      <c r="AR166" s="297">
        <v>1</v>
      </c>
      <c r="AS166" s="297">
        <v>1</v>
      </c>
      <c r="AT166" s="297">
        <v>1</v>
      </c>
      <c r="AU166" s="297">
        <v>1</v>
      </c>
      <c r="AV166" s="297">
        <v>1</v>
      </c>
      <c r="AW166" s="297">
        <v>1</v>
      </c>
      <c r="AX166" s="297">
        <v>1</v>
      </c>
      <c r="AY166" s="297">
        <v>1</v>
      </c>
      <c r="AZ166" s="297">
        <v>1</v>
      </c>
      <c r="BA166" s="297">
        <v>1</v>
      </c>
      <c r="BB166" s="297">
        <v>1</v>
      </c>
      <c r="BC166" s="297">
        <v>1</v>
      </c>
      <c r="BD166" s="297">
        <v>1</v>
      </c>
      <c r="BE166" s="297">
        <v>1</v>
      </c>
      <c r="BF166" s="297">
        <v>1</v>
      </c>
    </row>
    <row r="167" spans="3:58" ht="15" customHeight="1" x14ac:dyDescent="0.3">
      <c r="C167" s="295" t="s">
        <v>242</v>
      </c>
      <c r="E167" s="297">
        <v>0</v>
      </c>
      <c r="F167" s="297">
        <v>0</v>
      </c>
      <c r="G167" s="297">
        <v>0</v>
      </c>
      <c r="H167" s="297">
        <v>0</v>
      </c>
      <c r="I167" s="297">
        <v>0</v>
      </c>
      <c r="J167" s="297">
        <v>0</v>
      </c>
      <c r="K167" s="297">
        <v>0</v>
      </c>
      <c r="L167" s="297">
        <v>0</v>
      </c>
      <c r="M167" s="297">
        <v>0</v>
      </c>
      <c r="N167" s="297">
        <v>0</v>
      </c>
      <c r="O167" s="297">
        <v>0</v>
      </c>
      <c r="P167" s="297">
        <v>0</v>
      </c>
      <c r="Q167" s="297">
        <v>0</v>
      </c>
      <c r="R167" s="297">
        <v>0</v>
      </c>
      <c r="S167" s="297">
        <v>0</v>
      </c>
      <c r="T167" s="297">
        <v>0</v>
      </c>
      <c r="U167" s="297">
        <v>0</v>
      </c>
      <c r="V167" s="297">
        <v>0</v>
      </c>
      <c r="W167" s="297">
        <v>0</v>
      </c>
      <c r="X167" s="297">
        <v>0</v>
      </c>
      <c r="Y167" s="297">
        <v>0</v>
      </c>
      <c r="Z167" s="297">
        <v>0</v>
      </c>
      <c r="AA167" s="297">
        <v>0</v>
      </c>
      <c r="AB167" s="297">
        <v>0.04</v>
      </c>
      <c r="AC167" s="297">
        <v>0.21</v>
      </c>
      <c r="AD167" s="297">
        <v>0.36</v>
      </c>
      <c r="AE167" s="297">
        <v>0.61</v>
      </c>
      <c r="AF167" s="297">
        <v>0.84</v>
      </c>
      <c r="AG167" s="297">
        <v>0.84</v>
      </c>
      <c r="AH167" s="297">
        <v>0.84</v>
      </c>
      <c r="AI167" s="297">
        <v>0.84</v>
      </c>
      <c r="AJ167" s="297">
        <v>0.84</v>
      </c>
      <c r="AK167" s="297">
        <v>0.84</v>
      </c>
      <c r="AL167" s="297">
        <v>0.84</v>
      </c>
      <c r="AM167" s="297">
        <v>0.84</v>
      </c>
      <c r="AN167" s="297">
        <v>1</v>
      </c>
      <c r="AO167" s="297">
        <v>1</v>
      </c>
      <c r="AP167" s="297">
        <v>1</v>
      </c>
      <c r="AQ167" s="297">
        <v>1</v>
      </c>
      <c r="AR167" s="297">
        <v>1</v>
      </c>
      <c r="AS167" s="297">
        <v>1</v>
      </c>
      <c r="AT167" s="297">
        <v>1</v>
      </c>
      <c r="AU167" s="297">
        <v>1</v>
      </c>
      <c r="AV167" s="297">
        <v>1</v>
      </c>
      <c r="AW167" s="297">
        <v>1</v>
      </c>
      <c r="AX167" s="297">
        <v>1</v>
      </c>
      <c r="AY167" s="297">
        <v>1</v>
      </c>
      <c r="AZ167" s="297">
        <v>1</v>
      </c>
      <c r="BA167" s="297">
        <v>1</v>
      </c>
      <c r="BB167" s="297">
        <v>1</v>
      </c>
      <c r="BC167" s="297">
        <v>1</v>
      </c>
      <c r="BD167" s="297">
        <v>1</v>
      </c>
      <c r="BE167" s="297">
        <v>1</v>
      </c>
      <c r="BF167" s="297">
        <v>1</v>
      </c>
    </row>
    <row r="168" spans="3:58" ht="15" customHeight="1" x14ac:dyDescent="0.3">
      <c r="C168" s="295" t="s">
        <v>243</v>
      </c>
      <c r="E168" s="297">
        <v>0</v>
      </c>
      <c r="F168" s="297">
        <v>0</v>
      </c>
      <c r="G168" s="297">
        <v>0</v>
      </c>
      <c r="H168" s="297">
        <v>0</v>
      </c>
      <c r="I168" s="297">
        <v>0</v>
      </c>
      <c r="J168" s="297">
        <v>0</v>
      </c>
      <c r="K168" s="297">
        <v>0</v>
      </c>
      <c r="L168" s="297">
        <v>0</v>
      </c>
      <c r="M168" s="297">
        <v>0</v>
      </c>
      <c r="N168" s="297">
        <v>0</v>
      </c>
      <c r="O168" s="297">
        <v>0</v>
      </c>
      <c r="P168" s="297">
        <v>0</v>
      </c>
      <c r="Q168" s="297">
        <v>0</v>
      </c>
      <c r="R168" s="297">
        <v>0</v>
      </c>
      <c r="S168" s="297">
        <v>0</v>
      </c>
      <c r="T168" s="297">
        <v>0</v>
      </c>
      <c r="U168" s="297">
        <v>0</v>
      </c>
      <c r="V168" s="297">
        <v>0.04</v>
      </c>
      <c r="W168" s="297">
        <v>0.54</v>
      </c>
      <c r="X168" s="297">
        <v>0.72</v>
      </c>
      <c r="Y168" s="297">
        <v>0.75</v>
      </c>
      <c r="Z168" s="297">
        <v>0.75</v>
      </c>
      <c r="AA168" s="297">
        <v>0.75</v>
      </c>
      <c r="AB168" s="297">
        <v>0.75</v>
      </c>
      <c r="AC168" s="297">
        <v>0.75</v>
      </c>
      <c r="AD168" s="297">
        <v>0.75</v>
      </c>
      <c r="AE168" s="297">
        <v>0.75</v>
      </c>
      <c r="AF168" s="297">
        <v>0.75</v>
      </c>
      <c r="AG168" s="297">
        <v>0.75</v>
      </c>
      <c r="AH168" s="297">
        <v>0.75</v>
      </c>
      <c r="AI168" s="297">
        <v>0.75</v>
      </c>
      <c r="AJ168" s="297">
        <v>0.75</v>
      </c>
      <c r="AK168" s="297">
        <v>0.75</v>
      </c>
      <c r="AL168" s="297">
        <v>0.75</v>
      </c>
      <c r="AM168" s="297">
        <v>0.75</v>
      </c>
      <c r="AN168" s="297">
        <v>1</v>
      </c>
      <c r="AO168" s="297">
        <v>1</v>
      </c>
      <c r="AP168" s="297">
        <v>1</v>
      </c>
      <c r="AQ168" s="297">
        <v>1</v>
      </c>
      <c r="AR168" s="297">
        <v>1</v>
      </c>
      <c r="AS168" s="297">
        <v>1</v>
      </c>
      <c r="AT168" s="297">
        <v>1</v>
      </c>
      <c r="AU168" s="297">
        <v>1</v>
      </c>
      <c r="AV168" s="297">
        <v>1</v>
      </c>
      <c r="AW168" s="297">
        <v>1</v>
      </c>
      <c r="AX168" s="297">
        <v>1</v>
      </c>
      <c r="AY168" s="297">
        <v>1</v>
      </c>
      <c r="AZ168" s="297">
        <v>1</v>
      </c>
      <c r="BA168" s="297">
        <v>1</v>
      </c>
      <c r="BB168" s="297">
        <v>1</v>
      </c>
      <c r="BC168" s="297">
        <v>1</v>
      </c>
      <c r="BD168" s="297">
        <v>1</v>
      </c>
      <c r="BE168" s="297">
        <v>1</v>
      </c>
      <c r="BF168" s="297">
        <v>1</v>
      </c>
    </row>
    <row r="169" spans="3:58" ht="15" customHeight="1" x14ac:dyDescent="0.3">
      <c r="C169" s="295" t="s">
        <v>244</v>
      </c>
      <c r="E169" s="297">
        <v>0</v>
      </c>
      <c r="F169" s="297">
        <v>0</v>
      </c>
      <c r="G169" s="297">
        <v>0</v>
      </c>
      <c r="H169" s="297">
        <v>0</v>
      </c>
      <c r="I169" s="297">
        <v>0</v>
      </c>
      <c r="J169" s="297">
        <v>0</v>
      </c>
      <c r="K169" s="297">
        <v>0</v>
      </c>
      <c r="L169" s="297">
        <v>0</v>
      </c>
      <c r="M169" s="297">
        <v>0</v>
      </c>
      <c r="N169" s="297">
        <v>0</v>
      </c>
      <c r="O169" s="297">
        <v>0</v>
      </c>
      <c r="P169" s="297">
        <v>0</v>
      </c>
      <c r="Q169" s="297">
        <v>0</v>
      </c>
      <c r="R169" s="297">
        <v>0</v>
      </c>
      <c r="S169" s="297">
        <v>0</v>
      </c>
      <c r="T169" s="297">
        <v>0</v>
      </c>
      <c r="U169" s="297">
        <v>0</v>
      </c>
      <c r="V169" s="297">
        <v>0</v>
      </c>
      <c r="W169" s="297">
        <v>0</v>
      </c>
      <c r="X169" s="297">
        <v>0</v>
      </c>
      <c r="Y169" s="297">
        <v>0</v>
      </c>
      <c r="Z169" s="297">
        <v>0</v>
      </c>
      <c r="AA169" s="297">
        <v>0</v>
      </c>
      <c r="AB169" s="297">
        <v>0</v>
      </c>
      <c r="AC169" s="297">
        <v>0</v>
      </c>
      <c r="AD169" s="297">
        <v>0</v>
      </c>
      <c r="AE169" s="297">
        <v>0.28999999999999998</v>
      </c>
      <c r="AF169" s="297">
        <v>0.74</v>
      </c>
      <c r="AG169" s="297">
        <v>1</v>
      </c>
      <c r="AH169" s="297">
        <v>1</v>
      </c>
      <c r="AI169" s="297">
        <v>1</v>
      </c>
      <c r="AJ169" s="297">
        <v>1</v>
      </c>
      <c r="AK169" s="297">
        <v>1</v>
      </c>
      <c r="AL169" s="297">
        <v>1</v>
      </c>
      <c r="AM169" s="297">
        <v>1</v>
      </c>
      <c r="AN169" s="297">
        <v>1</v>
      </c>
      <c r="AO169" s="297">
        <v>1</v>
      </c>
      <c r="AP169" s="297">
        <v>1</v>
      </c>
      <c r="AQ169" s="297">
        <v>1</v>
      </c>
      <c r="AR169" s="297">
        <v>1</v>
      </c>
      <c r="AS169" s="297">
        <v>1</v>
      </c>
      <c r="AT169" s="297">
        <v>1</v>
      </c>
      <c r="AU169" s="297">
        <v>1</v>
      </c>
      <c r="AV169" s="297">
        <v>1</v>
      </c>
      <c r="AW169" s="297">
        <v>1</v>
      </c>
      <c r="AX169" s="297">
        <v>1</v>
      </c>
      <c r="AY169" s="297">
        <v>1</v>
      </c>
      <c r="AZ169" s="297">
        <v>1</v>
      </c>
      <c r="BA169" s="297">
        <v>1</v>
      </c>
      <c r="BB169" s="297">
        <v>1</v>
      </c>
      <c r="BC169" s="297">
        <v>1</v>
      </c>
      <c r="BD169" s="297">
        <v>1</v>
      </c>
      <c r="BE169" s="297">
        <v>1</v>
      </c>
      <c r="BF169" s="297">
        <v>1</v>
      </c>
    </row>
    <row r="170" spans="3:58" ht="15" customHeight="1" x14ac:dyDescent="0.3">
      <c r="C170" s="295" t="s">
        <v>258</v>
      </c>
      <c r="E170" s="297">
        <v>0</v>
      </c>
      <c r="F170" s="297">
        <v>0</v>
      </c>
      <c r="G170" s="297">
        <v>0</v>
      </c>
      <c r="H170" s="297">
        <v>0</v>
      </c>
      <c r="I170" s="297">
        <v>0</v>
      </c>
      <c r="J170" s="297">
        <v>0</v>
      </c>
      <c r="K170" s="297">
        <v>0</v>
      </c>
      <c r="L170" s="297">
        <v>0</v>
      </c>
      <c r="M170" s="297">
        <v>0</v>
      </c>
      <c r="N170" s="297">
        <v>0</v>
      </c>
      <c r="O170" s="297">
        <v>0</v>
      </c>
      <c r="P170" s="297">
        <v>0</v>
      </c>
      <c r="Q170" s="297">
        <v>0</v>
      </c>
      <c r="R170" s="297">
        <v>0</v>
      </c>
      <c r="S170" s="297">
        <v>0</v>
      </c>
      <c r="T170" s="297">
        <v>0</v>
      </c>
      <c r="U170" s="297">
        <v>0</v>
      </c>
      <c r="V170" s="297">
        <v>0</v>
      </c>
      <c r="W170" s="297">
        <v>0</v>
      </c>
      <c r="X170" s="297">
        <v>0</v>
      </c>
      <c r="Y170" s="297">
        <v>0</v>
      </c>
      <c r="Z170" s="297">
        <v>0</v>
      </c>
      <c r="AA170" s="297">
        <v>0</v>
      </c>
      <c r="AB170" s="297">
        <v>0.12</v>
      </c>
      <c r="AC170" s="297">
        <v>0.43</v>
      </c>
      <c r="AD170" s="297">
        <v>0.61</v>
      </c>
      <c r="AE170" s="297">
        <v>0.77</v>
      </c>
      <c r="AF170" s="297">
        <v>0.94</v>
      </c>
      <c r="AG170" s="297">
        <v>1</v>
      </c>
      <c r="AH170" s="297">
        <v>1</v>
      </c>
      <c r="AI170" s="297">
        <v>1</v>
      </c>
      <c r="AJ170" s="297">
        <v>1</v>
      </c>
      <c r="AK170" s="297">
        <v>1</v>
      </c>
      <c r="AL170" s="297">
        <v>1</v>
      </c>
      <c r="AM170" s="297">
        <v>1</v>
      </c>
      <c r="AN170" s="297">
        <v>1</v>
      </c>
      <c r="AO170" s="297">
        <v>1</v>
      </c>
      <c r="AP170" s="297">
        <v>1</v>
      </c>
      <c r="AQ170" s="297">
        <v>1</v>
      </c>
      <c r="AR170" s="297">
        <v>1</v>
      </c>
      <c r="AS170" s="297">
        <v>1</v>
      </c>
      <c r="AT170" s="297">
        <v>1</v>
      </c>
      <c r="AU170" s="297">
        <v>1</v>
      </c>
      <c r="AV170" s="297">
        <v>1</v>
      </c>
      <c r="AW170" s="297">
        <v>1</v>
      </c>
      <c r="AX170" s="297">
        <v>1</v>
      </c>
      <c r="AY170" s="297">
        <v>1</v>
      </c>
      <c r="AZ170" s="297">
        <v>1</v>
      </c>
      <c r="BA170" s="297">
        <v>1</v>
      </c>
      <c r="BB170" s="297">
        <v>1</v>
      </c>
      <c r="BC170" s="297">
        <v>1</v>
      </c>
      <c r="BD170" s="297">
        <v>1</v>
      </c>
      <c r="BE170" s="297">
        <v>1</v>
      </c>
      <c r="BF170" s="297">
        <v>1</v>
      </c>
    </row>
    <row r="171" spans="3:58" ht="15" customHeight="1" x14ac:dyDescent="0.3">
      <c r="C171" s="295" t="s">
        <v>246</v>
      </c>
      <c r="E171" s="297">
        <v>0</v>
      </c>
      <c r="F171" s="297">
        <v>0</v>
      </c>
      <c r="G171" s="297">
        <v>0</v>
      </c>
      <c r="H171" s="297">
        <v>0</v>
      </c>
      <c r="I171" s="297">
        <v>0</v>
      </c>
      <c r="J171" s="297">
        <v>0</v>
      </c>
      <c r="K171" s="297">
        <v>0</v>
      </c>
      <c r="L171" s="297">
        <v>0</v>
      </c>
      <c r="M171" s="297">
        <v>0</v>
      </c>
      <c r="N171" s="297">
        <v>0</v>
      </c>
      <c r="O171" s="297">
        <v>0</v>
      </c>
      <c r="P171" s="297">
        <v>0</v>
      </c>
      <c r="Q171" s="297">
        <v>0</v>
      </c>
      <c r="R171" s="297">
        <v>0</v>
      </c>
      <c r="S171" s="297">
        <v>0</v>
      </c>
      <c r="T171" s="297">
        <v>0</v>
      </c>
      <c r="U171" s="297">
        <v>0</v>
      </c>
      <c r="V171" s="297">
        <v>0</v>
      </c>
      <c r="W171" s="297">
        <v>0</v>
      </c>
      <c r="X171" s="297">
        <v>0</v>
      </c>
      <c r="Y171" s="297">
        <v>0</v>
      </c>
      <c r="Z171" s="297">
        <v>0</v>
      </c>
      <c r="AA171" s="297">
        <v>0</v>
      </c>
      <c r="AB171" s="297">
        <v>0</v>
      </c>
      <c r="AC171" s="297">
        <v>0</v>
      </c>
      <c r="AD171" s="297">
        <v>0</v>
      </c>
      <c r="AE171" s="297">
        <v>0</v>
      </c>
      <c r="AF171" s="297">
        <v>0</v>
      </c>
      <c r="AG171" s="297">
        <v>0.11</v>
      </c>
      <c r="AH171" s="297">
        <v>0.56999999999999995</v>
      </c>
      <c r="AI171" s="297">
        <v>0.83</v>
      </c>
      <c r="AJ171" s="297">
        <v>1</v>
      </c>
      <c r="AK171" s="297">
        <v>1</v>
      </c>
      <c r="AL171" s="297">
        <v>1</v>
      </c>
      <c r="AM171" s="297">
        <v>1</v>
      </c>
      <c r="AN171" s="297">
        <v>1</v>
      </c>
      <c r="AO171" s="297">
        <v>1</v>
      </c>
      <c r="AP171" s="297">
        <v>1</v>
      </c>
      <c r="AQ171" s="297">
        <v>1</v>
      </c>
      <c r="AR171" s="297">
        <v>1</v>
      </c>
      <c r="AS171" s="297">
        <v>1</v>
      </c>
      <c r="AT171" s="297">
        <v>1</v>
      </c>
      <c r="AU171" s="297">
        <v>1</v>
      </c>
      <c r="AV171" s="297">
        <v>1</v>
      </c>
      <c r="AW171" s="297">
        <v>1</v>
      </c>
      <c r="AX171" s="297">
        <v>1</v>
      </c>
      <c r="AY171" s="297">
        <v>1</v>
      </c>
      <c r="AZ171" s="297">
        <v>1</v>
      </c>
      <c r="BA171" s="297">
        <v>1</v>
      </c>
      <c r="BB171" s="297">
        <v>1</v>
      </c>
      <c r="BC171" s="297">
        <v>1</v>
      </c>
      <c r="BD171" s="297">
        <v>1</v>
      </c>
      <c r="BE171" s="297">
        <v>1</v>
      </c>
      <c r="BF171" s="297">
        <v>1</v>
      </c>
    </row>
    <row r="172" spans="3:58" ht="15" customHeight="1" x14ac:dyDescent="0.3">
      <c r="C172" s="295" t="s">
        <v>247</v>
      </c>
      <c r="E172" s="297">
        <v>0</v>
      </c>
      <c r="F172" s="297">
        <v>0</v>
      </c>
      <c r="G172" s="297">
        <v>0</v>
      </c>
      <c r="H172" s="297">
        <v>0</v>
      </c>
      <c r="I172" s="297">
        <v>0</v>
      </c>
      <c r="J172" s="297">
        <v>0</v>
      </c>
      <c r="K172" s="297">
        <v>0</v>
      </c>
      <c r="L172" s="297">
        <v>0</v>
      </c>
      <c r="M172" s="297">
        <v>0</v>
      </c>
      <c r="N172" s="297">
        <v>0</v>
      </c>
      <c r="O172" s="297">
        <v>0</v>
      </c>
      <c r="P172" s="297">
        <v>0</v>
      </c>
      <c r="Q172" s="297">
        <v>0</v>
      </c>
      <c r="R172" s="297">
        <v>0</v>
      </c>
      <c r="S172" s="297">
        <v>0</v>
      </c>
      <c r="T172" s="297">
        <v>0</v>
      </c>
      <c r="U172" s="297">
        <v>0</v>
      </c>
      <c r="V172" s="297">
        <v>0</v>
      </c>
      <c r="W172" s="297">
        <v>0</v>
      </c>
      <c r="X172" s="297">
        <v>0</v>
      </c>
      <c r="Y172" s="297">
        <v>0</v>
      </c>
      <c r="Z172" s="297">
        <v>0</v>
      </c>
      <c r="AA172" s="297">
        <v>0</v>
      </c>
      <c r="AB172" s="297">
        <v>0</v>
      </c>
      <c r="AC172" s="297">
        <v>0</v>
      </c>
      <c r="AD172" s="297">
        <v>0</v>
      </c>
      <c r="AE172" s="297">
        <v>0</v>
      </c>
      <c r="AF172" s="297">
        <v>0.22</v>
      </c>
      <c r="AG172" s="297">
        <v>1</v>
      </c>
      <c r="AH172" s="297">
        <v>1</v>
      </c>
      <c r="AI172" s="297">
        <v>1</v>
      </c>
      <c r="AJ172" s="297">
        <v>1</v>
      </c>
      <c r="AK172" s="297">
        <v>1</v>
      </c>
      <c r="AL172" s="297">
        <v>1</v>
      </c>
      <c r="AM172" s="297">
        <v>1</v>
      </c>
      <c r="AN172" s="297">
        <v>1</v>
      </c>
      <c r="AO172" s="297">
        <v>1</v>
      </c>
      <c r="AP172" s="297">
        <v>1</v>
      </c>
      <c r="AQ172" s="297">
        <v>1</v>
      </c>
      <c r="AR172" s="297">
        <v>1</v>
      </c>
      <c r="AS172" s="297">
        <v>1</v>
      </c>
      <c r="AT172" s="297">
        <v>1</v>
      </c>
      <c r="AU172" s="297">
        <v>1</v>
      </c>
      <c r="AV172" s="297">
        <v>1</v>
      </c>
      <c r="AW172" s="297">
        <v>1</v>
      </c>
      <c r="AX172" s="297">
        <v>1</v>
      </c>
      <c r="AY172" s="297">
        <v>1</v>
      </c>
      <c r="AZ172" s="297">
        <v>1</v>
      </c>
      <c r="BA172" s="297">
        <v>1</v>
      </c>
      <c r="BB172" s="297">
        <v>1</v>
      </c>
      <c r="BC172" s="297">
        <v>1</v>
      </c>
      <c r="BD172" s="297">
        <v>1</v>
      </c>
      <c r="BE172" s="297">
        <v>1</v>
      </c>
      <c r="BF172" s="297">
        <v>1</v>
      </c>
    </row>
    <row r="173" spans="3:58" ht="15" customHeight="1" x14ac:dyDescent="0.3">
      <c r="C173" s="295" t="s">
        <v>248</v>
      </c>
      <c r="E173" s="297">
        <v>0</v>
      </c>
      <c r="F173" s="297">
        <v>0</v>
      </c>
      <c r="G173" s="297">
        <v>0</v>
      </c>
      <c r="H173" s="297">
        <v>0</v>
      </c>
      <c r="I173" s="297">
        <v>0</v>
      </c>
      <c r="J173" s="297">
        <v>0</v>
      </c>
      <c r="K173" s="297">
        <v>0</v>
      </c>
      <c r="L173" s="297">
        <v>0</v>
      </c>
      <c r="M173" s="297">
        <v>0</v>
      </c>
      <c r="N173" s="297">
        <v>0</v>
      </c>
      <c r="O173" s="297">
        <v>0</v>
      </c>
      <c r="P173" s="297">
        <v>0</v>
      </c>
      <c r="Q173" s="297">
        <v>0</v>
      </c>
      <c r="R173" s="297">
        <v>0</v>
      </c>
      <c r="S173" s="297">
        <v>0</v>
      </c>
      <c r="T173" s="297">
        <v>0</v>
      </c>
      <c r="U173" s="297">
        <v>0</v>
      </c>
      <c r="V173" s="297">
        <v>0</v>
      </c>
      <c r="W173" s="297">
        <v>0</v>
      </c>
      <c r="X173" s="297">
        <v>0</v>
      </c>
      <c r="Y173" s="297">
        <v>0</v>
      </c>
      <c r="Z173" s="297">
        <v>0</v>
      </c>
      <c r="AA173" s="297">
        <v>0</v>
      </c>
      <c r="AB173" s="297">
        <v>0</v>
      </c>
      <c r="AC173" s="297">
        <v>0</v>
      </c>
      <c r="AD173" s="297">
        <v>0</v>
      </c>
      <c r="AE173" s="297">
        <v>0</v>
      </c>
      <c r="AF173" s="297">
        <v>0</v>
      </c>
      <c r="AG173" s="297">
        <v>0</v>
      </c>
      <c r="AH173" s="297">
        <v>0</v>
      </c>
      <c r="AI173" s="297">
        <v>0</v>
      </c>
      <c r="AJ173" s="297">
        <v>0</v>
      </c>
      <c r="AK173" s="297">
        <v>0.03</v>
      </c>
      <c r="AL173" s="297">
        <v>0.75</v>
      </c>
      <c r="AM173" s="297">
        <v>1</v>
      </c>
      <c r="AN173" s="297">
        <v>1</v>
      </c>
      <c r="AO173" s="297">
        <v>1</v>
      </c>
      <c r="AP173" s="297">
        <v>1</v>
      </c>
      <c r="AQ173" s="297">
        <v>1</v>
      </c>
      <c r="AR173" s="297">
        <v>1</v>
      </c>
      <c r="AS173" s="297">
        <v>1</v>
      </c>
      <c r="AT173" s="297">
        <v>1</v>
      </c>
      <c r="AU173" s="297">
        <v>1</v>
      </c>
      <c r="AV173" s="297">
        <v>1</v>
      </c>
      <c r="AW173" s="297">
        <v>1</v>
      </c>
      <c r="AX173" s="297">
        <v>1</v>
      </c>
      <c r="AY173" s="297">
        <v>1</v>
      </c>
      <c r="AZ173" s="297">
        <v>1</v>
      </c>
      <c r="BA173" s="297">
        <v>1</v>
      </c>
      <c r="BB173" s="297">
        <v>1</v>
      </c>
      <c r="BC173" s="297">
        <v>1</v>
      </c>
      <c r="BD173" s="297">
        <v>1</v>
      </c>
      <c r="BE173" s="297">
        <v>1</v>
      </c>
      <c r="BF173" s="297">
        <v>1</v>
      </c>
    </row>
    <row r="174" spans="3:58" ht="15" customHeight="1" x14ac:dyDescent="0.3">
      <c r="C174" s="295" t="s">
        <v>249</v>
      </c>
      <c r="E174" s="297">
        <v>0</v>
      </c>
      <c r="F174" s="297">
        <v>0</v>
      </c>
      <c r="G174" s="297">
        <v>0</v>
      </c>
      <c r="H174" s="297">
        <v>0</v>
      </c>
      <c r="I174" s="297">
        <v>0</v>
      </c>
      <c r="J174" s="297">
        <v>0</v>
      </c>
      <c r="K174" s="297">
        <v>0</v>
      </c>
      <c r="L174" s="297">
        <v>0</v>
      </c>
      <c r="M174" s="297">
        <v>0</v>
      </c>
      <c r="N174" s="297">
        <v>0</v>
      </c>
      <c r="O174" s="297">
        <v>0</v>
      </c>
      <c r="P174" s="297">
        <v>0</v>
      </c>
      <c r="Q174" s="297">
        <v>0</v>
      </c>
      <c r="R174" s="297">
        <v>0</v>
      </c>
      <c r="S174" s="297">
        <v>0</v>
      </c>
      <c r="T174" s="297">
        <v>0</v>
      </c>
      <c r="U174" s="297">
        <v>0</v>
      </c>
      <c r="V174" s="297">
        <v>0</v>
      </c>
      <c r="W174" s="297">
        <v>0</v>
      </c>
      <c r="X174" s="297">
        <v>0</v>
      </c>
      <c r="Y174" s="297">
        <v>0</v>
      </c>
      <c r="Z174" s="297">
        <v>0</v>
      </c>
      <c r="AA174" s="297">
        <v>0</v>
      </c>
      <c r="AB174" s="297">
        <v>0</v>
      </c>
      <c r="AC174" s="297">
        <v>0</v>
      </c>
      <c r="AD174" s="297">
        <v>0</v>
      </c>
      <c r="AE174" s="297">
        <v>0</v>
      </c>
      <c r="AF174" s="297">
        <v>0</v>
      </c>
      <c r="AG174" s="297">
        <v>0</v>
      </c>
      <c r="AH174" s="297">
        <v>0</v>
      </c>
      <c r="AI174" s="297">
        <v>0</v>
      </c>
      <c r="AJ174" s="297">
        <v>0.11</v>
      </c>
      <c r="AK174" s="297">
        <v>0.44</v>
      </c>
      <c r="AL174" s="297">
        <v>0.76</v>
      </c>
      <c r="AM174" s="297">
        <v>1</v>
      </c>
      <c r="AN174" s="297">
        <v>1</v>
      </c>
      <c r="AO174" s="297">
        <v>1</v>
      </c>
      <c r="AP174" s="297">
        <v>1</v>
      </c>
      <c r="AQ174" s="297">
        <v>1</v>
      </c>
      <c r="AR174" s="297">
        <v>1</v>
      </c>
      <c r="AS174" s="297">
        <v>1</v>
      </c>
      <c r="AT174" s="297">
        <v>1</v>
      </c>
      <c r="AU174" s="297">
        <v>1</v>
      </c>
      <c r="AV174" s="297">
        <v>1</v>
      </c>
      <c r="AW174" s="297">
        <v>1</v>
      </c>
      <c r="AX174" s="297">
        <v>1</v>
      </c>
      <c r="AY174" s="297">
        <v>1</v>
      </c>
      <c r="AZ174" s="297">
        <v>1</v>
      </c>
      <c r="BA174" s="297">
        <v>1</v>
      </c>
      <c r="BB174" s="297">
        <v>1</v>
      </c>
      <c r="BC174" s="297">
        <v>1</v>
      </c>
      <c r="BD174" s="297">
        <v>1</v>
      </c>
      <c r="BE174" s="297">
        <v>1</v>
      </c>
      <c r="BF174" s="297">
        <v>1</v>
      </c>
    </row>
    <row r="175" spans="3:58" ht="15" customHeight="1" x14ac:dyDescent="0.3">
      <c r="C175" s="295" t="s">
        <v>250</v>
      </c>
      <c r="E175" s="297">
        <v>0</v>
      </c>
      <c r="F175" s="297">
        <v>0</v>
      </c>
      <c r="G175" s="297">
        <v>0</v>
      </c>
      <c r="H175" s="297">
        <v>0</v>
      </c>
      <c r="I175" s="297">
        <v>0</v>
      </c>
      <c r="J175" s="297">
        <v>0</v>
      </c>
      <c r="K175" s="297">
        <v>0</v>
      </c>
      <c r="L175" s="297">
        <v>0</v>
      </c>
      <c r="M175" s="297">
        <v>0</v>
      </c>
      <c r="N175" s="297">
        <v>0</v>
      </c>
      <c r="O175" s="297">
        <v>0</v>
      </c>
      <c r="P175" s="297">
        <v>0</v>
      </c>
      <c r="Q175" s="297">
        <v>0</v>
      </c>
      <c r="R175" s="297">
        <v>0</v>
      </c>
      <c r="S175" s="297">
        <v>0</v>
      </c>
      <c r="T175" s="297">
        <v>0</v>
      </c>
      <c r="U175" s="297">
        <v>0</v>
      </c>
      <c r="V175" s="297">
        <v>0</v>
      </c>
      <c r="W175" s="297">
        <v>0</v>
      </c>
      <c r="X175" s="297">
        <v>0</v>
      </c>
      <c r="Y175" s="297">
        <v>0</v>
      </c>
      <c r="Z175" s="297">
        <v>0</v>
      </c>
      <c r="AA175" s="297">
        <v>0</v>
      </c>
      <c r="AB175" s="297">
        <v>0</v>
      </c>
      <c r="AC175" s="297">
        <v>0</v>
      </c>
      <c r="AD175" s="297">
        <v>0</v>
      </c>
      <c r="AE175" s="297">
        <v>0</v>
      </c>
      <c r="AF175" s="297">
        <v>0</v>
      </c>
      <c r="AG175" s="297">
        <v>0</v>
      </c>
      <c r="AH175" s="297">
        <v>0</v>
      </c>
      <c r="AI175" s="297">
        <v>0</v>
      </c>
      <c r="AJ175" s="297">
        <v>0</v>
      </c>
      <c r="AK175" s="297">
        <v>0</v>
      </c>
      <c r="AL175" s="297">
        <v>0</v>
      </c>
      <c r="AM175" s="297">
        <v>0.18</v>
      </c>
      <c r="AN175" s="297">
        <v>1</v>
      </c>
      <c r="AO175" s="297">
        <v>1</v>
      </c>
      <c r="AP175" s="297">
        <v>1</v>
      </c>
      <c r="AQ175" s="297">
        <v>1</v>
      </c>
      <c r="AR175" s="297">
        <v>1</v>
      </c>
      <c r="AS175" s="297">
        <v>1</v>
      </c>
      <c r="AT175" s="297">
        <v>1</v>
      </c>
      <c r="AU175" s="297">
        <v>1</v>
      </c>
      <c r="AV175" s="297">
        <v>1</v>
      </c>
      <c r="AW175" s="297">
        <v>1</v>
      </c>
      <c r="AX175" s="297">
        <v>1</v>
      </c>
      <c r="AY175" s="297">
        <v>1</v>
      </c>
      <c r="AZ175" s="297">
        <v>1</v>
      </c>
      <c r="BA175" s="297">
        <v>1</v>
      </c>
      <c r="BB175" s="297">
        <v>1</v>
      </c>
      <c r="BC175" s="297">
        <v>1</v>
      </c>
      <c r="BD175" s="297">
        <v>1</v>
      </c>
      <c r="BE175" s="297">
        <v>1</v>
      </c>
      <c r="BF175" s="297">
        <v>1</v>
      </c>
    </row>
    <row r="176" spans="3:58" ht="15" customHeight="1" x14ac:dyDescent="0.3">
      <c r="C176" s="287" t="s">
        <v>259</v>
      </c>
      <c r="E176" s="288">
        <v>0</v>
      </c>
      <c r="F176" s="288">
        <v>0</v>
      </c>
      <c r="G176" s="288">
        <v>0</v>
      </c>
      <c r="H176" s="288">
        <v>0</v>
      </c>
      <c r="I176" s="288">
        <v>0</v>
      </c>
      <c r="J176" s="288">
        <v>0</v>
      </c>
      <c r="K176" s="288">
        <v>0</v>
      </c>
      <c r="L176" s="288">
        <v>0</v>
      </c>
      <c r="M176" s="288">
        <v>0</v>
      </c>
      <c r="N176" s="288">
        <v>0</v>
      </c>
      <c r="O176" s="288">
        <v>0</v>
      </c>
      <c r="P176" s="288">
        <v>0</v>
      </c>
      <c r="Q176" s="288">
        <v>0</v>
      </c>
      <c r="R176" s="288">
        <v>0</v>
      </c>
      <c r="S176" s="288">
        <v>0</v>
      </c>
      <c r="T176" s="288">
        <v>0.06</v>
      </c>
      <c r="U176" s="288">
        <v>0.12</v>
      </c>
      <c r="V176" s="288">
        <v>0.17</v>
      </c>
      <c r="W176" s="288">
        <v>0.21</v>
      </c>
      <c r="X176" s="288">
        <v>0.23</v>
      </c>
      <c r="Y176" s="288">
        <v>0.25</v>
      </c>
      <c r="Z176" s="288">
        <v>0.27</v>
      </c>
      <c r="AA176" s="288">
        <v>0.3</v>
      </c>
      <c r="AB176" s="288">
        <v>0.34</v>
      </c>
      <c r="AC176" s="288">
        <v>0.38</v>
      </c>
      <c r="AD176" s="288">
        <v>0.42</v>
      </c>
      <c r="AE176" s="288">
        <v>0.48</v>
      </c>
      <c r="AF176" s="288">
        <v>0.54</v>
      </c>
      <c r="AG176" s="288">
        <v>0.56999999999999995</v>
      </c>
      <c r="AH176" s="288">
        <v>0.61</v>
      </c>
      <c r="AI176" s="288">
        <v>0.63</v>
      </c>
      <c r="AJ176" s="288">
        <v>0.65</v>
      </c>
      <c r="AK176" s="288">
        <v>0.67</v>
      </c>
      <c r="AL176" s="288">
        <v>0.68</v>
      </c>
      <c r="AM176" s="288">
        <v>0.69</v>
      </c>
      <c r="AN176" s="288">
        <v>0.7</v>
      </c>
      <c r="AO176" s="288">
        <v>0.73</v>
      </c>
      <c r="AP176" s="288">
        <v>0.81</v>
      </c>
      <c r="AQ176" s="288">
        <v>0.85</v>
      </c>
      <c r="AR176" s="288">
        <v>0.98</v>
      </c>
      <c r="AS176" s="288">
        <v>1</v>
      </c>
      <c r="AT176" s="288">
        <v>1</v>
      </c>
      <c r="AU176" s="288">
        <v>1</v>
      </c>
      <c r="AV176" s="288">
        <v>1</v>
      </c>
      <c r="AW176" s="288">
        <v>1</v>
      </c>
      <c r="AX176" s="288">
        <v>1</v>
      </c>
      <c r="AY176" s="288">
        <v>1</v>
      </c>
      <c r="AZ176" s="288">
        <v>1</v>
      </c>
      <c r="BA176" s="288">
        <v>1</v>
      </c>
      <c r="BB176" s="288">
        <v>1</v>
      </c>
      <c r="BC176" s="288">
        <v>1</v>
      </c>
      <c r="BD176" s="288">
        <v>1</v>
      </c>
      <c r="BE176" s="288">
        <v>1</v>
      </c>
      <c r="BF176" s="288">
        <v>1</v>
      </c>
    </row>
    <row r="177" spans="3:58" ht="15" customHeight="1" x14ac:dyDescent="0.3">
      <c r="C177" s="295" t="s">
        <v>237</v>
      </c>
      <c r="E177" s="297">
        <v>0</v>
      </c>
      <c r="F177" s="297">
        <v>0</v>
      </c>
      <c r="G177" s="297">
        <v>0</v>
      </c>
      <c r="H177" s="297">
        <v>0</v>
      </c>
      <c r="I177" s="297">
        <v>0</v>
      </c>
      <c r="J177" s="297">
        <v>0</v>
      </c>
      <c r="K177" s="297">
        <v>0</v>
      </c>
      <c r="L177" s="297">
        <v>0</v>
      </c>
      <c r="M177" s="297">
        <v>0</v>
      </c>
      <c r="N177" s="297">
        <v>0</v>
      </c>
      <c r="O177" s="297">
        <v>0</v>
      </c>
      <c r="P177" s="297">
        <v>0</v>
      </c>
      <c r="Q177" s="297">
        <v>0</v>
      </c>
      <c r="R177" s="297">
        <v>0</v>
      </c>
      <c r="S177" s="297">
        <v>0</v>
      </c>
      <c r="T177" s="297">
        <v>0</v>
      </c>
      <c r="U177" s="297">
        <v>0.73</v>
      </c>
      <c r="V177" s="297">
        <v>1</v>
      </c>
      <c r="W177" s="297">
        <v>1</v>
      </c>
      <c r="X177" s="297">
        <v>1</v>
      </c>
      <c r="Y177" s="297">
        <v>1</v>
      </c>
      <c r="Z177" s="297">
        <v>1</v>
      </c>
      <c r="AA177" s="297">
        <v>1</v>
      </c>
      <c r="AB177" s="297">
        <v>1</v>
      </c>
      <c r="AC177" s="297">
        <v>1</v>
      </c>
      <c r="AD177" s="297">
        <v>1</v>
      </c>
      <c r="AE177" s="297">
        <v>1</v>
      </c>
      <c r="AF177" s="297">
        <v>1</v>
      </c>
      <c r="AG177" s="297">
        <v>1</v>
      </c>
      <c r="AH177" s="297">
        <v>1</v>
      </c>
      <c r="AI177" s="297">
        <v>1</v>
      </c>
      <c r="AJ177" s="297">
        <v>1</v>
      </c>
      <c r="AK177" s="297">
        <v>1</v>
      </c>
      <c r="AL177" s="297">
        <v>1</v>
      </c>
      <c r="AM177" s="297">
        <v>1</v>
      </c>
      <c r="AN177" s="297">
        <v>1</v>
      </c>
      <c r="AO177" s="297">
        <v>1</v>
      </c>
      <c r="AP177" s="297">
        <v>1</v>
      </c>
      <c r="AQ177" s="297">
        <v>1</v>
      </c>
      <c r="AR177" s="297">
        <v>1</v>
      </c>
      <c r="AS177" s="297">
        <v>1</v>
      </c>
      <c r="AT177" s="297">
        <v>1</v>
      </c>
      <c r="AU177" s="297">
        <v>1</v>
      </c>
      <c r="AV177" s="297">
        <v>1</v>
      </c>
      <c r="AW177" s="297">
        <v>1</v>
      </c>
      <c r="AX177" s="297">
        <v>1</v>
      </c>
      <c r="AY177" s="297">
        <v>1</v>
      </c>
      <c r="AZ177" s="297">
        <v>1</v>
      </c>
      <c r="BA177" s="297">
        <v>1</v>
      </c>
      <c r="BB177" s="297">
        <v>1</v>
      </c>
      <c r="BC177" s="297">
        <v>1</v>
      </c>
      <c r="BD177" s="297">
        <v>1</v>
      </c>
      <c r="BE177" s="297">
        <v>1</v>
      </c>
      <c r="BF177" s="297">
        <v>1</v>
      </c>
    </row>
    <row r="178" spans="3:58" ht="15" customHeight="1" x14ac:dyDescent="0.3">
      <c r="C178" s="295" t="s">
        <v>254</v>
      </c>
      <c r="E178" s="297">
        <v>0</v>
      </c>
      <c r="F178" s="297">
        <v>0</v>
      </c>
      <c r="G178" s="297">
        <v>0</v>
      </c>
      <c r="H178" s="297">
        <v>0</v>
      </c>
      <c r="I178" s="297">
        <v>0</v>
      </c>
      <c r="J178" s="297">
        <v>0</v>
      </c>
      <c r="K178" s="297">
        <v>0</v>
      </c>
      <c r="L178" s="297">
        <v>0</v>
      </c>
      <c r="M178" s="297">
        <v>0</v>
      </c>
      <c r="N178" s="297">
        <v>0</v>
      </c>
      <c r="O178" s="297">
        <v>0</v>
      </c>
      <c r="P178" s="297">
        <v>0</v>
      </c>
      <c r="Q178" s="297">
        <v>0</v>
      </c>
      <c r="R178" s="297">
        <v>0</v>
      </c>
      <c r="S178" s="297">
        <v>0</v>
      </c>
      <c r="T178" s="297">
        <v>0</v>
      </c>
      <c r="U178" s="297">
        <v>0</v>
      </c>
      <c r="V178" s="297">
        <v>0.35</v>
      </c>
      <c r="W178" s="297">
        <v>1</v>
      </c>
      <c r="X178" s="297">
        <v>1</v>
      </c>
      <c r="Y178" s="297">
        <v>1</v>
      </c>
      <c r="Z178" s="297">
        <v>1</v>
      </c>
      <c r="AA178" s="297">
        <v>1</v>
      </c>
      <c r="AB178" s="297">
        <v>1</v>
      </c>
      <c r="AC178" s="297">
        <v>1</v>
      </c>
      <c r="AD178" s="297">
        <v>1</v>
      </c>
      <c r="AE178" s="297">
        <v>1</v>
      </c>
      <c r="AF178" s="297">
        <v>1</v>
      </c>
      <c r="AG178" s="297">
        <v>1</v>
      </c>
      <c r="AH178" s="297">
        <v>1</v>
      </c>
      <c r="AI178" s="297">
        <v>1</v>
      </c>
      <c r="AJ178" s="297">
        <v>1</v>
      </c>
      <c r="AK178" s="297">
        <v>1</v>
      </c>
      <c r="AL178" s="297">
        <v>1</v>
      </c>
      <c r="AM178" s="297">
        <v>1</v>
      </c>
      <c r="AN178" s="297">
        <v>1</v>
      </c>
      <c r="AO178" s="297">
        <v>1</v>
      </c>
      <c r="AP178" s="297">
        <v>1</v>
      </c>
      <c r="AQ178" s="297">
        <v>1</v>
      </c>
      <c r="AR178" s="297">
        <v>1</v>
      </c>
      <c r="AS178" s="297">
        <v>1</v>
      </c>
      <c r="AT178" s="297">
        <v>1</v>
      </c>
      <c r="AU178" s="297">
        <v>1</v>
      </c>
      <c r="AV178" s="297">
        <v>1</v>
      </c>
      <c r="AW178" s="297">
        <v>1</v>
      </c>
      <c r="AX178" s="297">
        <v>1</v>
      </c>
      <c r="AY178" s="297">
        <v>1</v>
      </c>
      <c r="AZ178" s="297">
        <v>1</v>
      </c>
      <c r="BA178" s="297">
        <v>1</v>
      </c>
      <c r="BB178" s="297">
        <v>1</v>
      </c>
      <c r="BC178" s="297">
        <v>1</v>
      </c>
      <c r="BD178" s="297">
        <v>1</v>
      </c>
      <c r="BE178" s="297">
        <v>1</v>
      </c>
      <c r="BF178" s="297">
        <v>1</v>
      </c>
    </row>
    <row r="179" spans="3:58" ht="15" customHeight="1" x14ac:dyDescent="0.3">
      <c r="C179" s="295" t="s">
        <v>239</v>
      </c>
      <c r="E179" s="297">
        <v>0</v>
      </c>
      <c r="F179" s="297">
        <v>0</v>
      </c>
      <c r="G179" s="297">
        <v>0</v>
      </c>
      <c r="H179" s="297">
        <v>0</v>
      </c>
      <c r="I179" s="297">
        <v>0</v>
      </c>
      <c r="J179" s="297">
        <v>0</v>
      </c>
      <c r="K179" s="297">
        <v>0</v>
      </c>
      <c r="L179" s="297">
        <v>0</v>
      </c>
      <c r="M179" s="297">
        <v>0</v>
      </c>
      <c r="N179" s="297">
        <v>0</v>
      </c>
      <c r="O179" s="297">
        <v>0</v>
      </c>
      <c r="P179" s="297">
        <v>0</v>
      </c>
      <c r="Q179" s="297">
        <v>0</v>
      </c>
      <c r="R179" s="297">
        <v>0</v>
      </c>
      <c r="S179" s="297">
        <v>0</v>
      </c>
      <c r="T179" s="297">
        <v>0</v>
      </c>
      <c r="U179" s="297">
        <v>0</v>
      </c>
      <c r="V179" s="297">
        <v>0</v>
      </c>
      <c r="W179" s="297">
        <v>0.03</v>
      </c>
      <c r="X179" s="297">
        <v>0.28999999999999998</v>
      </c>
      <c r="Y179" s="297">
        <v>0.49</v>
      </c>
      <c r="Z179" s="297">
        <v>0.84</v>
      </c>
      <c r="AA179" s="297">
        <v>1</v>
      </c>
      <c r="AB179" s="297">
        <v>1</v>
      </c>
      <c r="AC179" s="297">
        <v>1</v>
      </c>
      <c r="AD179" s="297">
        <v>1</v>
      </c>
      <c r="AE179" s="297">
        <v>1</v>
      </c>
      <c r="AF179" s="297">
        <v>1</v>
      </c>
      <c r="AG179" s="297">
        <v>1</v>
      </c>
      <c r="AH179" s="297">
        <v>1</v>
      </c>
      <c r="AI179" s="297">
        <v>1</v>
      </c>
      <c r="AJ179" s="297">
        <v>1</v>
      </c>
      <c r="AK179" s="297">
        <v>1</v>
      </c>
      <c r="AL179" s="297">
        <v>1</v>
      </c>
      <c r="AM179" s="297">
        <v>1</v>
      </c>
      <c r="AN179" s="297">
        <v>1</v>
      </c>
      <c r="AO179" s="297">
        <v>1</v>
      </c>
      <c r="AP179" s="297">
        <v>1</v>
      </c>
      <c r="AQ179" s="297">
        <v>1</v>
      </c>
      <c r="AR179" s="297">
        <v>1</v>
      </c>
      <c r="AS179" s="297">
        <v>1</v>
      </c>
      <c r="AT179" s="297">
        <v>1</v>
      </c>
      <c r="AU179" s="297">
        <v>1</v>
      </c>
      <c r="AV179" s="297">
        <v>1</v>
      </c>
      <c r="AW179" s="297">
        <v>1</v>
      </c>
      <c r="AX179" s="297">
        <v>1</v>
      </c>
      <c r="AY179" s="297">
        <v>1</v>
      </c>
      <c r="AZ179" s="297">
        <v>1</v>
      </c>
      <c r="BA179" s="297">
        <v>1</v>
      </c>
      <c r="BB179" s="297">
        <v>1</v>
      </c>
      <c r="BC179" s="297">
        <v>1</v>
      </c>
      <c r="BD179" s="297">
        <v>1</v>
      </c>
      <c r="BE179" s="297">
        <v>1</v>
      </c>
      <c r="BF179" s="297">
        <v>1</v>
      </c>
    </row>
    <row r="180" spans="3:58" ht="15" customHeight="1" x14ac:dyDescent="0.3">
      <c r="C180" s="295" t="s">
        <v>252</v>
      </c>
      <c r="E180" s="297">
        <v>0</v>
      </c>
      <c r="F180" s="297">
        <v>0</v>
      </c>
      <c r="G180" s="297">
        <v>0</v>
      </c>
      <c r="H180" s="297">
        <v>0</v>
      </c>
      <c r="I180" s="297">
        <v>0</v>
      </c>
      <c r="J180" s="297">
        <v>0</v>
      </c>
      <c r="K180" s="297">
        <v>0</v>
      </c>
      <c r="L180" s="297">
        <v>0</v>
      </c>
      <c r="M180" s="297">
        <v>0</v>
      </c>
      <c r="N180" s="297">
        <v>0</v>
      </c>
      <c r="O180" s="297">
        <v>0</v>
      </c>
      <c r="P180" s="297">
        <v>0</v>
      </c>
      <c r="Q180" s="297">
        <v>0</v>
      </c>
      <c r="R180" s="297">
        <v>0</v>
      </c>
      <c r="S180" s="297">
        <v>0</v>
      </c>
      <c r="T180" s="297">
        <v>0</v>
      </c>
      <c r="U180" s="297">
        <v>0</v>
      </c>
      <c r="V180" s="297">
        <v>0</v>
      </c>
      <c r="W180" s="297">
        <v>0</v>
      </c>
      <c r="X180" s="297">
        <v>0</v>
      </c>
      <c r="Y180" s="297">
        <v>0</v>
      </c>
      <c r="Z180" s="297">
        <v>0</v>
      </c>
      <c r="AA180" s="297">
        <v>0.27</v>
      </c>
      <c r="AB180" s="297">
        <v>0.91</v>
      </c>
      <c r="AC180" s="297">
        <v>1</v>
      </c>
      <c r="AD180" s="297">
        <v>1</v>
      </c>
      <c r="AE180" s="297">
        <v>1</v>
      </c>
      <c r="AF180" s="297">
        <v>1</v>
      </c>
      <c r="AG180" s="297">
        <v>1</v>
      </c>
      <c r="AH180" s="297">
        <v>1</v>
      </c>
      <c r="AI180" s="297">
        <v>1</v>
      </c>
      <c r="AJ180" s="297">
        <v>1</v>
      </c>
      <c r="AK180" s="297">
        <v>1</v>
      </c>
      <c r="AL180" s="297">
        <v>1</v>
      </c>
      <c r="AM180" s="297">
        <v>1</v>
      </c>
      <c r="AN180" s="297">
        <v>1</v>
      </c>
      <c r="AO180" s="297">
        <v>1</v>
      </c>
      <c r="AP180" s="297">
        <v>1</v>
      </c>
      <c r="AQ180" s="297">
        <v>1</v>
      </c>
      <c r="AR180" s="297">
        <v>1</v>
      </c>
      <c r="AS180" s="297">
        <v>1</v>
      </c>
      <c r="AT180" s="297">
        <v>1</v>
      </c>
      <c r="AU180" s="297">
        <v>1</v>
      </c>
      <c r="AV180" s="297">
        <v>1</v>
      </c>
      <c r="AW180" s="297">
        <v>1</v>
      </c>
      <c r="AX180" s="297">
        <v>1</v>
      </c>
      <c r="AY180" s="297">
        <v>1</v>
      </c>
      <c r="AZ180" s="297">
        <v>1</v>
      </c>
      <c r="BA180" s="297">
        <v>1</v>
      </c>
      <c r="BB180" s="297">
        <v>1</v>
      </c>
      <c r="BC180" s="297">
        <v>1</v>
      </c>
      <c r="BD180" s="297">
        <v>1</v>
      </c>
      <c r="BE180" s="297">
        <v>1</v>
      </c>
      <c r="BF180" s="297">
        <v>1</v>
      </c>
    </row>
    <row r="181" spans="3:58" ht="15" customHeight="1" x14ac:dyDescent="0.3">
      <c r="C181" s="295" t="s">
        <v>241</v>
      </c>
      <c r="E181" s="297">
        <v>0</v>
      </c>
      <c r="F181" s="297">
        <v>0</v>
      </c>
      <c r="G181" s="297">
        <v>0</v>
      </c>
      <c r="H181" s="297">
        <v>0</v>
      </c>
      <c r="I181" s="297">
        <v>0</v>
      </c>
      <c r="J181" s="297">
        <v>0</v>
      </c>
      <c r="K181" s="297">
        <v>0</v>
      </c>
      <c r="L181" s="297">
        <v>0</v>
      </c>
      <c r="M181" s="297">
        <v>0</v>
      </c>
      <c r="N181" s="297">
        <v>0</v>
      </c>
      <c r="O181" s="297">
        <v>0</v>
      </c>
      <c r="P181" s="297">
        <v>0</v>
      </c>
      <c r="Q181" s="297">
        <v>0</v>
      </c>
      <c r="R181" s="297">
        <v>0</v>
      </c>
      <c r="S181" s="297">
        <v>0</v>
      </c>
      <c r="T181" s="297">
        <v>0</v>
      </c>
      <c r="U181" s="297">
        <v>0</v>
      </c>
      <c r="V181" s="297">
        <v>0</v>
      </c>
      <c r="W181" s="297">
        <v>0</v>
      </c>
      <c r="X181" s="297">
        <v>0</v>
      </c>
      <c r="Y181" s="297">
        <v>0</v>
      </c>
      <c r="Z181" s="297">
        <v>0</v>
      </c>
      <c r="AA181" s="297">
        <v>0.01</v>
      </c>
      <c r="AB181" s="297">
        <v>0.1</v>
      </c>
      <c r="AC181" s="297">
        <v>0.24</v>
      </c>
      <c r="AD181" s="297">
        <v>0.4</v>
      </c>
      <c r="AE181" s="297">
        <v>0.57999999999999996</v>
      </c>
      <c r="AF181" s="297">
        <v>0.75</v>
      </c>
      <c r="AG181" s="297">
        <v>0.75</v>
      </c>
      <c r="AH181" s="297">
        <v>0.75</v>
      </c>
      <c r="AI181" s="297">
        <v>0.75</v>
      </c>
      <c r="AJ181" s="297">
        <v>0.75</v>
      </c>
      <c r="AK181" s="297">
        <v>0.75</v>
      </c>
      <c r="AL181" s="297">
        <v>0.75</v>
      </c>
      <c r="AM181" s="297">
        <v>0.75</v>
      </c>
      <c r="AN181" s="297">
        <v>0.75</v>
      </c>
      <c r="AO181" s="297">
        <v>0.76</v>
      </c>
      <c r="AP181" s="297">
        <v>1</v>
      </c>
      <c r="AQ181" s="297">
        <v>1</v>
      </c>
      <c r="AR181" s="297">
        <v>1</v>
      </c>
      <c r="AS181" s="297">
        <v>1</v>
      </c>
      <c r="AT181" s="297">
        <v>1</v>
      </c>
      <c r="AU181" s="297">
        <v>1</v>
      </c>
      <c r="AV181" s="297">
        <v>1</v>
      </c>
      <c r="AW181" s="297">
        <v>1</v>
      </c>
      <c r="AX181" s="297">
        <v>1</v>
      </c>
      <c r="AY181" s="297">
        <v>1</v>
      </c>
      <c r="AZ181" s="297">
        <v>1</v>
      </c>
      <c r="BA181" s="297">
        <v>1</v>
      </c>
      <c r="BB181" s="297">
        <v>1</v>
      </c>
      <c r="BC181" s="297">
        <v>1</v>
      </c>
      <c r="BD181" s="297">
        <v>1</v>
      </c>
      <c r="BE181" s="297">
        <v>1</v>
      </c>
      <c r="BF181" s="297">
        <v>1</v>
      </c>
    </row>
    <row r="182" spans="3:58" ht="15" customHeight="1" x14ac:dyDescent="0.3">
      <c r="C182" s="295" t="s">
        <v>242</v>
      </c>
      <c r="E182" s="297">
        <v>0</v>
      </c>
      <c r="F182" s="297">
        <v>0</v>
      </c>
      <c r="G182" s="297">
        <v>0</v>
      </c>
      <c r="H182" s="297">
        <v>0</v>
      </c>
      <c r="I182" s="297">
        <v>0</v>
      </c>
      <c r="J182" s="297">
        <v>0</v>
      </c>
      <c r="K182" s="297">
        <v>0</v>
      </c>
      <c r="L182" s="297">
        <v>0</v>
      </c>
      <c r="M182" s="297">
        <v>0</v>
      </c>
      <c r="N182" s="297">
        <v>0</v>
      </c>
      <c r="O182" s="297">
        <v>0</v>
      </c>
      <c r="P182" s="297">
        <v>0</v>
      </c>
      <c r="Q182" s="297">
        <v>0</v>
      </c>
      <c r="R182" s="297">
        <v>0</v>
      </c>
      <c r="S182" s="297">
        <v>0</v>
      </c>
      <c r="T182" s="297">
        <v>0</v>
      </c>
      <c r="U182" s="297">
        <v>0</v>
      </c>
      <c r="V182" s="297">
        <v>0</v>
      </c>
      <c r="W182" s="297">
        <v>0</v>
      </c>
      <c r="X182" s="297">
        <v>0</v>
      </c>
      <c r="Y182" s="297">
        <v>0</v>
      </c>
      <c r="Z182" s="297">
        <v>0</v>
      </c>
      <c r="AA182" s="297">
        <v>0</v>
      </c>
      <c r="AB182" s="297">
        <v>0</v>
      </c>
      <c r="AC182" s="297">
        <v>0</v>
      </c>
      <c r="AD182" s="297">
        <v>0.04</v>
      </c>
      <c r="AE182" s="297">
        <v>0.23</v>
      </c>
      <c r="AF182" s="297">
        <v>0.38</v>
      </c>
      <c r="AG182" s="297">
        <v>0.64</v>
      </c>
      <c r="AH182" s="297">
        <v>0.91</v>
      </c>
      <c r="AI182" s="297">
        <v>0.91</v>
      </c>
      <c r="AJ182" s="297">
        <v>0.91</v>
      </c>
      <c r="AK182" s="297">
        <v>0.91</v>
      </c>
      <c r="AL182" s="297">
        <v>0.91</v>
      </c>
      <c r="AM182" s="297">
        <v>0.91</v>
      </c>
      <c r="AN182" s="297">
        <v>0.91</v>
      </c>
      <c r="AO182" s="297">
        <v>0.91</v>
      </c>
      <c r="AP182" s="297">
        <v>1</v>
      </c>
      <c r="AQ182" s="297">
        <v>1</v>
      </c>
      <c r="AR182" s="297">
        <v>1</v>
      </c>
      <c r="AS182" s="297">
        <v>1</v>
      </c>
      <c r="AT182" s="297">
        <v>1</v>
      </c>
      <c r="AU182" s="297">
        <v>1</v>
      </c>
      <c r="AV182" s="297">
        <v>1</v>
      </c>
      <c r="AW182" s="297">
        <v>1</v>
      </c>
      <c r="AX182" s="297">
        <v>1</v>
      </c>
      <c r="AY182" s="297">
        <v>1</v>
      </c>
      <c r="AZ182" s="297">
        <v>1</v>
      </c>
      <c r="BA182" s="297">
        <v>1</v>
      </c>
      <c r="BB182" s="297">
        <v>1</v>
      </c>
      <c r="BC182" s="297">
        <v>1</v>
      </c>
      <c r="BD182" s="297">
        <v>1</v>
      </c>
      <c r="BE182" s="297">
        <v>1</v>
      </c>
      <c r="BF182" s="297">
        <v>1</v>
      </c>
    </row>
    <row r="183" spans="3:58" ht="15" customHeight="1" x14ac:dyDescent="0.3">
      <c r="C183" s="295" t="s">
        <v>243</v>
      </c>
      <c r="E183" s="297">
        <v>0</v>
      </c>
      <c r="F183" s="297">
        <v>0</v>
      </c>
      <c r="G183" s="297">
        <v>0</v>
      </c>
      <c r="H183" s="297">
        <v>0</v>
      </c>
      <c r="I183" s="297">
        <v>0</v>
      </c>
      <c r="J183" s="297">
        <v>0</v>
      </c>
      <c r="K183" s="297">
        <v>0</v>
      </c>
      <c r="L183" s="297">
        <v>0</v>
      </c>
      <c r="M183" s="297">
        <v>0</v>
      </c>
      <c r="N183" s="297">
        <v>0</v>
      </c>
      <c r="O183" s="297">
        <v>0</v>
      </c>
      <c r="P183" s="297">
        <v>0</v>
      </c>
      <c r="Q183" s="297">
        <v>0</v>
      </c>
      <c r="R183" s="297">
        <v>0</v>
      </c>
      <c r="S183" s="297">
        <v>0</v>
      </c>
      <c r="T183" s="297">
        <v>0.53</v>
      </c>
      <c r="U183" s="297">
        <v>0.69</v>
      </c>
      <c r="V183" s="297">
        <v>0.76</v>
      </c>
      <c r="W183" s="297">
        <v>0.76</v>
      </c>
      <c r="X183" s="297">
        <v>0.76</v>
      </c>
      <c r="Y183" s="297">
        <v>0.76</v>
      </c>
      <c r="Z183" s="297">
        <v>0.76</v>
      </c>
      <c r="AA183" s="297">
        <v>0.76</v>
      </c>
      <c r="AB183" s="297">
        <v>0.76</v>
      </c>
      <c r="AC183" s="297">
        <v>0.76</v>
      </c>
      <c r="AD183" s="297">
        <v>0.76</v>
      </c>
      <c r="AE183" s="297">
        <v>0.76</v>
      </c>
      <c r="AF183" s="297">
        <v>0.76</v>
      </c>
      <c r="AG183" s="297">
        <v>0.76</v>
      </c>
      <c r="AH183" s="297">
        <v>0.76</v>
      </c>
      <c r="AI183" s="297">
        <v>0.76</v>
      </c>
      <c r="AJ183" s="297">
        <v>0.76</v>
      </c>
      <c r="AK183" s="297">
        <v>0.76</v>
      </c>
      <c r="AL183" s="297">
        <v>0.76</v>
      </c>
      <c r="AM183" s="297">
        <v>0.76</v>
      </c>
      <c r="AN183" s="297">
        <v>0.76</v>
      </c>
      <c r="AO183" s="297">
        <v>0.76</v>
      </c>
      <c r="AP183" s="297">
        <v>0.76</v>
      </c>
      <c r="AQ183" s="297">
        <v>0.76</v>
      </c>
      <c r="AR183" s="297">
        <v>0.94</v>
      </c>
      <c r="AS183" s="297">
        <v>1</v>
      </c>
      <c r="AT183" s="297">
        <v>1</v>
      </c>
      <c r="AU183" s="297">
        <v>1</v>
      </c>
      <c r="AV183" s="297">
        <v>1</v>
      </c>
      <c r="AW183" s="297">
        <v>1</v>
      </c>
      <c r="AX183" s="297">
        <v>1</v>
      </c>
      <c r="AY183" s="297">
        <v>1</v>
      </c>
      <c r="AZ183" s="297">
        <v>1</v>
      </c>
      <c r="BA183" s="297">
        <v>1</v>
      </c>
      <c r="BB183" s="297">
        <v>1</v>
      </c>
      <c r="BC183" s="297">
        <v>1</v>
      </c>
      <c r="BD183" s="297">
        <v>1</v>
      </c>
      <c r="BE183" s="297">
        <v>1</v>
      </c>
      <c r="BF183" s="297">
        <v>1</v>
      </c>
    </row>
    <row r="184" spans="3:58" ht="15" customHeight="1" x14ac:dyDescent="0.3">
      <c r="C184" s="295" t="s">
        <v>244</v>
      </c>
      <c r="E184" s="297">
        <v>0</v>
      </c>
      <c r="F184" s="297">
        <v>0</v>
      </c>
      <c r="G184" s="297">
        <v>0</v>
      </c>
      <c r="H184" s="297">
        <v>0</v>
      </c>
      <c r="I184" s="297">
        <v>0</v>
      </c>
      <c r="J184" s="297">
        <v>0</v>
      </c>
      <c r="K184" s="297">
        <v>0</v>
      </c>
      <c r="L184" s="297">
        <v>0</v>
      </c>
      <c r="M184" s="297">
        <v>0</v>
      </c>
      <c r="N184" s="297">
        <v>0</v>
      </c>
      <c r="O184" s="297">
        <v>0</v>
      </c>
      <c r="P184" s="297">
        <v>0</v>
      </c>
      <c r="Q184" s="297">
        <v>0</v>
      </c>
      <c r="R184" s="297">
        <v>0</v>
      </c>
      <c r="S184" s="297">
        <v>0</v>
      </c>
      <c r="T184" s="297">
        <v>0</v>
      </c>
      <c r="U184" s="297">
        <v>0</v>
      </c>
      <c r="V184" s="297">
        <v>0</v>
      </c>
      <c r="W184" s="297">
        <v>0</v>
      </c>
      <c r="X184" s="297">
        <v>0</v>
      </c>
      <c r="Y184" s="297">
        <v>0</v>
      </c>
      <c r="Z184" s="297">
        <v>0</v>
      </c>
      <c r="AA184" s="297">
        <v>0</v>
      </c>
      <c r="AB184" s="297">
        <v>0</v>
      </c>
      <c r="AC184" s="297">
        <v>0</v>
      </c>
      <c r="AD184" s="297">
        <v>0</v>
      </c>
      <c r="AE184" s="297">
        <v>0</v>
      </c>
      <c r="AF184" s="297">
        <v>0</v>
      </c>
      <c r="AG184" s="297">
        <v>0</v>
      </c>
      <c r="AH184" s="297">
        <v>0.17</v>
      </c>
      <c r="AI184" s="297">
        <v>0.62</v>
      </c>
      <c r="AJ184" s="297">
        <v>1</v>
      </c>
      <c r="AK184" s="297">
        <v>1</v>
      </c>
      <c r="AL184" s="297">
        <v>1</v>
      </c>
      <c r="AM184" s="297">
        <v>1</v>
      </c>
      <c r="AN184" s="297">
        <v>1</v>
      </c>
      <c r="AO184" s="297">
        <v>1</v>
      </c>
      <c r="AP184" s="297">
        <v>1</v>
      </c>
      <c r="AQ184" s="297">
        <v>1</v>
      </c>
      <c r="AR184" s="297">
        <v>1</v>
      </c>
      <c r="AS184" s="297">
        <v>1</v>
      </c>
      <c r="AT184" s="297">
        <v>1</v>
      </c>
      <c r="AU184" s="297">
        <v>1</v>
      </c>
      <c r="AV184" s="297">
        <v>1</v>
      </c>
      <c r="AW184" s="297">
        <v>1</v>
      </c>
      <c r="AX184" s="297">
        <v>1</v>
      </c>
      <c r="AY184" s="297">
        <v>1</v>
      </c>
      <c r="AZ184" s="297">
        <v>1</v>
      </c>
      <c r="BA184" s="297">
        <v>1</v>
      </c>
      <c r="BB184" s="297">
        <v>1</v>
      </c>
      <c r="BC184" s="297">
        <v>1</v>
      </c>
      <c r="BD184" s="297">
        <v>1</v>
      </c>
      <c r="BE184" s="297">
        <v>1</v>
      </c>
      <c r="BF184" s="297">
        <v>1</v>
      </c>
    </row>
    <row r="185" spans="3:58" ht="15" customHeight="1" x14ac:dyDescent="0.3">
      <c r="C185" s="295" t="s">
        <v>245</v>
      </c>
      <c r="E185" s="297">
        <v>0</v>
      </c>
      <c r="F185" s="297">
        <v>0</v>
      </c>
      <c r="G185" s="297">
        <v>0</v>
      </c>
      <c r="H185" s="297">
        <v>0</v>
      </c>
      <c r="I185" s="297">
        <v>0</v>
      </c>
      <c r="J185" s="297">
        <v>0</v>
      </c>
      <c r="K185" s="297">
        <v>0</v>
      </c>
      <c r="L185" s="297">
        <v>0</v>
      </c>
      <c r="M185" s="297">
        <v>0</v>
      </c>
      <c r="N185" s="297">
        <v>0</v>
      </c>
      <c r="O185" s="297">
        <v>0</v>
      </c>
      <c r="P185" s="297">
        <v>0</v>
      </c>
      <c r="Q185" s="297">
        <v>0</v>
      </c>
      <c r="R185" s="297">
        <v>0</v>
      </c>
      <c r="S185" s="297">
        <v>0</v>
      </c>
      <c r="T185" s="297">
        <v>0</v>
      </c>
      <c r="U185" s="297">
        <v>0</v>
      </c>
      <c r="V185" s="297">
        <v>0</v>
      </c>
      <c r="W185" s="297">
        <v>0</v>
      </c>
      <c r="X185" s="297">
        <v>0</v>
      </c>
      <c r="Y185" s="297">
        <v>0</v>
      </c>
      <c r="Z185" s="297">
        <v>0</v>
      </c>
      <c r="AA185" s="297">
        <v>0</v>
      </c>
      <c r="AB185" s="297">
        <v>0</v>
      </c>
      <c r="AC185" s="297">
        <v>0</v>
      </c>
      <c r="AD185" s="297">
        <v>0</v>
      </c>
      <c r="AE185" s="297">
        <v>0.05</v>
      </c>
      <c r="AF185" s="297">
        <v>0.32</v>
      </c>
      <c r="AG185" s="297">
        <v>0.57999999999999996</v>
      </c>
      <c r="AH185" s="297">
        <v>0.76</v>
      </c>
      <c r="AI185" s="297">
        <v>0.95</v>
      </c>
      <c r="AJ185" s="297">
        <v>1</v>
      </c>
      <c r="AK185" s="297">
        <v>1</v>
      </c>
      <c r="AL185" s="297">
        <v>1</v>
      </c>
      <c r="AM185" s="297">
        <v>1</v>
      </c>
      <c r="AN185" s="297">
        <v>1</v>
      </c>
      <c r="AO185" s="297">
        <v>1</v>
      </c>
      <c r="AP185" s="297">
        <v>1</v>
      </c>
      <c r="AQ185" s="297">
        <v>1</v>
      </c>
      <c r="AR185" s="297">
        <v>1</v>
      </c>
      <c r="AS185" s="297">
        <v>1</v>
      </c>
      <c r="AT185" s="297">
        <v>1</v>
      </c>
      <c r="AU185" s="297">
        <v>1</v>
      </c>
      <c r="AV185" s="297">
        <v>1</v>
      </c>
      <c r="AW185" s="297">
        <v>1</v>
      </c>
      <c r="AX185" s="297">
        <v>1</v>
      </c>
      <c r="AY185" s="297">
        <v>1</v>
      </c>
      <c r="AZ185" s="297">
        <v>1</v>
      </c>
      <c r="BA185" s="297">
        <v>1</v>
      </c>
      <c r="BB185" s="297">
        <v>1</v>
      </c>
      <c r="BC185" s="297">
        <v>1</v>
      </c>
      <c r="BD185" s="297">
        <v>1</v>
      </c>
      <c r="BE185" s="297">
        <v>1</v>
      </c>
      <c r="BF185" s="297">
        <v>1</v>
      </c>
    </row>
    <row r="186" spans="3:58" ht="15" customHeight="1" x14ac:dyDescent="0.3">
      <c r="C186" s="295" t="s">
        <v>246</v>
      </c>
      <c r="E186" s="297">
        <v>0</v>
      </c>
      <c r="F186" s="297">
        <v>0</v>
      </c>
      <c r="G186" s="297">
        <v>0</v>
      </c>
      <c r="H186" s="297">
        <v>0</v>
      </c>
      <c r="I186" s="297">
        <v>0</v>
      </c>
      <c r="J186" s="297">
        <v>0</v>
      </c>
      <c r="K186" s="297">
        <v>0</v>
      </c>
      <c r="L186" s="297">
        <v>0</v>
      </c>
      <c r="M186" s="297">
        <v>0</v>
      </c>
      <c r="N186" s="297">
        <v>0</v>
      </c>
      <c r="O186" s="297">
        <v>0</v>
      </c>
      <c r="P186" s="297">
        <v>0</v>
      </c>
      <c r="Q186" s="297">
        <v>0</v>
      </c>
      <c r="R186" s="297">
        <v>0</v>
      </c>
      <c r="S186" s="297">
        <v>0</v>
      </c>
      <c r="T186" s="297">
        <v>0</v>
      </c>
      <c r="U186" s="297">
        <v>0</v>
      </c>
      <c r="V186" s="297">
        <v>0</v>
      </c>
      <c r="W186" s="297">
        <v>0</v>
      </c>
      <c r="X186" s="297">
        <v>0</v>
      </c>
      <c r="Y186" s="297">
        <v>0</v>
      </c>
      <c r="Z186" s="297">
        <v>0</v>
      </c>
      <c r="AA186" s="297">
        <v>0</v>
      </c>
      <c r="AB186" s="297">
        <v>0</v>
      </c>
      <c r="AC186" s="297">
        <v>0</v>
      </c>
      <c r="AD186" s="297">
        <v>0</v>
      </c>
      <c r="AE186" s="297">
        <v>0</v>
      </c>
      <c r="AF186" s="297">
        <v>0</v>
      </c>
      <c r="AG186" s="297">
        <v>0</v>
      </c>
      <c r="AH186" s="297">
        <v>0</v>
      </c>
      <c r="AI186" s="297">
        <v>0</v>
      </c>
      <c r="AJ186" s="297">
        <v>7.0000000000000007E-2</v>
      </c>
      <c r="AK186" s="297">
        <v>0.56000000000000005</v>
      </c>
      <c r="AL186" s="297">
        <v>0.81</v>
      </c>
      <c r="AM186" s="297">
        <v>1</v>
      </c>
      <c r="AN186" s="297">
        <v>1</v>
      </c>
      <c r="AO186" s="297">
        <v>1</v>
      </c>
      <c r="AP186" s="297">
        <v>1</v>
      </c>
      <c r="AQ186" s="297">
        <v>1</v>
      </c>
      <c r="AR186" s="297">
        <v>1</v>
      </c>
      <c r="AS186" s="297">
        <v>1</v>
      </c>
      <c r="AT186" s="297">
        <v>1</v>
      </c>
      <c r="AU186" s="297">
        <v>1</v>
      </c>
      <c r="AV186" s="297">
        <v>1</v>
      </c>
      <c r="AW186" s="297">
        <v>1</v>
      </c>
      <c r="AX186" s="297">
        <v>1</v>
      </c>
      <c r="AY186" s="297">
        <v>1</v>
      </c>
      <c r="AZ186" s="297">
        <v>1</v>
      </c>
      <c r="BA186" s="297">
        <v>1</v>
      </c>
      <c r="BB186" s="297">
        <v>1</v>
      </c>
      <c r="BC186" s="297">
        <v>1</v>
      </c>
      <c r="BD186" s="297">
        <v>1</v>
      </c>
      <c r="BE186" s="297">
        <v>1</v>
      </c>
      <c r="BF186" s="297">
        <v>1</v>
      </c>
    </row>
    <row r="187" spans="3:58" ht="15" customHeight="1" x14ac:dyDescent="0.3">
      <c r="C187" s="295" t="s">
        <v>247</v>
      </c>
      <c r="E187" s="297">
        <v>0</v>
      </c>
      <c r="F187" s="297">
        <v>0</v>
      </c>
      <c r="G187" s="297">
        <v>0</v>
      </c>
      <c r="H187" s="297">
        <v>0</v>
      </c>
      <c r="I187" s="297">
        <v>0</v>
      </c>
      <c r="J187" s="297">
        <v>0</v>
      </c>
      <c r="K187" s="297">
        <v>0</v>
      </c>
      <c r="L187" s="297">
        <v>0</v>
      </c>
      <c r="M187" s="297">
        <v>0</v>
      </c>
      <c r="N187" s="297">
        <v>0</v>
      </c>
      <c r="O187" s="297">
        <v>0</v>
      </c>
      <c r="P187" s="297">
        <v>0</v>
      </c>
      <c r="Q187" s="297">
        <v>0</v>
      </c>
      <c r="R187" s="297">
        <v>0</v>
      </c>
      <c r="S187" s="297">
        <v>0</v>
      </c>
      <c r="T187" s="297">
        <v>0</v>
      </c>
      <c r="U187" s="297">
        <v>0</v>
      </c>
      <c r="V187" s="297">
        <v>0</v>
      </c>
      <c r="W187" s="297">
        <v>0</v>
      </c>
      <c r="X187" s="297">
        <v>0</v>
      </c>
      <c r="Y187" s="297">
        <v>0</v>
      </c>
      <c r="Z187" s="297">
        <v>0</v>
      </c>
      <c r="AA187" s="297">
        <v>0</v>
      </c>
      <c r="AB187" s="297">
        <v>0</v>
      </c>
      <c r="AC187" s="297">
        <v>0</v>
      </c>
      <c r="AD187" s="297">
        <v>0</v>
      </c>
      <c r="AE187" s="297">
        <v>0</v>
      </c>
      <c r="AF187" s="297">
        <v>0</v>
      </c>
      <c r="AG187" s="297">
        <v>0</v>
      </c>
      <c r="AH187" s="297">
        <v>0</v>
      </c>
      <c r="AI187" s="297">
        <v>0</v>
      </c>
      <c r="AJ187" s="297">
        <v>0.78</v>
      </c>
      <c r="AK187" s="297">
        <v>1</v>
      </c>
      <c r="AL187" s="297">
        <v>1</v>
      </c>
      <c r="AM187" s="297">
        <v>1</v>
      </c>
      <c r="AN187" s="297">
        <v>1</v>
      </c>
      <c r="AO187" s="297">
        <v>1</v>
      </c>
      <c r="AP187" s="297">
        <v>1</v>
      </c>
      <c r="AQ187" s="297">
        <v>1</v>
      </c>
      <c r="AR187" s="297">
        <v>1</v>
      </c>
      <c r="AS187" s="297">
        <v>1</v>
      </c>
      <c r="AT187" s="297">
        <v>1</v>
      </c>
      <c r="AU187" s="297">
        <v>1</v>
      </c>
      <c r="AV187" s="297">
        <v>1</v>
      </c>
      <c r="AW187" s="297">
        <v>1</v>
      </c>
      <c r="AX187" s="297">
        <v>1</v>
      </c>
      <c r="AY187" s="297">
        <v>1</v>
      </c>
      <c r="AZ187" s="297">
        <v>1</v>
      </c>
      <c r="BA187" s="297">
        <v>1</v>
      </c>
      <c r="BB187" s="297">
        <v>1</v>
      </c>
      <c r="BC187" s="297">
        <v>1</v>
      </c>
      <c r="BD187" s="297">
        <v>1</v>
      </c>
      <c r="BE187" s="297">
        <v>1</v>
      </c>
      <c r="BF187" s="297">
        <v>1</v>
      </c>
    </row>
    <row r="188" spans="3:58" ht="15" customHeight="1" x14ac:dyDescent="0.3">
      <c r="C188" s="295" t="s">
        <v>248</v>
      </c>
      <c r="E188" s="297">
        <v>0</v>
      </c>
      <c r="F188" s="297">
        <v>0</v>
      </c>
      <c r="G188" s="297">
        <v>0</v>
      </c>
      <c r="H188" s="297">
        <v>0</v>
      </c>
      <c r="I188" s="297">
        <v>0</v>
      </c>
      <c r="J188" s="297">
        <v>0</v>
      </c>
      <c r="K188" s="297">
        <v>0</v>
      </c>
      <c r="L188" s="297">
        <v>0</v>
      </c>
      <c r="M188" s="297">
        <v>0</v>
      </c>
      <c r="N188" s="297">
        <v>0</v>
      </c>
      <c r="O188" s="297">
        <v>0</v>
      </c>
      <c r="P188" s="297">
        <v>0</v>
      </c>
      <c r="Q188" s="297">
        <v>0</v>
      </c>
      <c r="R188" s="297">
        <v>0</v>
      </c>
      <c r="S188" s="297">
        <v>0</v>
      </c>
      <c r="T188" s="297">
        <v>0</v>
      </c>
      <c r="U188" s="297">
        <v>0</v>
      </c>
      <c r="V188" s="297">
        <v>0</v>
      </c>
      <c r="W188" s="297">
        <v>0</v>
      </c>
      <c r="X188" s="297">
        <v>0</v>
      </c>
      <c r="Y188" s="297">
        <v>0</v>
      </c>
      <c r="Z188" s="297">
        <v>0</v>
      </c>
      <c r="AA188" s="297">
        <v>0</v>
      </c>
      <c r="AB188" s="297">
        <v>0</v>
      </c>
      <c r="AC188" s="297">
        <v>0</v>
      </c>
      <c r="AD188" s="297">
        <v>0</v>
      </c>
      <c r="AE188" s="297">
        <v>0</v>
      </c>
      <c r="AF188" s="297">
        <v>0</v>
      </c>
      <c r="AG188" s="297">
        <v>0</v>
      </c>
      <c r="AH188" s="297">
        <v>0</v>
      </c>
      <c r="AI188" s="297">
        <v>0</v>
      </c>
      <c r="AJ188" s="297">
        <v>0</v>
      </c>
      <c r="AK188" s="297">
        <v>0</v>
      </c>
      <c r="AL188" s="297">
        <v>0</v>
      </c>
      <c r="AM188" s="297">
        <v>0.02</v>
      </c>
      <c r="AN188" s="297">
        <v>0.03</v>
      </c>
      <c r="AO188" s="297">
        <v>0.12</v>
      </c>
      <c r="AP188" s="297">
        <v>0.19</v>
      </c>
      <c r="AQ188" s="297">
        <v>0.51</v>
      </c>
      <c r="AR188" s="297">
        <v>1</v>
      </c>
      <c r="AS188" s="297">
        <v>1</v>
      </c>
      <c r="AT188" s="297">
        <v>1</v>
      </c>
      <c r="AU188" s="297">
        <v>1</v>
      </c>
      <c r="AV188" s="297">
        <v>1</v>
      </c>
      <c r="AW188" s="297">
        <v>1</v>
      </c>
      <c r="AX188" s="297">
        <v>1</v>
      </c>
      <c r="AY188" s="297">
        <v>1</v>
      </c>
      <c r="AZ188" s="297">
        <v>1</v>
      </c>
      <c r="BA188" s="297">
        <v>1</v>
      </c>
      <c r="BB188" s="297">
        <v>1</v>
      </c>
      <c r="BC188" s="297">
        <v>1</v>
      </c>
      <c r="BD188" s="297">
        <v>1</v>
      </c>
      <c r="BE188" s="297">
        <v>1</v>
      </c>
      <c r="BF188" s="297">
        <v>1</v>
      </c>
    </row>
    <row r="189" spans="3:58" ht="15" customHeight="1" x14ac:dyDescent="0.3">
      <c r="C189" s="295" t="s">
        <v>249</v>
      </c>
      <c r="E189" s="297">
        <v>0</v>
      </c>
      <c r="F189" s="297">
        <v>0</v>
      </c>
      <c r="G189" s="297">
        <v>0</v>
      </c>
      <c r="H189" s="297">
        <v>0</v>
      </c>
      <c r="I189" s="297">
        <v>0</v>
      </c>
      <c r="J189" s="297">
        <v>0</v>
      </c>
      <c r="K189" s="297">
        <v>0</v>
      </c>
      <c r="L189" s="297">
        <v>0</v>
      </c>
      <c r="M189" s="297">
        <v>0</v>
      </c>
      <c r="N189" s="297">
        <v>0</v>
      </c>
      <c r="O189" s="297">
        <v>0</v>
      </c>
      <c r="P189" s="297">
        <v>0</v>
      </c>
      <c r="Q189" s="297">
        <v>0</v>
      </c>
      <c r="R189" s="297">
        <v>0</v>
      </c>
      <c r="S189" s="297">
        <v>0</v>
      </c>
      <c r="T189" s="297">
        <v>0</v>
      </c>
      <c r="U189" s="297">
        <v>0</v>
      </c>
      <c r="V189" s="297">
        <v>0</v>
      </c>
      <c r="W189" s="297">
        <v>0</v>
      </c>
      <c r="X189" s="297">
        <v>0</v>
      </c>
      <c r="Y189" s="297">
        <v>0</v>
      </c>
      <c r="Z189" s="297">
        <v>0</v>
      </c>
      <c r="AA189" s="297">
        <v>0</v>
      </c>
      <c r="AB189" s="297">
        <v>0</v>
      </c>
      <c r="AC189" s="297">
        <v>0</v>
      </c>
      <c r="AD189" s="297">
        <v>0</v>
      </c>
      <c r="AE189" s="297">
        <v>0</v>
      </c>
      <c r="AF189" s="297">
        <v>0</v>
      </c>
      <c r="AG189" s="297">
        <v>0</v>
      </c>
      <c r="AH189" s="297">
        <v>0</v>
      </c>
      <c r="AI189" s="297">
        <v>0</v>
      </c>
      <c r="AJ189" s="297">
        <v>0</v>
      </c>
      <c r="AK189" s="297">
        <v>0</v>
      </c>
      <c r="AL189" s="297">
        <v>0</v>
      </c>
      <c r="AM189" s="297">
        <v>0.16</v>
      </c>
      <c r="AN189" s="297">
        <v>0.48</v>
      </c>
      <c r="AO189" s="297">
        <v>1</v>
      </c>
      <c r="AP189" s="297">
        <v>1</v>
      </c>
      <c r="AQ189" s="297">
        <v>1</v>
      </c>
      <c r="AR189" s="297">
        <v>1</v>
      </c>
      <c r="AS189" s="297">
        <v>1</v>
      </c>
      <c r="AT189" s="297">
        <v>1</v>
      </c>
      <c r="AU189" s="297">
        <v>1</v>
      </c>
      <c r="AV189" s="297">
        <v>1</v>
      </c>
      <c r="AW189" s="297">
        <v>1</v>
      </c>
      <c r="AX189" s="297">
        <v>1</v>
      </c>
      <c r="AY189" s="297">
        <v>1</v>
      </c>
      <c r="AZ189" s="297">
        <v>1</v>
      </c>
      <c r="BA189" s="297">
        <v>1</v>
      </c>
      <c r="BB189" s="297">
        <v>1</v>
      </c>
      <c r="BC189" s="297">
        <v>1</v>
      </c>
      <c r="BD189" s="297">
        <v>1</v>
      </c>
      <c r="BE189" s="297">
        <v>1</v>
      </c>
      <c r="BF189" s="297">
        <v>1</v>
      </c>
    </row>
    <row r="190" spans="3:58" ht="15" customHeight="1" x14ac:dyDescent="0.3">
      <c r="C190" s="295" t="s">
        <v>250</v>
      </c>
      <c r="E190" s="297">
        <v>0</v>
      </c>
      <c r="F190" s="297">
        <v>0</v>
      </c>
      <c r="G190" s="297">
        <v>0</v>
      </c>
      <c r="H190" s="297">
        <v>0</v>
      </c>
      <c r="I190" s="297">
        <v>0</v>
      </c>
      <c r="J190" s="297">
        <v>0</v>
      </c>
      <c r="K190" s="297">
        <v>0</v>
      </c>
      <c r="L190" s="297">
        <v>0</v>
      </c>
      <c r="M190" s="297">
        <v>0</v>
      </c>
      <c r="N190" s="297">
        <v>0</v>
      </c>
      <c r="O190" s="297">
        <v>0</v>
      </c>
      <c r="P190" s="297">
        <v>0</v>
      </c>
      <c r="Q190" s="297">
        <v>0</v>
      </c>
      <c r="R190" s="297">
        <v>0</v>
      </c>
      <c r="S190" s="297">
        <v>0</v>
      </c>
      <c r="T190" s="297">
        <v>0</v>
      </c>
      <c r="U190" s="297">
        <v>0</v>
      </c>
      <c r="V190" s="297">
        <v>0</v>
      </c>
      <c r="W190" s="297">
        <v>0</v>
      </c>
      <c r="X190" s="297">
        <v>0</v>
      </c>
      <c r="Y190" s="297">
        <v>0</v>
      </c>
      <c r="Z190" s="297">
        <v>0</v>
      </c>
      <c r="AA190" s="297">
        <v>0</v>
      </c>
      <c r="AB190" s="297">
        <v>0</v>
      </c>
      <c r="AC190" s="297">
        <v>0</v>
      </c>
      <c r="AD190" s="297">
        <v>0</v>
      </c>
      <c r="AE190" s="297">
        <v>0</v>
      </c>
      <c r="AF190" s="297">
        <v>0</v>
      </c>
      <c r="AG190" s="297">
        <v>0</v>
      </c>
      <c r="AH190" s="297">
        <v>0</v>
      </c>
      <c r="AI190" s="297">
        <v>0</v>
      </c>
      <c r="AJ190" s="297">
        <v>0</v>
      </c>
      <c r="AK190" s="297">
        <v>0</v>
      </c>
      <c r="AL190" s="297">
        <v>0</v>
      </c>
      <c r="AM190" s="297">
        <v>0</v>
      </c>
      <c r="AN190" s="297">
        <v>0</v>
      </c>
      <c r="AO190" s="297">
        <v>0</v>
      </c>
      <c r="AP190" s="297">
        <v>0</v>
      </c>
      <c r="AQ190" s="297">
        <v>0</v>
      </c>
      <c r="AR190" s="297">
        <v>0.74</v>
      </c>
      <c r="AS190" s="297">
        <v>1</v>
      </c>
      <c r="AT190" s="297">
        <v>1</v>
      </c>
      <c r="AU190" s="297">
        <v>1</v>
      </c>
      <c r="AV190" s="297">
        <v>1</v>
      </c>
      <c r="AW190" s="297">
        <v>1</v>
      </c>
      <c r="AX190" s="297">
        <v>1</v>
      </c>
      <c r="AY190" s="297">
        <v>1</v>
      </c>
      <c r="AZ190" s="297">
        <v>1</v>
      </c>
      <c r="BA190" s="297">
        <v>1</v>
      </c>
      <c r="BB190" s="297">
        <v>1</v>
      </c>
      <c r="BC190" s="297">
        <v>1</v>
      </c>
      <c r="BD190" s="297">
        <v>1</v>
      </c>
      <c r="BE190" s="297">
        <v>1</v>
      </c>
      <c r="BF190" s="297">
        <v>1</v>
      </c>
    </row>
    <row r="191" spans="3:58" ht="15" customHeight="1" x14ac:dyDescent="0.3">
      <c r="C191" s="287" t="s">
        <v>260</v>
      </c>
      <c r="E191" s="288">
        <v>0</v>
      </c>
      <c r="F191" s="288">
        <v>0</v>
      </c>
      <c r="G191" s="288">
        <v>0</v>
      </c>
      <c r="H191" s="288">
        <v>0</v>
      </c>
      <c r="I191" s="288">
        <v>0</v>
      </c>
      <c r="J191" s="288">
        <v>0</v>
      </c>
      <c r="K191" s="288">
        <v>0</v>
      </c>
      <c r="L191" s="288">
        <v>0</v>
      </c>
      <c r="M191" s="288">
        <v>0</v>
      </c>
      <c r="N191" s="288">
        <v>0</v>
      </c>
      <c r="O191" s="288">
        <v>0</v>
      </c>
      <c r="P191" s="288">
        <v>0</v>
      </c>
      <c r="Q191" s="288">
        <v>0</v>
      </c>
      <c r="R191" s="288">
        <v>0</v>
      </c>
      <c r="S191" s="288">
        <v>0</v>
      </c>
      <c r="T191" s="288">
        <v>0</v>
      </c>
      <c r="U191" s="288">
        <v>0</v>
      </c>
      <c r="V191" s="288">
        <v>0</v>
      </c>
      <c r="W191" s="288">
        <v>0</v>
      </c>
      <c r="X191" s="288">
        <v>0.01</v>
      </c>
      <c r="Y191" s="288">
        <v>0.02</v>
      </c>
      <c r="Z191" s="288">
        <v>0.03</v>
      </c>
      <c r="AA191" s="288">
        <v>0.1</v>
      </c>
      <c r="AB191" s="288">
        <v>0.13</v>
      </c>
      <c r="AC191" s="288">
        <v>0.16</v>
      </c>
      <c r="AD191" s="288">
        <v>0.21</v>
      </c>
      <c r="AE191" s="288">
        <v>0.24</v>
      </c>
      <c r="AF191" s="288">
        <v>0.28000000000000003</v>
      </c>
      <c r="AG191" s="288">
        <v>0.31</v>
      </c>
      <c r="AH191" s="288">
        <v>0.37</v>
      </c>
      <c r="AI191" s="288">
        <v>0.41</v>
      </c>
      <c r="AJ191" s="288">
        <v>0.5</v>
      </c>
      <c r="AK191" s="288">
        <v>0.53</v>
      </c>
      <c r="AL191" s="288">
        <v>0.56000000000000005</v>
      </c>
      <c r="AM191" s="288">
        <v>0.59</v>
      </c>
      <c r="AN191" s="288">
        <v>0.6</v>
      </c>
      <c r="AO191" s="288">
        <v>0.61</v>
      </c>
      <c r="AP191" s="288">
        <v>0.63</v>
      </c>
      <c r="AQ191" s="288">
        <v>0.64</v>
      </c>
      <c r="AR191" s="288">
        <v>0.65</v>
      </c>
      <c r="AS191" s="288">
        <v>0.66</v>
      </c>
      <c r="AT191" s="288">
        <v>0.67</v>
      </c>
      <c r="AU191" s="288">
        <v>0.73</v>
      </c>
      <c r="AV191" s="288">
        <v>0.91</v>
      </c>
      <c r="AW191" s="288">
        <v>1</v>
      </c>
      <c r="AX191" s="288">
        <v>1</v>
      </c>
      <c r="AY191" s="288">
        <v>1</v>
      </c>
      <c r="AZ191" s="288">
        <v>1</v>
      </c>
      <c r="BA191" s="288">
        <v>1</v>
      </c>
      <c r="BB191" s="288">
        <v>1</v>
      </c>
      <c r="BC191" s="288">
        <v>1</v>
      </c>
      <c r="BD191" s="288">
        <v>1</v>
      </c>
      <c r="BE191" s="288">
        <v>1</v>
      </c>
      <c r="BF191" s="288">
        <v>1</v>
      </c>
    </row>
    <row r="192" spans="3:58" ht="15" customHeight="1" x14ac:dyDescent="0.3">
      <c r="C192" s="295" t="s">
        <v>237</v>
      </c>
      <c r="E192" s="297">
        <v>0</v>
      </c>
      <c r="F192" s="297">
        <v>0</v>
      </c>
      <c r="G192" s="297">
        <v>0</v>
      </c>
      <c r="H192" s="297">
        <v>0</v>
      </c>
      <c r="I192" s="297">
        <v>0</v>
      </c>
      <c r="J192" s="297">
        <v>0</v>
      </c>
      <c r="K192" s="297">
        <v>0</v>
      </c>
      <c r="L192" s="297">
        <v>0</v>
      </c>
      <c r="M192" s="297">
        <v>0</v>
      </c>
      <c r="N192" s="297">
        <v>0</v>
      </c>
      <c r="O192" s="297">
        <v>0</v>
      </c>
      <c r="P192" s="297">
        <v>0</v>
      </c>
      <c r="Q192" s="297">
        <v>0</v>
      </c>
      <c r="R192" s="297">
        <v>0</v>
      </c>
      <c r="S192" s="297">
        <v>0</v>
      </c>
      <c r="T192" s="297">
        <v>0</v>
      </c>
      <c r="U192" s="297">
        <v>0</v>
      </c>
      <c r="V192" s="297">
        <v>0</v>
      </c>
      <c r="W192" s="297">
        <v>0.03</v>
      </c>
      <c r="X192" s="297">
        <v>0.19</v>
      </c>
      <c r="Y192" s="297">
        <v>0.34</v>
      </c>
      <c r="Z192" s="297">
        <v>0.52</v>
      </c>
      <c r="AA192" s="297">
        <v>0.82</v>
      </c>
      <c r="AB192" s="297">
        <v>0.99</v>
      </c>
      <c r="AC192" s="297">
        <v>1</v>
      </c>
      <c r="AD192" s="297">
        <v>1</v>
      </c>
      <c r="AE192" s="297">
        <v>1</v>
      </c>
      <c r="AF192" s="297">
        <v>1</v>
      </c>
      <c r="AG192" s="297">
        <v>1</v>
      </c>
      <c r="AH192" s="297">
        <v>1</v>
      </c>
      <c r="AI192" s="297">
        <v>1</v>
      </c>
      <c r="AJ192" s="297">
        <v>1</v>
      </c>
      <c r="AK192" s="297">
        <v>1</v>
      </c>
      <c r="AL192" s="297">
        <v>1</v>
      </c>
      <c r="AM192" s="297">
        <v>1</v>
      </c>
      <c r="AN192" s="297">
        <v>1</v>
      </c>
      <c r="AO192" s="297">
        <v>1</v>
      </c>
      <c r="AP192" s="297">
        <v>1</v>
      </c>
      <c r="AQ192" s="297">
        <v>1</v>
      </c>
      <c r="AR192" s="297">
        <v>1</v>
      </c>
      <c r="AS192" s="297">
        <v>1</v>
      </c>
      <c r="AT192" s="297">
        <v>1</v>
      </c>
      <c r="AU192" s="297">
        <v>1</v>
      </c>
      <c r="AV192" s="297">
        <v>1</v>
      </c>
      <c r="AW192" s="297">
        <v>1</v>
      </c>
      <c r="AX192" s="297">
        <v>1</v>
      </c>
      <c r="AY192" s="297">
        <v>1</v>
      </c>
      <c r="AZ192" s="297">
        <v>1</v>
      </c>
      <c r="BA192" s="297">
        <v>1</v>
      </c>
      <c r="BB192" s="297">
        <v>1</v>
      </c>
      <c r="BC192" s="297">
        <v>1</v>
      </c>
      <c r="BD192" s="297">
        <v>1</v>
      </c>
      <c r="BE192" s="297">
        <v>1</v>
      </c>
      <c r="BF192" s="297">
        <v>1</v>
      </c>
    </row>
    <row r="193" spans="3:58" ht="15" customHeight="1" x14ac:dyDescent="0.3">
      <c r="C193" s="295" t="s">
        <v>254</v>
      </c>
      <c r="E193" s="297">
        <v>0</v>
      </c>
      <c r="F193" s="297">
        <v>0</v>
      </c>
      <c r="G193" s="297">
        <v>0</v>
      </c>
      <c r="H193" s="297">
        <v>0</v>
      </c>
      <c r="I193" s="297">
        <v>0</v>
      </c>
      <c r="J193" s="297">
        <v>0</v>
      </c>
      <c r="K193" s="297">
        <v>0</v>
      </c>
      <c r="L193" s="297">
        <v>0</v>
      </c>
      <c r="M193" s="297">
        <v>0</v>
      </c>
      <c r="N193" s="297">
        <v>0</v>
      </c>
      <c r="O193" s="297">
        <v>0</v>
      </c>
      <c r="P193" s="297">
        <v>0</v>
      </c>
      <c r="Q193" s="297">
        <v>0</v>
      </c>
      <c r="R193" s="297">
        <v>0</v>
      </c>
      <c r="S193" s="297">
        <v>0</v>
      </c>
      <c r="T193" s="297">
        <v>0</v>
      </c>
      <c r="U193" s="297">
        <v>0</v>
      </c>
      <c r="V193" s="297">
        <v>0</v>
      </c>
      <c r="W193" s="297">
        <v>0</v>
      </c>
      <c r="X193" s="297">
        <v>0</v>
      </c>
      <c r="Y193" s="297">
        <v>0</v>
      </c>
      <c r="Z193" s="297">
        <v>0.1</v>
      </c>
      <c r="AA193" s="297">
        <v>0.94</v>
      </c>
      <c r="AB193" s="297">
        <v>1</v>
      </c>
      <c r="AC193" s="297">
        <v>1</v>
      </c>
      <c r="AD193" s="297">
        <v>1</v>
      </c>
      <c r="AE193" s="297">
        <v>1</v>
      </c>
      <c r="AF193" s="297">
        <v>1</v>
      </c>
      <c r="AG193" s="297">
        <v>1</v>
      </c>
      <c r="AH193" s="297">
        <v>1</v>
      </c>
      <c r="AI193" s="297">
        <v>1</v>
      </c>
      <c r="AJ193" s="297">
        <v>1</v>
      </c>
      <c r="AK193" s="297">
        <v>1</v>
      </c>
      <c r="AL193" s="297">
        <v>1</v>
      </c>
      <c r="AM193" s="297">
        <v>1</v>
      </c>
      <c r="AN193" s="297">
        <v>1</v>
      </c>
      <c r="AO193" s="297">
        <v>1</v>
      </c>
      <c r="AP193" s="297">
        <v>1</v>
      </c>
      <c r="AQ193" s="297">
        <v>1</v>
      </c>
      <c r="AR193" s="297">
        <v>1</v>
      </c>
      <c r="AS193" s="297">
        <v>1</v>
      </c>
      <c r="AT193" s="297">
        <v>1</v>
      </c>
      <c r="AU193" s="297">
        <v>1</v>
      </c>
      <c r="AV193" s="297">
        <v>1</v>
      </c>
      <c r="AW193" s="297">
        <v>1</v>
      </c>
      <c r="AX193" s="297">
        <v>1</v>
      </c>
      <c r="AY193" s="297">
        <v>1</v>
      </c>
      <c r="AZ193" s="297">
        <v>1</v>
      </c>
      <c r="BA193" s="297">
        <v>1</v>
      </c>
      <c r="BB193" s="297">
        <v>1</v>
      </c>
      <c r="BC193" s="297">
        <v>1</v>
      </c>
      <c r="BD193" s="297">
        <v>1</v>
      </c>
      <c r="BE193" s="297">
        <v>1</v>
      </c>
      <c r="BF193" s="297">
        <v>1</v>
      </c>
    </row>
    <row r="194" spans="3:58" ht="15" customHeight="1" x14ac:dyDescent="0.3">
      <c r="C194" s="295" t="s">
        <v>239</v>
      </c>
      <c r="E194" s="297">
        <v>0</v>
      </c>
      <c r="F194" s="297">
        <v>0</v>
      </c>
      <c r="G194" s="297">
        <v>0</v>
      </c>
      <c r="H194" s="297">
        <v>0</v>
      </c>
      <c r="I194" s="297">
        <v>0</v>
      </c>
      <c r="J194" s="297">
        <v>0</v>
      </c>
      <c r="K194" s="297">
        <v>0</v>
      </c>
      <c r="L194" s="297">
        <v>0</v>
      </c>
      <c r="M194" s="297">
        <v>0</v>
      </c>
      <c r="N194" s="297">
        <v>0</v>
      </c>
      <c r="O194" s="297">
        <v>0</v>
      </c>
      <c r="P194" s="297">
        <v>0</v>
      </c>
      <c r="Q194" s="297">
        <v>0</v>
      </c>
      <c r="R194" s="297">
        <v>0</v>
      </c>
      <c r="S194" s="297">
        <v>0</v>
      </c>
      <c r="T194" s="297">
        <v>0</v>
      </c>
      <c r="U194" s="297">
        <v>0</v>
      </c>
      <c r="V194" s="297">
        <v>0</v>
      </c>
      <c r="W194" s="297">
        <v>0</v>
      </c>
      <c r="X194" s="297">
        <v>0</v>
      </c>
      <c r="Y194" s="297">
        <v>0</v>
      </c>
      <c r="Z194" s="297">
        <v>0</v>
      </c>
      <c r="AA194" s="297">
        <v>0.02</v>
      </c>
      <c r="AB194" s="297">
        <v>0.18</v>
      </c>
      <c r="AC194" s="297">
        <v>0.63</v>
      </c>
      <c r="AD194" s="297">
        <v>1</v>
      </c>
      <c r="AE194" s="297">
        <v>1</v>
      </c>
      <c r="AF194" s="297">
        <v>1</v>
      </c>
      <c r="AG194" s="297">
        <v>1</v>
      </c>
      <c r="AH194" s="297">
        <v>1</v>
      </c>
      <c r="AI194" s="297">
        <v>1</v>
      </c>
      <c r="AJ194" s="297">
        <v>1</v>
      </c>
      <c r="AK194" s="297">
        <v>1</v>
      </c>
      <c r="AL194" s="297">
        <v>1</v>
      </c>
      <c r="AM194" s="297">
        <v>1</v>
      </c>
      <c r="AN194" s="297">
        <v>1</v>
      </c>
      <c r="AO194" s="297">
        <v>1</v>
      </c>
      <c r="AP194" s="297">
        <v>1</v>
      </c>
      <c r="AQ194" s="297">
        <v>1</v>
      </c>
      <c r="AR194" s="297">
        <v>1</v>
      </c>
      <c r="AS194" s="297">
        <v>1</v>
      </c>
      <c r="AT194" s="297">
        <v>1</v>
      </c>
      <c r="AU194" s="297">
        <v>1</v>
      </c>
      <c r="AV194" s="297">
        <v>1</v>
      </c>
      <c r="AW194" s="297">
        <v>1</v>
      </c>
      <c r="AX194" s="297">
        <v>1</v>
      </c>
      <c r="AY194" s="297">
        <v>1</v>
      </c>
      <c r="AZ194" s="297">
        <v>1</v>
      </c>
      <c r="BA194" s="297">
        <v>1</v>
      </c>
      <c r="BB194" s="297">
        <v>1</v>
      </c>
      <c r="BC194" s="297">
        <v>1</v>
      </c>
      <c r="BD194" s="297">
        <v>1</v>
      </c>
      <c r="BE194" s="297">
        <v>1</v>
      </c>
      <c r="BF194" s="297">
        <v>1</v>
      </c>
    </row>
    <row r="195" spans="3:58" ht="15" customHeight="1" x14ac:dyDescent="0.3">
      <c r="C195" s="295" t="s">
        <v>261</v>
      </c>
      <c r="E195" s="297">
        <v>0</v>
      </c>
      <c r="F195" s="297">
        <v>0</v>
      </c>
      <c r="G195" s="297">
        <v>0</v>
      </c>
      <c r="H195" s="297">
        <v>0</v>
      </c>
      <c r="I195" s="297">
        <v>0</v>
      </c>
      <c r="J195" s="297">
        <v>0</v>
      </c>
      <c r="K195" s="297">
        <v>0</v>
      </c>
      <c r="L195" s="297">
        <v>0</v>
      </c>
      <c r="M195" s="297">
        <v>0</v>
      </c>
      <c r="N195" s="297">
        <v>0</v>
      </c>
      <c r="O195" s="297">
        <v>0</v>
      </c>
      <c r="P195" s="297">
        <v>0</v>
      </c>
      <c r="Q195" s="297">
        <v>0</v>
      </c>
      <c r="R195" s="297">
        <v>0</v>
      </c>
      <c r="S195" s="297">
        <v>0</v>
      </c>
      <c r="T195" s="297">
        <v>0</v>
      </c>
      <c r="U195" s="297">
        <v>0</v>
      </c>
      <c r="V195" s="297">
        <v>0</v>
      </c>
      <c r="W195" s="297">
        <v>0</v>
      </c>
      <c r="X195" s="297">
        <v>0</v>
      </c>
      <c r="Y195" s="297">
        <v>0</v>
      </c>
      <c r="Z195" s="297">
        <v>0</v>
      </c>
      <c r="AA195" s="297">
        <v>0</v>
      </c>
      <c r="AB195" s="297">
        <v>0</v>
      </c>
      <c r="AC195" s="297">
        <v>0.04</v>
      </c>
      <c r="AD195" s="297">
        <v>0.67</v>
      </c>
      <c r="AE195" s="297">
        <v>1</v>
      </c>
      <c r="AF195" s="297">
        <v>1</v>
      </c>
      <c r="AG195" s="297">
        <v>1</v>
      </c>
      <c r="AH195" s="297">
        <v>1</v>
      </c>
      <c r="AI195" s="297">
        <v>1</v>
      </c>
      <c r="AJ195" s="297">
        <v>1</v>
      </c>
      <c r="AK195" s="297">
        <v>1</v>
      </c>
      <c r="AL195" s="297">
        <v>1</v>
      </c>
      <c r="AM195" s="297">
        <v>1</v>
      </c>
      <c r="AN195" s="297">
        <v>1</v>
      </c>
      <c r="AO195" s="297">
        <v>1</v>
      </c>
      <c r="AP195" s="297">
        <v>1</v>
      </c>
      <c r="AQ195" s="297">
        <v>1</v>
      </c>
      <c r="AR195" s="297">
        <v>1</v>
      </c>
      <c r="AS195" s="297">
        <v>1</v>
      </c>
      <c r="AT195" s="297">
        <v>1</v>
      </c>
      <c r="AU195" s="297">
        <v>1</v>
      </c>
      <c r="AV195" s="297">
        <v>1</v>
      </c>
      <c r="AW195" s="297">
        <v>1</v>
      </c>
      <c r="AX195" s="297">
        <v>1</v>
      </c>
      <c r="AY195" s="297">
        <v>1</v>
      </c>
      <c r="AZ195" s="297">
        <v>1</v>
      </c>
      <c r="BA195" s="297">
        <v>1</v>
      </c>
      <c r="BB195" s="297">
        <v>1</v>
      </c>
      <c r="BC195" s="297">
        <v>1</v>
      </c>
      <c r="BD195" s="297">
        <v>1</v>
      </c>
      <c r="BE195" s="297">
        <v>1</v>
      </c>
      <c r="BF195" s="297">
        <v>1</v>
      </c>
    </row>
    <row r="196" spans="3:58" ht="15" customHeight="1" x14ac:dyDescent="0.3">
      <c r="C196" s="295" t="s">
        <v>241</v>
      </c>
      <c r="E196" s="297">
        <v>0</v>
      </c>
      <c r="F196" s="297">
        <v>0</v>
      </c>
      <c r="G196" s="297">
        <v>0</v>
      </c>
      <c r="H196" s="297">
        <v>0</v>
      </c>
      <c r="I196" s="297">
        <v>0</v>
      </c>
      <c r="J196" s="297">
        <v>0</v>
      </c>
      <c r="K196" s="297">
        <v>0</v>
      </c>
      <c r="L196" s="297">
        <v>0</v>
      </c>
      <c r="M196" s="297">
        <v>0</v>
      </c>
      <c r="N196" s="297">
        <v>0</v>
      </c>
      <c r="O196" s="297">
        <v>0</v>
      </c>
      <c r="P196" s="297">
        <v>0</v>
      </c>
      <c r="Q196" s="297">
        <v>0</v>
      </c>
      <c r="R196" s="297">
        <v>0</v>
      </c>
      <c r="S196" s="297">
        <v>0</v>
      </c>
      <c r="T196" s="297">
        <v>0</v>
      </c>
      <c r="U196" s="297">
        <v>0</v>
      </c>
      <c r="V196" s="297">
        <v>0</v>
      </c>
      <c r="W196" s="297">
        <v>0</v>
      </c>
      <c r="X196" s="297">
        <v>0</v>
      </c>
      <c r="Y196" s="297">
        <v>0</v>
      </c>
      <c r="Z196" s="297">
        <v>0</v>
      </c>
      <c r="AA196" s="297">
        <v>0</v>
      </c>
      <c r="AB196" s="297">
        <v>0</v>
      </c>
      <c r="AC196" s="297">
        <v>0</v>
      </c>
      <c r="AD196" s="297">
        <v>0</v>
      </c>
      <c r="AE196" s="297">
        <v>0.09</v>
      </c>
      <c r="AF196" s="297">
        <v>0.26</v>
      </c>
      <c r="AG196" s="297">
        <v>0.4</v>
      </c>
      <c r="AH196" s="297">
        <v>0.63</v>
      </c>
      <c r="AI196" s="297">
        <v>0.74</v>
      </c>
      <c r="AJ196" s="297">
        <v>0.74</v>
      </c>
      <c r="AK196" s="297">
        <v>0.74</v>
      </c>
      <c r="AL196" s="297">
        <v>0.74</v>
      </c>
      <c r="AM196" s="297">
        <v>0.74</v>
      </c>
      <c r="AN196" s="297">
        <v>0.74</v>
      </c>
      <c r="AO196" s="297">
        <v>0.74</v>
      </c>
      <c r="AP196" s="297">
        <v>0.74</v>
      </c>
      <c r="AQ196" s="297">
        <v>0.74</v>
      </c>
      <c r="AR196" s="297">
        <v>0.74</v>
      </c>
      <c r="AS196" s="297">
        <v>0.74</v>
      </c>
      <c r="AT196" s="297">
        <v>0.74</v>
      </c>
      <c r="AU196" s="297">
        <v>0.74</v>
      </c>
      <c r="AV196" s="297">
        <v>1</v>
      </c>
      <c r="AW196" s="297">
        <v>1</v>
      </c>
      <c r="AX196" s="297">
        <v>1</v>
      </c>
      <c r="AY196" s="297">
        <v>1</v>
      </c>
      <c r="AZ196" s="297">
        <v>1</v>
      </c>
      <c r="BA196" s="297">
        <v>1</v>
      </c>
      <c r="BB196" s="297">
        <v>1</v>
      </c>
      <c r="BC196" s="297">
        <v>1</v>
      </c>
      <c r="BD196" s="297">
        <v>1</v>
      </c>
      <c r="BE196" s="297">
        <v>1</v>
      </c>
      <c r="BF196" s="297">
        <v>1</v>
      </c>
    </row>
    <row r="197" spans="3:58" ht="15" customHeight="1" x14ac:dyDescent="0.3">
      <c r="C197" s="295" t="s">
        <v>242</v>
      </c>
      <c r="E197" s="297">
        <v>0</v>
      </c>
      <c r="F197" s="297">
        <v>0</v>
      </c>
      <c r="G197" s="297">
        <v>0</v>
      </c>
      <c r="H197" s="297">
        <v>0</v>
      </c>
      <c r="I197" s="297">
        <v>0</v>
      </c>
      <c r="J197" s="297">
        <v>0</v>
      </c>
      <c r="K197" s="297">
        <v>0</v>
      </c>
      <c r="L197" s="297">
        <v>0</v>
      </c>
      <c r="M197" s="297">
        <v>0</v>
      </c>
      <c r="N197" s="297">
        <v>0</v>
      </c>
      <c r="O197" s="297">
        <v>0</v>
      </c>
      <c r="P197" s="297">
        <v>0</v>
      </c>
      <c r="Q197" s="297">
        <v>0</v>
      </c>
      <c r="R197" s="297">
        <v>0</v>
      </c>
      <c r="S197" s="297">
        <v>0</v>
      </c>
      <c r="T197" s="297">
        <v>0</v>
      </c>
      <c r="U197" s="297">
        <v>0</v>
      </c>
      <c r="V197" s="297">
        <v>0</v>
      </c>
      <c r="W197" s="297">
        <v>0</v>
      </c>
      <c r="X197" s="297">
        <v>0</v>
      </c>
      <c r="Y197" s="297">
        <v>0</v>
      </c>
      <c r="Z197" s="297">
        <v>0</v>
      </c>
      <c r="AA197" s="297">
        <v>0</v>
      </c>
      <c r="AB197" s="297">
        <v>0</v>
      </c>
      <c r="AC197" s="297">
        <v>0</v>
      </c>
      <c r="AD197" s="297">
        <v>0</v>
      </c>
      <c r="AE197" s="297">
        <v>0</v>
      </c>
      <c r="AF197" s="297">
        <v>0</v>
      </c>
      <c r="AG197" s="297">
        <v>7.0000000000000007E-2</v>
      </c>
      <c r="AH197" s="297">
        <v>0.24</v>
      </c>
      <c r="AI197" s="297">
        <v>0.41</v>
      </c>
      <c r="AJ197" s="297">
        <v>0.69</v>
      </c>
      <c r="AK197" s="297">
        <v>0.91</v>
      </c>
      <c r="AL197" s="297">
        <v>0.91</v>
      </c>
      <c r="AM197" s="297">
        <v>0.91</v>
      </c>
      <c r="AN197" s="297">
        <v>0.91</v>
      </c>
      <c r="AO197" s="297">
        <v>0.91</v>
      </c>
      <c r="AP197" s="297">
        <v>0.91</v>
      </c>
      <c r="AQ197" s="297">
        <v>0.91</v>
      </c>
      <c r="AR197" s="297">
        <v>0.91</v>
      </c>
      <c r="AS197" s="297">
        <v>0.91</v>
      </c>
      <c r="AT197" s="297">
        <v>0.91</v>
      </c>
      <c r="AU197" s="297">
        <v>0.91</v>
      </c>
      <c r="AV197" s="297">
        <v>1</v>
      </c>
      <c r="AW197" s="297">
        <v>1</v>
      </c>
      <c r="AX197" s="297">
        <v>1</v>
      </c>
      <c r="AY197" s="297">
        <v>1</v>
      </c>
      <c r="AZ197" s="297">
        <v>1</v>
      </c>
      <c r="BA197" s="297">
        <v>1</v>
      </c>
      <c r="BB197" s="297">
        <v>1</v>
      </c>
      <c r="BC197" s="297">
        <v>1</v>
      </c>
      <c r="BD197" s="297">
        <v>1</v>
      </c>
      <c r="BE197" s="297">
        <v>1</v>
      </c>
      <c r="BF197" s="297">
        <v>1</v>
      </c>
    </row>
    <row r="198" spans="3:58" ht="15" customHeight="1" x14ac:dyDescent="0.3">
      <c r="C198" s="295" t="s">
        <v>243</v>
      </c>
      <c r="E198" s="297">
        <v>0</v>
      </c>
      <c r="F198" s="297">
        <v>0</v>
      </c>
      <c r="G198" s="297">
        <v>0</v>
      </c>
      <c r="H198" s="297">
        <v>0</v>
      </c>
      <c r="I198" s="297">
        <v>0</v>
      </c>
      <c r="J198" s="297">
        <v>0</v>
      </c>
      <c r="K198" s="297">
        <v>0</v>
      </c>
      <c r="L198" s="297">
        <v>0</v>
      </c>
      <c r="M198" s="297">
        <v>0</v>
      </c>
      <c r="N198" s="297">
        <v>0</v>
      </c>
      <c r="O198" s="297">
        <v>0</v>
      </c>
      <c r="P198" s="297">
        <v>0</v>
      </c>
      <c r="Q198" s="297">
        <v>0</v>
      </c>
      <c r="R198" s="297">
        <v>0</v>
      </c>
      <c r="S198" s="297">
        <v>0</v>
      </c>
      <c r="T198" s="297">
        <v>0</v>
      </c>
      <c r="U198" s="297">
        <v>0</v>
      </c>
      <c r="V198" s="297">
        <v>0</v>
      </c>
      <c r="W198" s="297">
        <v>0</v>
      </c>
      <c r="X198" s="297">
        <v>0</v>
      </c>
      <c r="Y198" s="297">
        <v>0</v>
      </c>
      <c r="Z198" s="297">
        <v>0</v>
      </c>
      <c r="AA198" s="297">
        <v>0</v>
      </c>
      <c r="AB198" s="297">
        <v>0</v>
      </c>
      <c r="AC198" s="297">
        <v>0</v>
      </c>
      <c r="AD198" s="297">
        <v>0</v>
      </c>
      <c r="AE198" s="297">
        <v>0</v>
      </c>
      <c r="AF198" s="297">
        <v>0</v>
      </c>
      <c r="AG198" s="297">
        <v>0</v>
      </c>
      <c r="AH198" s="297">
        <v>0</v>
      </c>
      <c r="AI198" s="297">
        <v>0</v>
      </c>
      <c r="AJ198" s="297">
        <v>0.47</v>
      </c>
      <c r="AK198" s="297">
        <v>0.55000000000000004</v>
      </c>
      <c r="AL198" s="297">
        <v>0.66</v>
      </c>
      <c r="AM198" s="297">
        <v>0.76</v>
      </c>
      <c r="AN198" s="297">
        <v>0.76</v>
      </c>
      <c r="AO198" s="297">
        <v>0.76</v>
      </c>
      <c r="AP198" s="297">
        <v>0.76</v>
      </c>
      <c r="AQ198" s="297">
        <v>0.76</v>
      </c>
      <c r="AR198" s="297">
        <v>0.76</v>
      </c>
      <c r="AS198" s="297">
        <v>0.76</v>
      </c>
      <c r="AT198" s="297">
        <v>0.76</v>
      </c>
      <c r="AU198" s="297">
        <v>0.76</v>
      </c>
      <c r="AV198" s="297">
        <v>0.77</v>
      </c>
      <c r="AW198" s="297">
        <v>1</v>
      </c>
      <c r="AX198" s="297">
        <v>1</v>
      </c>
      <c r="AY198" s="297">
        <v>1</v>
      </c>
      <c r="AZ198" s="297">
        <v>1</v>
      </c>
      <c r="BA198" s="297">
        <v>1</v>
      </c>
      <c r="BB198" s="297">
        <v>1</v>
      </c>
      <c r="BC198" s="297">
        <v>1</v>
      </c>
      <c r="BD198" s="297">
        <v>1</v>
      </c>
      <c r="BE198" s="297">
        <v>1</v>
      </c>
      <c r="BF198" s="297">
        <v>1</v>
      </c>
    </row>
    <row r="199" spans="3:58" ht="15" customHeight="1" x14ac:dyDescent="0.3">
      <c r="C199" s="295" t="s">
        <v>244</v>
      </c>
      <c r="E199" s="297">
        <v>0</v>
      </c>
      <c r="F199" s="297">
        <v>0</v>
      </c>
      <c r="G199" s="297">
        <v>0</v>
      </c>
      <c r="H199" s="297">
        <v>0</v>
      </c>
      <c r="I199" s="297">
        <v>0</v>
      </c>
      <c r="J199" s="297">
        <v>0</v>
      </c>
      <c r="K199" s="297">
        <v>0</v>
      </c>
      <c r="L199" s="297">
        <v>0</v>
      </c>
      <c r="M199" s="297">
        <v>0</v>
      </c>
      <c r="N199" s="297">
        <v>0</v>
      </c>
      <c r="O199" s="297">
        <v>0</v>
      </c>
      <c r="P199" s="297">
        <v>0</v>
      </c>
      <c r="Q199" s="297">
        <v>0</v>
      </c>
      <c r="R199" s="297">
        <v>0</v>
      </c>
      <c r="S199" s="297">
        <v>0</v>
      </c>
      <c r="T199" s="297">
        <v>0</v>
      </c>
      <c r="U199" s="297">
        <v>0</v>
      </c>
      <c r="V199" s="297">
        <v>0</v>
      </c>
      <c r="W199" s="297">
        <v>0</v>
      </c>
      <c r="X199" s="297">
        <v>0</v>
      </c>
      <c r="Y199" s="297">
        <v>0</v>
      </c>
      <c r="Z199" s="297">
        <v>0</v>
      </c>
      <c r="AA199" s="297">
        <v>0</v>
      </c>
      <c r="AB199" s="297">
        <v>0</v>
      </c>
      <c r="AC199" s="297">
        <v>0</v>
      </c>
      <c r="AD199" s="297">
        <v>0</v>
      </c>
      <c r="AE199" s="297">
        <v>0</v>
      </c>
      <c r="AF199" s="297">
        <v>0</v>
      </c>
      <c r="AG199" s="297">
        <v>0</v>
      </c>
      <c r="AH199" s="297">
        <v>0</v>
      </c>
      <c r="AI199" s="297">
        <v>0</v>
      </c>
      <c r="AJ199" s="297">
        <v>0</v>
      </c>
      <c r="AK199" s="297">
        <v>0</v>
      </c>
      <c r="AL199" s="297">
        <v>0.31</v>
      </c>
      <c r="AM199" s="297">
        <v>0.76</v>
      </c>
      <c r="AN199" s="297">
        <v>1</v>
      </c>
      <c r="AO199" s="297">
        <v>1</v>
      </c>
      <c r="AP199" s="297">
        <v>1</v>
      </c>
      <c r="AQ199" s="297">
        <v>1</v>
      </c>
      <c r="AR199" s="297">
        <v>1</v>
      </c>
      <c r="AS199" s="297">
        <v>1</v>
      </c>
      <c r="AT199" s="297">
        <v>1</v>
      </c>
      <c r="AU199" s="297">
        <v>1</v>
      </c>
      <c r="AV199" s="297">
        <v>1</v>
      </c>
      <c r="AW199" s="297">
        <v>1</v>
      </c>
      <c r="AX199" s="297">
        <v>1</v>
      </c>
      <c r="AY199" s="297">
        <v>1</v>
      </c>
      <c r="AZ199" s="297">
        <v>1</v>
      </c>
      <c r="BA199" s="297">
        <v>1</v>
      </c>
      <c r="BB199" s="297">
        <v>1</v>
      </c>
      <c r="BC199" s="297">
        <v>1</v>
      </c>
      <c r="BD199" s="297">
        <v>1</v>
      </c>
      <c r="BE199" s="297">
        <v>1</v>
      </c>
      <c r="BF199" s="297">
        <v>1</v>
      </c>
    </row>
    <row r="200" spans="3:58" ht="15" customHeight="1" x14ac:dyDescent="0.3">
      <c r="C200" s="295" t="s">
        <v>245</v>
      </c>
      <c r="E200" s="297">
        <v>0</v>
      </c>
      <c r="F200" s="297">
        <v>0</v>
      </c>
      <c r="G200" s="297">
        <v>0</v>
      </c>
      <c r="H200" s="297">
        <v>0</v>
      </c>
      <c r="I200" s="297">
        <v>0</v>
      </c>
      <c r="J200" s="297">
        <v>0</v>
      </c>
      <c r="K200" s="297">
        <v>0</v>
      </c>
      <c r="L200" s="297">
        <v>0</v>
      </c>
      <c r="M200" s="297">
        <v>0</v>
      </c>
      <c r="N200" s="297">
        <v>0</v>
      </c>
      <c r="O200" s="297">
        <v>0</v>
      </c>
      <c r="P200" s="297">
        <v>0</v>
      </c>
      <c r="Q200" s="297">
        <v>0</v>
      </c>
      <c r="R200" s="297">
        <v>0</v>
      </c>
      <c r="S200" s="297">
        <v>0</v>
      </c>
      <c r="T200" s="297">
        <v>0</v>
      </c>
      <c r="U200" s="297">
        <v>0</v>
      </c>
      <c r="V200" s="297">
        <v>0</v>
      </c>
      <c r="W200" s="297">
        <v>0</v>
      </c>
      <c r="X200" s="297">
        <v>0</v>
      </c>
      <c r="Y200" s="297">
        <v>0</v>
      </c>
      <c r="Z200" s="297">
        <v>0</v>
      </c>
      <c r="AA200" s="297">
        <v>0</v>
      </c>
      <c r="AB200" s="297">
        <v>0</v>
      </c>
      <c r="AC200" s="297">
        <v>0</v>
      </c>
      <c r="AD200" s="297">
        <v>0</v>
      </c>
      <c r="AE200" s="297">
        <v>0</v>
      </c>
      <c r="AF200" s="297">
        <v>0</v>
      </c>
      <c r="AG200" s="297">
        <v>0</v>
      </c>
      <c r="AH200" s="297">
        <v>0</v>
      </c>
      <c r="AI200" s="297">
        <v>0.11</v>
      </c>
      <c r="AJ200" s="297">
        <v>0.44</v>
      </c>
      <c r="AK200" s="297">
        <v>0.64</v>
      </c>
      <c r="AL200" s="297">
        <v>0.82</v>
      </c>
      <c r="AM200" s="297">
        <v>1</v>
      </c>
      <c r="AN200" s="297">
        <v>1</v>
      </c>
      <c r="AO200" s="297">
        <v>1</v>
      </c>
      <c r="AP200" s="297">
        <v>1</v>
      </c>
      <c r="AQ200" s="297">
        <v>1</v>
      </c>
      <c r="AR200" s="297">
        <v>1</v>
      </c>
      <c r="AS200" s="297">
        <v>1</v>
      </c>
      <c r="AT200" s="297">
        <v>1</v>
      </c>
      <c r="AU200" s="297">
        <v>1</v>
      </c>
      <c r="AV200" s="297">
        <v>1</v>
      </c>
      <c r="AW200" s="297">
        <v>1</v>
      </c>
      <c r="AX200" s="297">
        <v>1</v>
      </c>
      <c r="AY200" s="297">
        <v>1</v>
      </c>
      <c r="AZ200" s="297">
        <v>1</v>
      </c>
      <c r="BA200" s="297">
        <v>1</v>
      </c>
      <c r="BB200" s="297">
        <v>1</v>
      </c>
      <c r="BC200" s="297">
        <v>1</v>
      </c>
      <c r="BD200" s="297">
        <v>1</v>
      </c>
      <c r="BE200" s="297">
        <v>1</v>
      </c>
      <c r="BF200" s="297">
        <v>1</v>
      </c>
    </row>
    <row r="201" spans="3:58" ht="15" customHeight="1" x14ac:dyDescent="0.3">
      <c r="C201" s="295" t="s">
        <v>246</v>
      </c>
      <c r="E201" s="297">
        <v>0</v>
      </c>
      <c r="F201" s="297">
        <v>0</v>
      </c>
      <c r="G201" s="297">
        <v>0</v>
      </c>
      <c r="H201" s="297">
        <v>0</v>
      </c>
      <c r="I201" s="297">
        <v>0</v>
      </c>
      <c r="J201" s="297">
        <v>0</v>
      </c>
      <c r="K201" s="297">
        <v>0</v>
      </c>
      <c r="L201" s="297">
        <v>0</v>
      </c>
      <c r="M201" s="297">
        <v>0</v>
      </c>
      <c r="N201" s="297">
        <v>0</v>
      </c>
      <c r="O201" s="297">
        <v>0</v>
      </c>
      <c r="P201" s="297">
        <v>0</v>
      </c>
      <c r="Q201" s="297">
        <v>0</v>
      </c>
      <c r="R201" s="297">
        <v>0</v>
      </c>
      <c r="S201" s="297">
        <v>0</v>
      </c>
      <c r="T201" s="297">
        <v>0</v>
      </c>
      <c r="U201" s="297">
        <v>0</v>
      </c>
      <c r="V201" s="297">
        <v>0</v>
      </c>
      <c r="W201" s="297">
        <v>0</v>
      </c>
      <c r="X201" s="297">
        <v>0</v>
      </c>
      <c r="Y201" s="297">
        <v>0</v>
      </c>
      <c r="Z201" s="297">
        <v>0</v>
      </c>
      <c r="AA201" s="297">
        <v>0</v>
      </c>
      <c r="AB201" s="297">
        <v>0</v>
      </c>
      <c r="AC201" s="297">
        <v>0</v>
      </c>
      <c r="AD201" s="297">
        <v>0</v>
      </c>
      <c r="AE201" s="297">
        <v>0</v>
      </c>
      <c r="AF201" s="297">
        <v>0</v>
      </c>
      <c r="AG201" s="297">
        <v>0</v>
      </c>
      <c r="AH201" s="297">
        <v>0</v>
      </c>
      <c r="AI201" s="297">
        <v>0</v>
      </c>
      <c r="AJ201" s="297">
        <v>0</v>
      </c>
      <c r="AK201" s="297">
        <v>0</v>
      </c>
      <c r="AL201" s="297">
        <v>0</v>
      </c>
      <c r="AM201" s="297">
        <v>0</v>
      </c>
      <c r="AN201" s="297">
        <v>0</v>
      </c>
      <c r="AO201" s="297">
        <v>0.28999999999999998</v>
      </c>
      <c r="AP201" s="297">
        <v>0.77</v>
      </c>
      <c r="AQ201" s="297">
        <v>0.99</v>
      </c>
      <c r="AR201" s="297">
        <v>1</v>
      </c>
      <c r="AS201" s="297">
        <v>1</v>
      </c>
      <c r="AT201" s="297">
        <v>1</v>
      </c>
      <c r="AU201" s="297">
        <v>1</v>
      </c>
      <c r="AV201" s="297">
        <v>1</v>
      </c>
      <c r="AW201" s="297">
        <v>1</v>
      </c>
      <c r="AX201" s="297">
        <v>1</v>
      </c>
      <c r="AY201" s="297">
        <v>1</v>
      </c>
      <c r="AZ201" s="297">
        <v>1</v>
      </c>
      <c r="BA201" s="297">
        <v>1</v>
      </c>
      <c r="BB201" s="297">
        <v>1</v>
      </c>
      <c r="BC201" s="297">
        <v>1</v>
      </c>
      <c r="BD201" s="297">
        <v>1</v>
      </c>
      <c r="BE201" s="297">
        <v>1</v>
      </c>
      <c r="BF201" s="297">
        <v>1</v>
      </c>
    </row>
    <row r="202" spans="3:58" ht="15" customHeight="1" x14ac:dyDescent="0.3">
      <c r="C202" s="295" t="s">
        <v>247</v>
      </c>
      <c r="E202" s="297">
        <v>0</v>
      </c>
      <c r="F202" s="297">
        <v>0</v>
      </c>
      <c r="G202" s="297">
        <v>0</v>
      </c>
      <c r="H202" s="297">
        <v>0</v>
      </c>
      <c r="I202" s="297">
        <v>0</v>
      </c>
      <c r="J202" s="297">
        <v>0</v>
      </c>
      <c r="K202" s="297">
        <v>0</v>
      </c>
      <c r="L202" s="297">
        <v>0</v>
      </c>
      <c r="M202" s="297">
        <v>0</v>
      </c>
      <c r="N202" s="297">
        <v>0</v>
      </c>
      <c r="O202" s="297">
        <v>0</v>
      </c>
      <c r="P202" s="297">
        <v>0</v>
      </c>
      <c r="Q202" s="297">
        <v>0</v>
      </c>
      <c r="R202" s="297">
        <v>0</v>
      </c>
      <c r="S202" s="297">
        <v>0</v>
      </c>
      <c r="T202" s="297">
        <v>0</v>
      </c>
      <c r="U202" s="297">
        <v>0</v>
      </c>
      <c r="V202" s="297">
        <v>0</v>
      </c>
      <c r="W202" s="297">
        <v>0</v>
      </c>
      <c r="X202" s="297">
        <v>0</v>
      </c>
      <c r="Y202" s="297">
        <v>0</v>
      </c>
      <c r="Z202" s="297">
        <v>0</v>
      </c>
      <c r="AA202" s="297">
        <v>0</v>
      </c>
      <c r="AB202" s="297">
        <v>0</v>
      </c>
      <c r="AC202" s="297">
        <v>0</v>
      </c>
      <c r="AD202" s="297">
        <v>0</v>
      </c>
      <c r="AE202" s="297">
        <v>0</v>
      </c>
      <c r="AF202" s="297">
        <v>0</v>
      </c>
      <c r="AG202" s="297">
        <v>0</v>
      </c>
      <c r="AH202" s="297">
        <v>0</v>
      </c>
      <c r="AI202" s="297">
        <v>0</v>
      </c>
      <c r="AJ202" s="297">
        <v>0</v>
      </c>
      <c r="AK202" s="297">
        <v>0</v>
      </c>
      <c r="AL202" s="297">
        <v>0</v>
      </c>
      <c r="AM202" s="297">
        <v>0</v>
      </c>
      <c r="AN202" s="297">
        <v>0.44</v>
      </c>
      <c r="AO202" s="297">
        <v>1</v>
      </c>
      <c r="AP202" s="297">
        <v>1</v>
      </c>
      <c r="AQ202" s="297">
        <v>1</v>
      </c>
      <c r="AR202" s="297">
        <v>1</v>
      </c>
      <c r="AS202" s="297">
        <v>1</v>
      </c>
      <c r="AT202" s="297">
        <v>1</v>
      </c>
      <c r="AU202" s="297">
        <v>1</v>
      </c>
      <c r="AV202" s="297">
        <v>1</v>
      </c>
      <c r="AW202" s="297">
        <v>1</v>
      </c>
      <c r="AX202" s="297">
        <v>1</v>
      </c>
      <c r="AY202" s="297">
        <v>1</v>
      </c>
      <c r="AZ202" s="297">
        <v>1</v>
      </c>
      <c r="BA202" s="297">
        <v>1</v>
      </c>
      <c r="BB202" s="297">
        <v>1</v>
      </c>
      <c r="BC202" s="297">
        <v>1</v>
      </c>
      <c r="BD202" s="297">
        <v>1</v>
      </c>
      <c r="BE202" s="297">
        <v>1</v>
      </c>
      <c r="BF202" s="297">
        <v>1</v>
      </c>
    </row>
    <row r="203" spans="3:58" ht="15" customHeight="1" x14ac:dyDescent="0.3">
      <c r="C203" s="295" t="s">
        <v>248</v>
      </c>
      <c r="E203" s="297">
        <v>0</v>
      </c>
      <c r="F203" s="297">
        <v>0</v>
      </c>
      <c r="G203" s="297">
        <v>0</v>
      </c>
      <c r="H203" s="297">
        <v>0</v>
      </c>
      <c r="I203" s="297">
        <v>0</v>
      </c>
      <c r="J203" s="297">
        <v>0</v>
      </c>
      <c r="K203" s="297">
        <v>0</v>
      </c>
      <c r="L203" s="297">
        <v>0</v>
      </c>
      <c r="M203" s="297">
        <v>0</v>
      </c>
      <c r="N203" s="297">
        <v>0</v>
      </c>
      <c r="O203" s="297">
        <v>0</v>
      </c>
      <c r="P203" s="297">
        <v>0</v>
      </c>
      <c r="Q203" s="297">
        <v>0</v>
      </c>
      <c r="R203" s="297">
        <v>0</v>
      </c>
      <c r="S203" s="297">
        <v>0</v>
      </c>
      <c r="T203" s="297">
        <v>0</v>
      </c>
      <c r="U203" s="297">
        <v>0</v>
      </c>
      <c r="V203" s="297">
        <v>0</v>
      </c>
      <c r="W203" s="297">
        <v>0</v>
      </c>
      <c r="X203" s="297">
        <v>0</v>
      </c>
      <c r="Y203" s="297">
        <v>0</v>
      </c>
      <c r="Z203" s="297">
        <v>0</v>
      </c>
      <c r="AA203" s="297">
        <v>0</v>
      </c>
      <c r="AB203" s="297">
        <v>0</v>
      </c>
      <c r="AC203" s="297">
        <v>0</v>
      </c>
      <c r="AD203" s="297">
        <v>0</v>
      </c>
      <c r="AE203" s="297">
        <v>0</v>
      </c>
      <c r="AF203" s="297">
        <v>0</v>
      </c>
      <c r="AG203" s="297">
        <v>0</v>
      </c>
      <c r="AH203" s="297">
        <v>0</v>
      </c>
      <c r="AI203" s="297">
        <v>0</v>
      </c>
      <c r="AJ203" s="297">
        <v>0</v>
      </c>
      <c r="AK203" s="297">
        <v>0</v>
      </c>
      <c r="AL203" s="297">
        <v>0</v>
      </c>
      <c r="AM203" s="297">
        <v>0</v>
      </c>
      <c r="AN203" s="297">
        <v>0</v>
      </c>
      <c r="AO203" s="297">
        <v>0</v>
      </c>
      <c r="AP203" s="297">
        <v>0</v>
      </c>
      <c r="AQ203" s="297">
        <v>0</v>
      </c>
      <c r="AR203" s="297">
        <v>0</v>
      </c>
      <c r="AS203" s="297">
        <v>0</v>
      </c>
      <c r="AT203" s="297">
        <v>0.03</v>
      </c>
      <c r="AU203" s="297">
        <v>0.3</v>
      </c>
      <c r="AV203" s="297">
        <v>0.82</v>
      </c>
      <c r="AW203" s="297">
        <v>1</v>
      </c>
      <c r="AX203" s="297">
        <v>1</v>
      </c>
      <c r="AY203" s="297">
        <v>1</v>
      </c>
      <c r="AZ203" s="297">
        <v>1</v>
      </c>
      <c r="BA203" s="297">
        <v>1</v>
      </c>
      <c r="BB203" s="297">
        <v>1</v>
      </c>
      <c r="BC203" s="297">
        <v>1</v>
      </c>
      <c r="BD203" s="297">
        <v>1</v>
      </c>
      <c r="BE203" s="297">
        <v>1</v>
      </c>
      <c r="BF203" s="297">
        <v>1</v>
      </c>
    </row>
    <row r="204" spans="3:58" ht="15" customHeight="1" x14ac:dyDescent="0.3">
      <c r="C204" s="295" t="s">
        <v>249</v>
      </c>
      <c r="E204" s="297">
        <v>0</v>
      </c>
      <c r="F204" s="297">
        <v>0</v>
      </c>
      <c r="G204" s="297">
        <v>0</v>
      </c>
      <c r="H204" s="297">
        <v>0</v>
      </c>
      <c r="I204" s="297">
        <v>0</v>
      </c>
      <c r="J204" s="297">
        <v>0</v>
      </c>
      <c r="K204" s="297">
        <v>0</v>
      </c>
      <c r="L204" s="297">
        <v>0</v>
      </c>
      <c r="M204" s="297">
        <v>0</v>
      </c>
      <c r="N204" s="297">
        <v>0</v>
      </c>
      <c r="O204" s="297">
        <v>0</v>
      </c>
      <c r="P204" s="297">
        <v>0</v>
      </c>
      <c r="Q204" s="297">
        <v>0</v>
      </c>
      <c r="R204" s="297">
        <v>0</v>
      </c>
      <c r="S204" s="297">
        <v>0</v>
      </c>
      <c r="T204" s="297">
        <v>0</v>
      </c>
      <c r="U204" s="297">
        <v>0</v>
      </c>
      <c r="V204" s="297">
        <v>0</v>
      </c>
      <c r="W204" s="297">
        <v>0</v>
      </c>
      <c r="X204" s="297">
        <v>0</v>
      </c>
      <c r="Y204" s="297">
        <v>0</v>
      </c>
      <c r="Z204" s="297">
        <v>0</v>
      </c>
      <c r="AA204" s="297">
        <v>0</v>
      </c>
      <c r="AB204" s="297">
        <v>0</v>
      </c>
      <c r="AC204" s="297">
        <v>0</v>
      </c>
      <c r="AD204" s="297">
        <v>0</v>
      </c>
      <c r="AE204" s="297">
        <v>0</v>
      </c>
      <c r="AF204" s="297">
        <v>0</v>
      </c>
      <c r="AG204" s="297">
        <v>0</v>
      </c>
      <c r="AH204" s="297">
        <v>0</v>
      </c>
      <c r="AI204" s="297">
        <v>0</v>
      </c>
      <c r="AJ204" s="297">
        <v>0</v>
      </c>
      <c r="AK204" s="297">
        <v>0</v>
      </c>
      <c r="AL204" s="297">
        <v>0</v>
      </c>
      <c r="AM204" s="297">
        <v>0</v>
      </c>
      <c r="AN204" s="297">
        <v>0</v>
      </c>
      <c r="AO204" s="297">
        <v>0</v>
      </c>
      <c r="AP204" s="297">
        <v>0</v>
      </c>
      <c r="AQ204" s="297">
        <v>0</v>
      </c>
      <c r="AR204" s="297">
        <v>0.23</v>
      </c>
      <c r="AS204" s="297">
        <v>0.46</v>
      </c>
      <c r="AT204" s="297">
        <v>0.69</v>
      </c>
      <c r="AU204" s="297">
        <v>0.93</v>
      </c>
      <c r="AV204" s="297">
        <v>1</v>
      </c>
      <c r="AW204" s="297">
        <v>1</v>
      </c>
      <c r="AX204" s="297">
        <v>1</v>
      </c>
      <c r="AY204" s="297">
        <v>1</v>
      </c>
      <c r="AZ204" s="297">
        <v>1</v>
      </c>
      <c r="BA204" s="297">
        <v>1</v>
      </c>
      <c r="BB204" s="297">
        <v>1</v>
      </c>
      <c r="BC204" s="297">
        <v>1</v>
      </c>
      <c r="BD204" s="297">
        <v>1</v>
      </c>
      <c r="BE204" s="297">
        <v>1</v>
      </c>
      <c r="BF204" s="297">
        <v>1</v>
      </c>
    </row>
    <row r="205" spans="3:58" ht="15" customHeight="1" x14ac:dyDescent="0.3">
      <c r="C205" s="295" t="s">
        <v>250</v>
      </c>
      <c r="E205" s="297">
        <v>0</v>
      </c>
      <c r="F205" s="297">
        <v>0</v>
      </c>
      <c r="G205" s="297">
        <v>0</v>
      </c>
      <c r="H205" s="297">
        <v>0</v>
      </c>
      <c r="I205" s="297">
        <v>0</v>
      </c>
      <c r="J205" s="297">
        <v>0</v>
      </c>
      <c r="K205" s="297">
        <v>0</v>
      </c>
      <c r="L205" s="297">
        <v>0</v>
      </c>
      <c r="M205" s="297">
        <v>0</v>
      </c>
      <c r="N205" s="297">
        <v>0</v>
      </c>
      <c r="O205" s="297">
        <v>0</v>
      </c>
      <c r="P205" s="297">
        <v>0</v>
      </c>
      <c r="Q205" s="297">
        <v>0</v>
      </c>
      <c r="R205" s="297">
        <v>0</v>
      </c>
      <c r="S205" s="297">
        <v>0</v>
      </c>
      <c r="T205" s="297">
        <v>0</v>
      </c>
      <c r="U205" s="297">
        <v>0</v>
      </c>
      <c r="V205" s="297">
        <v>0</v>
      </c>
      <c r="W205" s="297">
        <v>0</v>
      </c>
      <c r="X205" s="297">
        <v>0</v>
      </c>
      <c r="Y205" s="297">
        <v>0</v>
      </c>
      <c r="Z205" s="297">
        <v>0</v>
      </c>
      <c r="AA205" s="297">
        <v>0</v>
      </c>
      <c r="AB205" s="297">
        <v>0</v>
      </c>
      <c r="AC205" s="297">
        <v>0</v>
      </c>
      <c r="AD205" s="297">
        <v>0</v>
      </c>
      <c r="AE205" s="297">
        <v>0</v>
      </c>
      <c r="AF205" s="297">
        <v>0</v>
      </c>
      <c r="AG205" s="297">
        <v>0</v>
      </c>
      <c r="AH205" s="297">
        <v>0</v>
      </c>
      <c r="AI205" s="297">
        <v>0</v>
      </c>
      <c r="AJ205" s="297">
        <v>0</v>
      </c>
      <c r="AK205" s="297">
        <v>0</v>
      </c>
      <c r="AL205" s="297">
        <v>0</v>
      </c>
      <c r="AM205" s="297">
        <v>0</v>
      </c>
      <c r="AN205" s="297">
        <v>0</v>
      </c>
      <c r="AO205" s="297">
        <v>0</v>
      </c>
      <c r="AP205" s="297">
        <v>0</v>
      </c>
      <c r="AQ205" s="297">
        <v>0</v>
      </c>
      <c r="AR205" s="297">
        <v>0</v>
      </c>
      <c r="AS205" s="297">
        <v>0</v>
      </c>
      <c r="AT205" s="297">
        <v>0</v>
      </c>
      <c r="AU205" s="297">
        <v>0</v>
      </c>
      <c r="AV205" s="297">
        <v>0.39</v>
      </c>
      <c r="AW205" s="297">
        <v>1</v>
      </c>
      <c r="AX205" s="297">
        <v>1</v>
      </c>
      <c r="AY205" s="297">
        <v>1</v>
      </c>
      <c r="AZ205" s="297">
        <v>1</v>
      </c>
      <c r="BA205" s="297">
        <v>1</v>
      </c>
      <c r="BB205" s="297">
        <v>1</v>
      </c>
      <c r="BC205" s="297">
        <v>1</v>
      </c>
      <c r="BD205" s="297">
        <v>1</v>
      </c>
      <c r="BE205" s="297">
        <v>1</v>
      </c>
      <c r="BF205" s="297">
        <v>1</v>
      </c>
    </row>
    <row r="206" spans="3:58" ht="15" customHeight="1" x14ac:dyDescent="0.3">
      <c r="C206" s="287" t="s">
        <v>202</v>
      </c>
      <c r="E206" s="288">
        <v>0.02</v>
      </c>
      <c r="F206" s="288">
        <v>0.02</v>
      </c>
      <c r="G206" s="288">
        <v>0.04</v>
      </c>
      <c r="H206" s="288">
        <v>0.06</v>
      </c>
      <c r="I206" s="288">
        <v>0.11</v>
      </c>
      <c r="J206" s="288">
        <v>0.13</v>
      </c>
      <c r="K206" s="288">
        <v>0.15</v>
      </c>
      <c r="L206" s="288">
        <v>0.17</v>
      </c>
      <c r="M206" s="288">
        <v>0.2</v>
      </c>
      <c r="N206" s="288">
        <v>0.22</v>
      </c>
      <c r="O206" s="288">
        <v>0.24</v>
      </c>
      <c r="P206" s="288">
        <v>0.26</v>
      </c>
      <c r="Q206" s="288">
        <v>0.28000000000000003</v>
      </c>
      <c r="R206" s="288">
        <v>0.3</v>
      </c>
      <c r="S206" s="288">
        <v>0.32</v>
      </c>
      <c r="T206" s="288">
        <v>0.34</v>
      </c>
      <c r="U206" s="288">
        <v>0.36</v>
      </c>
      <c r="V206" s="288">
        <v>0.38</v>
      </c>
      <c r="W206" s="288">
        <v>0.41</v>
      </c>
      <c r="X206" s="288">
        <v>0.43</v>
      </c>
      <c r="Y206" s="288">
        <v>0.45</v>
      </c>
      <c r="Z206" s="288">
        <v>0.47</v>
      </c>
      <c r="AA206" s="288">
        <v>0.49</v>
      </c>
      <c r="AB206" s="288">
        <v>0.51</v>
      </c>
      <c r="AC206" s="288">
        <v>0.53</v>
      </c>
      <c r="AD206" s="288">
        <v>0.56000000000000005</v>
      </c>
      <c r="AE206" s="288">
        <v>0.57999999999999996</v>
      </c>
      <c r="AF206" s="288">
        <v>0.6</v>
      </c>
      <c r="AG206" s="288">
        <v>0.62</v>
      </c>
      <c r="AH206" s="288">
        <v>0.64</v>
      </c>
      <c r="AI206" s="288">
        <v>0.67</v>
      </c>
      <c r="AJ206" s="288">
        <v>0.69</v>
      </c>
      <c r="AK206" s="288">
        <v>0.71</v>
      </c>
      <c r="AL206" s="288">
        <v>0.73</v>
      </c>
      <c r="AM206" s="288">
        <v>0.76</v>
      </c>
      <c r="AN206" s="288">
        <v>0.78</v>
      </c>
      <c r="AO206" s="288">
        <v>0.8</v>
      </c>
      <c r="AP206" s="288">
        <v>0.82</v>
      </c>
      <c r="AQ206" s="288">
        <v>0.84</v>
      </c>
      <c r="AR206" s="288">
        <v>0.87</v>
      </c>
      <c r="AS206" s="288">
        <v>0.89</v>
      </c>
      <c r="AT206" s="288">
        <v>0.91</v>
      </c>
      <c r="AU206" s="288">
        <v>0.93</v>
      </c>
      <c r="AV206" s="288">
        <v>0.96</v>
      </c>
      <c r="AW206" s="288">
        <v>0.98</v>
      </c>
      <c r="AX206" s="288">
        <v>0.98</v>
      </c>
      <c r="AY206" s="288">
        <v>1</v>
      </c>
      <c r="AZ206" s="288">
        <v>1</v>
      </c>
      <c r="BA206" s="288">
        <v>1</v>
      </c>
      <c r="BB206" s="288">
        <v>1</v>
      </c>
      <c r="BC206" s="288">
        <v>1</v>
      </c>
      <c r="BD206" s="288">
        <v>1</v>
      </c>
      <c r="BE206" s="288">
        <v>1</v>
      </c>
      <c r="BF206" s="288">
        <v>1</v>
      </c>
    </row>
    <row r="207" spans="3:58" ht="15" customHeight="1" x14ac:dyDescent="0.3">
      <c r="C207" s="294" t="s">
        <v>262</v>
      </c>
      <c r="E207" s="296">
        <v>0</v>
      </c>
      <c r="F207" s="296">
        <v>0</v>
      </c>
      <c r="G207" s="296">
        <v>0</v>
      </c>
      <c r="H207" s="296">
        <v>0</v>
      </c>
      <c r="I207" s="296">
        <v>0</v>
      </c>
      <c r="J207" s="296">
        <v>0</v>
      </c>
      <c r="K207" s="296">
        <v>0</v>
      </c>
      <c r="L207" s="296">
        <v>0</v>
      </c>
      <c r="M207" s="296">
        <v>0</v>
      </c>
      <c r="N207" s="296">
        <v>0</v>
      </c>
      <c r="O207" s="296">
        <v>0</v>
      </c>
      <c r="P207" s="296">
        <v>0</v>
      </c>
      <c r="Q207" s="296">
        <v>0</v>
      </c>
      <c r="R207" s="296">
        <v>0</v>
      </c>
      <c r="S207" s="296">
        <v>0</v>
      </c>
      <c r="T207" s="296">
        <v>0</v>
      </c>
      <c r="U207" s="296">
        <v>0</v>
      </c>
      <c r="V207" s="296">
        <v>0</v>
      </c>
      <c r="W207" s="296">
        <v>0</v>
      </c>
      <c r="X207" s="296">
        <v>0</v>
      </c>
      <c r="Y207" s="296">
        <v>0</v>
      </c>
      <c r="Z207" s="296">
        <v>0</v>
      </c>
      <c r="AA207" s="296">
        <v>0</v>
      </c>
      <c r="AB207" s="296">
        <v>0</v>
      </c>
      <c r="AC207" s="296">
        <v>0</v>
      </c>
      <c r="AD207" s="296">
        <v>0</v>
      </c>
      <c r="AE207" s="296">
        <v>0</v>
      </c>
      <c r="AF207" s="296">
        <v>0</v>
      </c>
      <c r="AG207" s="296">
        <v>0</v>
      </c>
      <c r="AH207" s="296">
        <v>0</v>
      </c>
      <c r="AI207" s="296">
        <v>0</v>
      </c>
      <c r="AJ207" s="296">
        <v>0</v>
      </c>
      <c r="AK207" s="296">
        <v>0</v>
      </c>
      <c r="AL207" s="296">
        <v>0</v>
      </c>
      <c r="AM207" s="296">
        <v>0</v>
      </c>
      <c r="AN207" s="296">
        <v>0</v>
      </c>
      <c r="AO207" s="296">
        <v>0</v>
      </c>
      <c r="AP207" s="296">
        <v>0</v>
      </c>
      <c r="AQ207" s="296">
        <v>0</v>
      </c>
      <c r="AR207" s="296">
        <v>0</v>
      </c>
      <c r="AS207" s="296">
        <v>0</v>
      </c>
      <c r="AT207" s="296">
        <v>0</v>
      </c>
      <c r="AU207" s="296">
        <v>0</v>
      </c>
      <c r="AV207" s="296">
        <v>0</v>
      </c>
      <c r="AW207" s="296">
        <v>0</v>
      </c>
      <c r="AX207" s="296">
        <v>0</v>
      </c>
      <c r="AY207" s="296">
        <v>1</v>
      </c>
      <c r="AZ207" s="296">
        <v>1</v>
      </c>
      <c r="BA207" s="296">
        <v>1</v>
      </c>
      <c r="BB207" s="296">
        <v>1</v>
      </c>
      <c r="BC207" s="296">
        <v>1</v>
      </c>
      <c r="BD207" s="296">
        <v>1</v>
      </c>
      <c r="BE207" s="296">
        <v>1</v>
      </c>
      <c r="BF207" s="296">
        <v>1</v>
      </c>
    </row>
    <row r="210" spans="3:5" x14ac:dyDescent="0.3">
      <c r="D210" s="298" t="s">
        <v>270</v>
      </c>
      <c r="E210" s="299" t="s">
        <v>271</v>
      </c>
    </row>
    <row r="211" spans="3:5" x14ac:dyDescent="0.3">
      <c r="C211" s="287" t="s">
        <v>236</v>
      </c>
      <c r="D211" s="77">
        <f>A8</f>
        <v>0.02</v>
      </c>
      <c r="E211" s="78">
        <f>B8</f>
        <v>0.05</v>
      </c>
    </row>
    <row r="212" spans="3:5" x14ac:dyDescent="0.3">
      <c r="C212" s="287" t="s">
        <v>251</v>
      </c>
      <c r="D212" s="77">
        <f>A23</f>
        <v>0</v>
      </c>
      <c r="E212" s="78">
        <f>B23</f>
        <v>0</v>
      </c>
    </row>
    <row r="213" spans="3:5" x14ac:dyDescent="0.3">
      <c r="C213" s="287" t="s">
        <v>253</v>
      </c>
      <c r="D213" s="77">
        <f>A38</f>
        <v>0</v>
      </c>
      <c r="E213" s="78">
        <f>B38</f>
        <v>0</v>
      </c>
    </row>
    <row r="214" spans="3:5" x14ac:dyDescent="0.3">
      <c r="C214" s="287" t="s">
        <v>256</v>
      </c>
      <c r="D214" s="77">
        <f>A53</f>
        <v>0</v>
      </c>
      <c r="E214" s="78">
        <f>B53</f>
        <v>0</v>
      </c>
    </row>
    <row r="215" spans="3:5" x14ac:dyDescent="0.3">
      <c r="C215" s="287" t="s">
        <v>259</v>
      </c>
      <c r="D215" s="77">
        <f>A68</f>
        <v>0</v>
      </c>
      <c r="E215" s="78">
        <f>B68</f>
        <v>0</v>
      </c>
    </row>
    <row r="216" spans="3:5" x14ac:dyDescent="0.3">
      <c r="C216" s="287" t="s">
        <v>260</v>
      </c>
      <c r="D216" s="77">
        <f>A83</f>
        <v>0</v>
      </c>
      <c r="E216" s="78">
        <f>B83</f>
        <v>0</v>
      </c>
    </row>
  </sheetData>
  <dataConsolidate/>
  <mergeCells count="161">
    <mergeCell ref="DF2:DG2"/>
    <mergeCell ref="CX2:CY2"/>
    <mergeCell ref="CZ2:DA2"/>
    <mergeCell ref="DB2:DC2"/>
    <mergeCell ref="DD2:DE2"/>
    <mergeCell ref="CN2:CO2"/>
    <mergeCell ref="CP2:CQ2"/>
    <mergeCell ref="CR2:CS2"/>
    <mergeCell ref="CT2:CU2"/>
    <mergeCell ref="CB3:CC3"/>
    <mergeCell ref="BN2:BO2"/>
    <mergeCell ref="BP2:BQ2"/>
    <mergeCell ref="AB2:AC2"/>
    <mergeCell ref="AD2:AE2"/>
    <mergeCell ref="AF2:AG2"/>
    <mergeCell ref="BF2:BG2"/>
    <mergeCell ref="BH2:BI2"/>
    <mergeCell ref="AH2:AI2"/>
    <mergeCell ref="AJ2:AK2"/>
    <mergeCell ref="BJ3:BK3"/>
    <mergeCell ref="BL3:BM3"/>
    <mergeCell ref="BN3:BO3"/>
    <mergeCell ref="BP3:BQ3"/>
    <mergeCell ref="BR3:BS3"/>
    <mergeCell ref="BT3:BU3"/>
    <mergeCell ref="BV3:BW3"/>
    <mergeCell ref="BX3:BY3"/>
    <mergeCell ref="BZ3:CA3"/>
    <mergeCell ref="CD2:CE2"/>
    <mergeCell ref="CF2:CG2"/>
    <mergeCell ref="CH2:CI2"/>
    <mergeCell ref="CJ2:CK2"/>
    <mergeCell ref="CL2:CM2"/>
    <mergeCell ref="N2:O2"/>
    <mergeCell ref="P2:Q2"/>
    <mergeCell ref="R2:S2"/>
    <mergeCell ref="T2:U2"/>
    <mergeCell ref="Z2:AA2"/>
    <mergeCell ref="BX2:BY2"/>
    <mergeCell ref="BZ2:CA2"/>
    <mergeCell ref="CB2:CC2"/>
    <mergeCell ref="D3:E3"/>
    <mergeCell ref="F3:G3"/>
    <mergeCell ref="H3:I3"/>
    <mergeCell ref="J3:K3"/>
    <mergeCell ref="L3:M3"/>
    <mergeCell ref="D2:E2"/>
    <mergeCell ref="V2:W2"/>
    <mergeCell ref="X2:Y2"/>
    <mergeCell ref="F2:G2"/>
    <mergeCell ref="X3:Y3"/>
    <mergeCell ref="H2:I2"/>
    <mergeCell ref="J2:K2"/>
    <mergeCell ref="L2:M2"/>
    <mergeCell ref="N3:O3"/>
    <mergeCell ref="P3:Q3"/>
    <mergeCell ref="R3:S3"/>
    <mergeCell ref="T3:U3"/>
    <mergeCell ref="V3:W3"/>
    <mergeCell ref="AV2:AW2"/>
    <mergeCell ref="AX2:AY2"/>
    <mergeCell ref="AZ2:BA2"/>
    <mergeCell ref="BB2:BC2"/>
    <mergeCell ref="AV3:AW3"/>
    <mergeCell ref="AX3:AY3"/>
    <mergeCell ref="AZ3:BA3"/>
    <mergeCell ref="BB3:BC3"/>
    <mergeCell ref="AR2:AS2"/>
    <mergeCell ref="AT2:AU2"/>
    <mergeCell ref="DJ2:DK2"/>
    <mergeCell ref="DJ3:DK3"/>
    <mergeCell ref="BD3:BE3"/>
    <mergeCell ref="BF3:BG3"/>
    <mergeCell ref="BH3:BI3"/>
    <mergeCell ref="AL2:AM2"/>
    <mergeCell ref="AN2:AO2"/>
    <mergeCell ref="AP2:AQ2"/>
    <mergeCell ref="BJ2:BK2"/>
    <mergeCell ref="BD2:BE2"/>
    <mergeCell ref="BR2:BS2"/>
    <mergeCell ref="BT2:BU2"/>
    <mergeCell ref="BV2:BW2"/>
    <mergeCell ref="BL2:BM2"/>
    <mergeCell ref="CV2:CW2"/>
    <mergeCell ref="DH2:DI2"/>
    <mergeCell ref="DH3:DI3"/>
    <mergeCell ref="CX3:CY3"/>
    <mergeCell ref="CZ3:DA3"/>
    <mergeCell ref="DB3:DC3"/>
    <mergeCell ref="DD3:DE3"/>
    <mergeCell ref="DF3:DG3"/>
    <mergeCell ref="CN3:CO3"/>
    <mergeCell ref="CP3:CQ3"/>
    <mergeCell ref="ED2:EE2"/>
    <mergeCell ref="EF2:EG2"/>
    <mergeCell ref="DL3:DM3"/>
    <mergeCell ref="DN3:DO3"/>
    <mergeCell ref="DP3:DQ3"/>
    <mergeCell ref="DR3:DS3"/>
    <mergeCell ref="DT3:DU3"/>
    <mergeCell ref="DV3:DW3"/>
    <mergeCell ref="DX3:DY3"/>
    <mergeCell ref="DZ3:EA3"/>
    <mergeCell ref="EB3:EC3"/>
    <mergeCell ref="ED3:EE3"/>
    <mergeCell ref="EF3:EG3"/>
    <mergeCell ref="DL2:DM2"/>
    <mergeCell ref="DN2:DO2"/>
    <mergeCell ref="DP2:DQ2"/>
    <mergeCell ref="DR2:DS2"/>
    <mergeCell ref="DT2:DU2"/>
    <mergeCell ref="DV2:DW2"/>
    <mergeCell ref="DX2:DY2"/>
    <mergeCell ref="DZ2:EA2"/>
    <mergeCell ref="EB2:EC2"/>
    <mergeCell ref="EV3:EW3"/>
    <mergeCell ref="EH2:EI2"/>
    <mergeCell ref="EJ2:EK2"/>
    <mergeCell ref="EL2:EM2"/>
    <mergeCell ref="EN2:EO2"/>
    <mergeCell ref="EP2:EQ2"/>
    <mergeCell ref="ER2:ES2"/>
    <mergeCell ref="ET2:EU2"/>
    <mergeCell ref="EV2:EW2"/>
    <mergeCell ref="AD3:AE3"/>
    <mergeCell ref="AF3:AG3"/>
    <mergeCell ref="AH3:AI3"/>
    <mergeCell ref="AJ3:AK3"/>
    <mergeCell ref="AL3:AM3"/>
    <mergeCell ref="AT3:AU3"/>
    <mergeCell ref="AP3:AQ3"/>
    <mergeCell ref="AR3:AS3"/>
    <mergeCell ref="Z3:AA3"/>
    <mergeCell ref="AN3:AO3"/>
    <mergeCell ref="AB3:AC3"/>
    <mergeCell ref="EH3:EI3"/>
    <mergeCell ref="EJ3:EK3"/>
    <mergeCell ref="EL3:EM3"/>
    <mergeCell ref="EN3:EO3"/>
    <mergeCell ref="EP3:EQ3"/>
    <mergeCell ref="ER3:ES3"/>
    <mergeCell ref="ET3:EU3"/>
    <mergeCell ref="CD3:CE3"/>
    <mergeCell ref="CF3:CG3"/>
    <mergeCell ref="CH3:CI3"/>
    <mergeCell ref="CJ3:CK3"/>
    <mergeCell ref="CL3:CM3"/>
    <mergeCell ref="CR3:CS3"/>
    <mergeCell ref="CT3:CU3"/>
    <mergeCell ref="CV3:CW3"/>
    <mergeCell ref="AS101:AV101"/>
    <mergeCell ref="AW101:BA101"/>
    <mergeCell ref="F101:I101"/>
    <mergeCell ref="J101:M101"/>
    <mergeCell ref="N101:R101"/>
    <mergeCell ref="S101:V101"/>
    <mergeCell ref="W101:Z101"/>
    <mergeCell ref="AA101:AE101"/>
    <mergeCell ref="AF101:AI101"/>
    <mergeCell ref="AJ101:AM101"/>
    <mergeCell ref="AN101:AR101"/>
  </mergeCells>
  <phoneticPr fontId="7" type="noConversion"/>
  <conditionalFormatting sqref="D113:D146">
    <cfRule type="cellIs" dxfId="178" priority="258" operator="equal">
      <formula>0</formula>
    </cfRule>
  </conditionalFormatting>
  <conditionalFormatting sqref="D2:EW2 E102:BQ102">
    <cfRule type="cellIs" dxfId="177" priority="180" operator="equal">
      <formula>$B$3</formula>
    </cfRule>
  </conditionalFormatting>
  <conditionalFormatting sqref="E5:E99">
    <cfRule type="cellIs" dxfId="176" priority="19" operator="equal">
      <formula>0</formula>
    </cfRule>
  </conditionalFormatting>
  <conditionalFormatting sqref="G5:G99">
    <cfRule type="cellIs" dxfId="175" priority="15" operator="equal">
      <formula>0</formula>
    </cfRule>
  </conditionalFormatting>
  <conditionalFormatting sqref="I5:I99">
    <cfRule type="cellIs" dxfId="174" priority="14" operator="equal">
      <formula>0</formula>
    </cfRule>
  </conditionalFormatting>
  <conditionalFormatting sqref="K5:K99">
    <cfRule type="cellIs" dxfId="173" priority="13" operator="equal">
      <formula>0</formula>
    </cfRule>
  </conditionalFormatting>
  <conditionalFormatting sqref="M5:M99">
    <cfRule type="cellIs" dxfId="172" priority="12" operator="equal">
      <formula>0</formula>
    </cfRule>
  </conditionalFormatting>
  <conditionalFormatting sqref="O5:O99">
    <cfRule type="cellIs" dxfId="171" priority="9" operator="equal">
      <formula>0</formula>
    </cfRule>
  </conditionalFormatting>
  <conditionalFormatting sqref="Q5:Q99">
    <cfRule type="cellIs" dxfId="170" priority="7" operator="equal">
      <formula>0</formula>
    </cfRule>
  </conditionalFormatting>
  <conditionalFormatting sqref="S5:S99">
    <cfRule type="cellIs" dxfId="169" priority="5" operator="equal">
      <formula>0</formula>
    </cfRule>
  </conditionalFormatting>
  <conditionalFormatting sqref="U5:U99">
    <cfRule type="cellIs" dxfId="168" priority="3" operator="equal">
      <formula>0</formula>
    </cfRule>
  </conditionalFormatting>
  <conditionalFormatting sqref="W5:W99">
    <cfRule type="cellIs" dxfId="167" priority="1" operator="equal">
      <formula>0</formula>
    </cfRule>
  </conditionalFormatting>
  <conditionalFormatting sqref="Y5:Y99 AA5:AA99 AC5:AC99 AE5:AE99 AG5:AG99 AI5:AI99 AK5:AK99 AM5:AM99 AO5:AO99 AQ5:AQ99 AS5:AS99 AU5:AU99 AW5:AW99 AY5:AY99 BA5:BA99 BC5:BC99 BE5:BE99 BG5:BG99 BI5:BI99 BK5:BK99 BM5:BM99 BO5:BO99 BQ5:BQ99 BS5:BS99 BU5:BU99 BW5:BW99 BY5:BY99 CA5:CA99 CC5:CC99 CE5:CE99 CG5:CG99 CI5:CI99 CK5:CK99 CM5:CM99 CO5:EW99">
    <cfRule type="cellIs" dxfId="166" priority="254" operator="equal">
      <formula>0</formula>
    </cfRule>
  </conditionalFormatting>
  <dataValidations disablePrompts="1" count="1">
    <dataValidation type="list" allowBlank="1" showInputMessage="1" showErrorMessage="1" sqref="B3" xr:uid="{6B0CA80B-D2F8-4341-ADD6-080E94995901}">
      <formula1>$D$2:$DI$2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7A3E5-37F0-4064-811C-E35AD650F378}">
  <sheetPr>
    <pageSetUpPr fitToPage="1"/>
  </sheetPr>
  <dimension ref="B1:DP105"/>
  <sheetViews>
    <sheetView showGridLines="0" topLeftCell="A85" zoomScale="85" zoomScaleNormal="85" zoomScaleSheetLayoutView="85" workbookViewId="0">
      <selection activeCell="C20" sqref="C20:C43"/>
    </sheetView>
  </sheetViews>
  <sheetFormatPr defaultColWidth="9.109375" defaultRowHeight="14.4" x14ac:dyDescent="0.3"/>
  <cols>
    <col min="1" max="1" width="9.109375" style="79"/>
    <col min="2" max="2" width="14.88671875" style="82" customWidth="1"/>
    <col min="3" max="3" width="33.6640625" style="79" customWidth="1"/>
    <col min="4" max="5" width="12.44140625" style="79" customWidth="1"/>
    <col min="6" max="85" width="3.6640625" style="79" customWidth="1"/>
    <col min="86" max="86" width="3.44140625" style="79" customWidth="1"/>
    <col min="87" max="93" width="13.33203125" style="79" customWidth="1"/>
    <col min="94" max="94" width="9.109375" style="79"/>
    <col min="95" max="95" width="14.44140625" style="79" bestFit="1" customWidth="1"/>
    <col min="96" max="16384" width="9.109375" style="79"/>
  </cols>
  <sheetData>
    <row r="1" spans="2:120" ht="9.75" customHeight="1" x14ac:dyDescent="0.3">
      <c r="B1" s="236"/>
      <c r="C1" s="237"/>
      <c r="D1" s="237"/>
      <c r="E1" s="237"/>
      <c r="F1" s="237"/>
      <c r="G1" s="237"/>
      <c r="H1" s="237"/>
      <c r="I1" s="237"/>
      <c r="J1" s="237"/>
      <c r="K1" s="237"/>
      <c r="L1" s="237"/>
      <c r="M1" s="237"/>
      <c r="N1" s="237"/>
      <c r="O1" s="237"/>
      <c r="P1" s="237"/>
      <c r="Q1" s="237"/>
      <c r="R1" s="237"/>
      <c r="S1" s="237"/>
      <c r="T1" s="237"/>
      <c r="U1" s="237"/>
      <c r="V1" s="237"/>
      <c r="W1" s="237"/>
      <c r="X1" s="237"/>
      <c r="Y1" s="237"/>
      <c r="Z1" s="237"/>
      <c r="AA1" s="237"/>
      <c r="AB1" s="237"/>
      <c r="AC1" s="237"/>
      <c r="AD1" s="237"/>
      <c r="AE1" s="237"/>
      <c r="AF1" s="237"/>
      <c r="AG1" s="237"/>
      <c r="AH1" s="237"/>
      <c r="AI1" s="237"/>
      <c r="AJ1" s="237"/>
      <c r="AK1" s="237"/>
      <c r="AL1" s="237"/>
      <c r="AM1" s="237"/>
      <c r="AN1" s="237"/>
      <c r="AO1" s="237"/>
      <c r="AP1" s="237"/>
      <c r="AQ1" s="237"/>
      <c r="AR1" s="237"/>
      <c r="AS1" s="237"/>
      <c r="AT1" s="237"/>
      <c r="AU1" s="237"/>
      <c r="AV1" s="237"/>
      <c r="AW1" s="237"/>
      <c r="AX1" s="237"/>
      <c r="AY1" s="237"/>
      <c r="AZ1" s="237"/>
      <c r="BA1" s="237"/>
      <c r="BB1" s="237"/>
      <c r="BC1" s="237"/>
      <c r="BD1" s="237"/>
      <c r="BE1" s="237"/>
      <c r="BF1" s="237"/>
      <c r="BG1" s="237"/>
      <c r="BH1" s="237"/>
      <c r="BI1" s="237"/>
      <c r="BJ1" s="237"/>
      <c r="BK1" s="237"/>
      <c r="BL1" s="237"/>
      <c r="BM1" s="237"/>
      <c r="BN1" s="237"/>
      <c r="BO1" s="237"/>
      <c r="BP1" s="237"/>
      <c r="BQ1" s="237"/>
      <c r="BR1" s="237"/>
      <c r="BS1" s="237"/>
      <c r="BT1" s="237"/>
      <c r="BU1" s="237"/>
      <c r="BV1" s="237"/>
      <c r="BW1" s="237"/>
      <c r="BX1" s="237"/>
      <c r="BY1" s="237"/>
      <c r="BZ1" s="237"/>
      <c r="CA1" s="237"/>
      <c r="CB1" s="237"/>
      <c r="CC1" s="237"/>
      <c r="CD1" s="237"/>
      <c r="CE1" s="237"/>
      <c r="CF1" s="237"/>
      <c r="CG1" s="238"/>
    </row>
    <row r="2" spans="2:120" ht="15.6" x14ac:dyDescent="0.3">
      <c r="B2" s="239"/>
      <c r="C2" s="240"/>
      <c r="D2" s="240"/>
      <c r="E2" s="240"/>
      <c r="F2" s="241"/>
      <c r="G2" s="241"/>
      <c r="H2" s="241"/>
      <c r="I2" s="241"/>
      <c r="J2" s="241"/>
      <c r="K2" s="241"/>
      <c r="L2" s="241"/>
      <c r="M2" s="241"/>
      <c r="N2" s="241"/>
      <c r="O2" s="241"/>
      <c r="P2" s="241"/>
      <c r="Q2" s="241"/>
      <c r="R2" s="241"/>
      <c r="S2" s="241"/>
      <c r="T2" s="241"/>
      <c r="U2" s="241"/>
      <c r="V2" s="241"/>
      <c r="W2" s="241"/>
      <c r="X2" s="241"/>
      <c r="Y2" s="241"/>
      <c r="Z2" s="241"/>
      <c r="AA2" s="241"/>
      <c r="AB2" s="241"/>
      <c r="AC2" s="241"/>
      <c r="AD2" s="241"/>
      <c r="AE2" s="241"/>
      <c r="AF2" s="241"/>
      <c r="AG2" s="241"/>
      <c r="AH2" s="241"/>
      <c r="AI2" s="241"/>
      <c r="AJ2" s="241"/>
      <c r="AK2" s="241"/>
      <c r="AL2" s="241"/>
      <c r="AM2" s="241"/>
      <c r="AN2" s="241"/>
      <c r="AO2" s="241"/>
      <c r="AP2" s="241"/>
      <c r="AQ2" s="241"/>
      <c r="AR2" s="241"/>
      <c r="AS2" s="241"/>
      <c r="AT2" s="241"/>
      <c r="AU2" s="241"/>
      <c r="AV2" s="241"/>
      <c r="AW2" s="241"/>
      <c r="AX2" s="241"/>
      <c r="AY2" s="241"/>
      <c r="AZ2" s="241"/>
      <c r="BA2" s="241"/>
      <c r="BB2" s="241"/>
      <c r="BC2" s="241"/>
      <c r="BD2" s="241"/>
      <c r="BE2" s="241"/>
      <c r="BF2" s="241"/>
      <c r="BG2" s="241"/>
      <c r="BH2" s="241"/>
      <c r="BI2" s="241"/>
      <c r="BJ2" s="241"/>
      <c r="BK2" s="241"/>
      <c r="BL2" s="241"/>
      <c r="BM2" s="241"/>
      <c r="BN2" s="241"/>
      <c r="BO2" s="241"/>
      <c r="BP2" s="241"/>
      <c r="BQ2" s="241"/>
      <c r="BR2" s="241"/>
      <c r="BS2" s="241"/>
      <c r="BT2" s="241"/>
      <c r="BU2" s="241"/>
      <c r="BV2" s="241"/>
      <c r="BW2" s="241"/>
      <c r="BX2" s="241"/>
      <c r="BY2" s="241"/>
      <c r="BZ2" s="241"/>
      <c r="CA2" s="241"/>
      <c r="CB2" s="241"/>
      <c r="CC2" s="241"/>
      <c r="CD2" s="241"/>
      <c r="CE2" s="241"/>
      <c r="CF2" s="241"/>
      <c r="CG2" s="33"/>
      <c r="CH2" s="80"/>
      <c r="CI2" s="80"/>
      <c r="CJ2" s="80"/>
      <c r="CK2" s="80"/>
      <c r="CL2" s="80"/>
      <c r="CM2" s="80"/>
      <c r="CN2" s="80"/>
      <c r="CO2" s="80"/>
      <c r="CP2" s="80"/>
      <c r="CQ2" s="80"/>
      <c r="CR2" s="80"/>
      <c r="CS2" s="80"/>
      <c r="CT2" s="80"/>
      <c r="CU2" s="80"/>
      <c r="CV2" s="80"/>
      <c r="CW2" s="80"/>
      <c r="CX2" s="80"/>
      <c r="CY2" s="80"/>
      <c r="CZ2" s="80"/>
      <c r="DA2" s="80"/>
      <c r="DB2" s="80"/>
      <c r="DC2" s="80"/>
      <c r="DD2" s="80"/>
      <c r="DE2" s="80"/>
      <c r="DF2" s="80"/>
      <c r="DG2" s="80"/>
      <c r="DH2" s="80"/>
      <c r="DI2" s="80"/>
      <c r="DJ2" s="80"/>
      <c r="DK2" s="80"/>
      <c r="DL2" s="80"/>
      <c r="DM2" s="80"/>
    </row>
    <row r="3" spans="2:120" ht="16.5" customHeight="1" x14ac:dyDescent="0.3">
      <c r="B3" s="239"/>
      <c r="C3" s="240"/>
      <c r="D3" s="240"/>
      <c r="E3" s="242" t="s">
        <v>98</v>
      </c>
      <c r="F3" s="243"/>
      <c r="G3" s="243"/>
      <c r="H3" s="243"/>
      <c r="I3" s="243"/>
      <c r="J3" s="243"/>
      <c r="K3" s="243"/>
      <c r="L3" s="243"/>
      <c r="M3" s="243"/>
      <c r="N3" s="243"/>
      <c r="O3" s="243"/>
      <c r="P3" s="240"/>
      <c r="Q3" s="240"/>
      <c r="R3" s="243"/>
      <c r="S3" s="244" t="s">
        <v>169</v>
      </c>
      <c r="T3" s="245" t="s">
        <v>166</v>
      </c>
      <c r="U3" s="243"/>
      <c r="V3" s="243"/>
      <c r="W3" s="243"/>
      <c r="X3" s="243"/>
      <c r="Y3" s="243"/>
      <c r="Z3" s="243"/>
      <c r="AA3" s="243"/>
      <c r="AB3" s="243"/>
      <c r="AC3" s="243"/>
      <c r="AD3" s="243"/>
      <c r="AE3" s="243"/>
      <c r="AF3" s="243"/>
      <c r="AG3" s="243"/>
      <c r="AH3" s="243"/>
      <c r="AI3" s="243"/>
      <c r="AJ3" s="243"/>
      <c r="AK3" s="243"/>
      <c r="AL3" s="243"/>
      <c r="AM3" s="243"/>
      <c r="AN3" s="243"/>
      <c r="AO3" s="243"/>
      <c r="AP3" s="243"/>
      <c r="AQ3" s="243"/>
      <c r="AR3" s="243"/>
      <c r="AS3" s="243"/>
      <c r="AT3" s="243"/>
      <c r="AU3" s="243"/>
      <c r="AV3" s="243"/>
      <c r="AW3" s="243"/>
      <c r="AX3" s="243"/>
      <c r="AY3" s="243"/>
      <c r="AZ3" s="243"/>
      <c r="BA3" s="243"/>
      <c r="BB3" s="243"/>
      <c r="BC3" s="243"/>
      <c r="BD3" s="243"/>
      <c r="BE3" s="243"/>
      <c r="BF3" s="243"/>
      <c r="BG3" s="243"/>
      <c r="BH3" s="243"/>
      <c r="BI3" s="243"/>
      <c r="BJ3" s="243"/>
      <c r="BK3" s="243"/>
      <c r="BL3" s="243"/>
      <c r="BM3" s="243"/>
      <c r="BN3" s="243"/>
      <c r="BO3" s="243"/>
      <c r="BP3" s="243"/>
      <c r="BQ3" s="243"/>
      <c r="BR3" s="243"/>
      <c r="BS3" s="243"/>
      <c r="BT3" s="243"/>
      <c r="BU3" s="243"/>
      <c r="BV3" s="243"/>
      <c r="BW3" s="243"/>
      <c r="BX3" s="243"/>
      <c r="BY3" s="243"/>
      <c r="BZ3" s="243"/>
      <c r="CA3" s="243"/>
      <c r="CB3" s="243"/>
      <c r="CC3" s="243"/>
      <c r="CD3" s="243"/>
      <c r="CE3" s="243"/>
      <c r="CF3" s="243"/>
      <c r="CG3" s="246"/>
      <c r="CH3" s="9"/>
      <c r="CI3" s="9"/>
      <c r="CJ3" s="9"/>
      <c r="CK3" s="9"/>
      <c r="CL3" s="9"/>
      <c r="CM3" s="9"/>
      <c r="CN3" s="9"/>
      <c r="CO3" s="9"/>
      <c r="CP3" s="81"/>
      <c r="CQ3" s="81"/>
      <c r="CR3" s="81"/>
      <c r="CS3" s="81"/>
      <c r="CT3" s="81"/>
      <c r="CU3" s="81"/>
      <c r="CV3" s="81"/>
      <c r="CW3" s="81"/>
      <c r="CX3" s="81"/>
      <c r="CY3" s="81"/>
      <c r="CZ3" s="81"/>
      <c r="DA3" s="81"/>
      <c r="DB3" s="81"/>
      <c r="DC3" s="81"/>
      <c r="DD3" s="81"/>
      <c r="DE3" s="81"/>
      <c r="DF3" s="81"/>
      <c r="DG3" s="81"/>
      <c r="DH3" s="81"/>
      <c r="DI3" s="81"/>
      <c r="DJ3" s="81"/>
      <c r="DK3" s="81"/>
      <c r="DL3" s="81"/>
      <c r="DM3" s="81"/>
    </row>
    <row r="4" spans="2:120" ht="15.75" customHeight="1" x14ac:dyDescent="0.3">
      <c r="B4" s="247"/>
      <c r="C4" s="248"/>
      <c r="D4" s="240"/>
      <c r="E4" s="241" t="s">
        <v>1</v>
      </c>
      <c r="F4" s="240"/>
      <c r="G4" s="249"/>
      <c r="H4" s="250"/>
      <c r="I4" s="240"/>
      <c r="J4" s="240"/>
      <c r="K4" s="249"/>
      <c r="L4" s="250"/>
      <c r="M4" s="240"/>
      <c r="N4" s="240"/>
      <c r="O4" s="249"/>
      <c r="P4" s="240"/>
      <c r="Q4" s="240"/>
      <c r="R4" s="240"/>
      <c r="S4" s="251" t="s">
        <v>170</v>
      </c>
      <c r="T4" s="252" t="s">
        <v>167</v>
      </c>
      <c r="U4" s="240"/>
      <c r="V4" s="240"/>
      <c r="W4" s="249"/>
      <c r="X4" s="250"/>
      <c r="Y4" s="240"/>
      <c r="Z4" s="240"/>
      <c r="AA4" s="249"/>
      <c r="AB4" s="250"/>
      <c r="AC4" s="240"/>
      <c r="AD4" s="240"/>
      <c r="AE4" s="249"/>
      <c r="AF4" s="250"/>
      <c r="AG4" s="240"/>
      <c r="AH4" s="240"/>
      <c r="AI4" s="249"/>
      <c r="AJ4" s="250"/>
      <c r="AK4" s="240"/>
      <c r="AL4" s="240"/>
      <c r="AM4" s="249"/>
      <c r="AN4" s="250"/>
      <c r="AO4" s="240"/>
      <c r="AP4" s="240"/>
      <c r="AQ4" s="249"/>
      <c r="AR4" s="250"/>
      <c r="AS4" s="240"/>
      <c r="AT4" s="40"/>
      <c r="AU4" s="240"/>
      <c r="AV4" s="240"/>
      <c r="AW4" s="240"/>
      <c r="AX4" s="240"/>
      <c r="AY4" s="249"/>
      <c r="AZ4" s="250"/>
      <c r="BA4" s="240"/>
      <c r="BB4" s="240"/>
      <c r="BC4" s="249"/>
      <c r="BD4" s="250"/>
      <c r="BE4" s="240"/>
      <c r="BF4" s="240"/>
      <c r="BG4" s="249"/>
      <c r="BH4" s="250"/>
      <c r="BI4" s="240"/>
      <c r="BJ4" s="40"/>
      <c r="BK4" s="240"/>
      <c r="BL4" s="240"/>
      <c r="BM4" s="240"/>
      <c r="BN4" s="240"/>
      <c r="BO4" s="249"/>
      <c r="BP4" s="250"/>
      <c r="BQ4" s="240"/>
      <c r="BR4" s="240"/>
      <c r="BS4" s="249"/>
      <c r="BT4" s="250"/>
      <c r="BU4" s="240"/>
      <c r="BV4" s="240"/>
      <c r="BW4" s="249"/>
      <c r="BX4" s="250"/>
      <c r="BY4" s="240"/>
      <c r="BZ4" s="240"/>
      <c r="CA4" s="249"/>
      <c r="CB4" s="250"/>
      <c r="CC4" s="240"/>
      <c r="CD4" s="240"/>
      <c r="CE4" s="240"/>
      <c r="CF4" s="240"/>
      <c r="CG4" s="253"/>
      <c r="CJ4" s="20"/>
      <c r="CN4" s="86"/>
      <c r="CO4" s="86"/>
      <c r="CP4" s="20"/>
      <c r="CQ4" s="86"/>
      <c r="CS4" s="20"/>
      <c r="CY4" s="20"/>
      <c r="CZ4" s="86"/>
      <c r="DB4" s="20"/>
      <c r="DL4" s="20"/>
    </row>
    <row r="5" spans="2:120" ht="15.75" customHeight="1" x14ac:dyDescent="0.3">
      <c r="B5" s="247"/>
      <c r="C5" s="248"/>
      <c r="D5" s="240"/>
      <c r="E5" s="243" t="s">
        <v>97</v>
      </c>
      <c r="F5" s="240"/>
      <c r="G5" s="254"/>
      <c r="H5" s="254"/>
      <c r="I5" s="240"/>
      <c r="J5" s="240"/>
      <c r="K5" s="254"/>
      <c r="L5" s="254"/>
      <c r="M5" s="240"/>
      <c r="N5" s="240"/>
      <c r="O5" s="254"/>
      <c r="P5" s="240"/>
      <c r="Q5" s="240"/>
      <c r="R5" s="240"/>
      <c r="S5" s="244" t="s">
        <v>171</v>
      </c>
      <c r="T5" s="255" t="s">
        <v>168</v>
      </c>
      <c r="U5" s="240"/>
      <c r="V5" s="240"/>
      <c r="W5" s="254"/>
      <c r="X5" s="254"/>
      <c r="Y5" s="240"/>
      <c r="Z5" s="240"/>
      <c r="AA5" s="254"/>
      <c r="AB5" s="254"/>
      <c r="AC5" s="240"/>
      <c r="AD5" s="240"/>
      <c r="AE5" s="254"/>
      <c r="AF5" s="254"/>
      <c r="AG5" s="240"/>
      <c r="AH5" s="240"/>
      <c r="AI5" s="254"/>
      <c r="AJ5" s="254"/>
      <c r="AK5" s="240"/>
      <c r="AL5" s="240"/>
      <c r="AM5" s="254"/>
      <c r="AN5" s="254"/>
      <c r="AO5" s="240"/>
      <c r="AP5" s="240"/>
      <c r="AQ5" s="254"/>
      <c r="AR5" s="254"/>
      <c r="AS5" s="240"/>
      <c r="AT5" s="240"/>
      <c r="AU5" s="240"/>
      <c r="AV5" s="240"/>
      <c r="AW5" s="240"/>
      <c r="AX5" s="240"/>
      <c r="AY5" s="254"/>
      <c r="AZ5" s="254"/>
      <c r="BA5" s="240"/>
      <c r="BB5" s="240"/>
      <c r="BC5" s="254"/>
      <c r="BD5" s="254"/>
      <c r="BE5" s="240"/>
      <c r="BF5" s="240"/>
      <c r="BG5" s="254"/>
      <c r="BH5" s="254"/>
      <c r="BI5" s="240"/>
      <c r="BJ5" s="240"/>
      <c r="BK5" s="240"/>
      <c r="BL5" s="240"/>
      <c r="BM5" s="240"/>
      <c r="BN5" s="240"/>
      <c r="BO5" s="254"/>
      <c r="BP5" s="254"/>
      <c r="BQ5" s="240"/>
      <c r="BR5" s="240"/>
      <c r="BS5" s="254"/>
      <c r="BT5" s="254"/>
      <c r="BU5" s="240"/>
      <c r="BV5" s="240"/>
      <c r="BW5" s="254"/>
      <c r="BX5" s="254"/>
      <c r="BY5" s="240"/>
      <c r="BZ5" s="240"/>
      <c r="CA5" s="254"/>
      <c r="CB5" s="254"/>
      <c r="CC5" s="240"/>
      <c r="CD5" s="240"/>
      <c r="CE5" s="240"/>
      <c r="CF5" s="240"/>
      <c r="CG5" s="253"/>
      <c r="CK5" s="20"/>
      <c r="CN5" s="20"/>
      <c r="CP5" s="20"/>
      <c r="CQ5" s="20"/>
      <c r="CY5" s="20"/>
      <c r="CZ5" s="20"/>
      <c r="DL5" s="20"/>
    </row>
    <row r="6" spans="2:120" ht="15.75" customHeight="1" x14ac:dyDescent="0.3">
      <c r="B6" s="256"/>
      <c r="C6" s="257"/>
      <c r="D6" s="257"/>
      <c r="E6" s="258" t="s">
        <v>139</v>
      </c>
      <c r="F6" s="40"/>
      <c r="G6" s="259"/>
      <c r="H6" s="259"/>
      <c r="I6" s="240"/>
      <c r="J6" s="261"/>
      <c r="K6" s="262" t="s">
        <v>35</v>
      </c>
      <c r="L6" s="344">
        <v>44984</v>
      </c>
      <c r="M6" s="344"/>
      <c r="N6" s="344"/>
      <c r="O6" s="344"/>
      <c r="P6" s="344"/>
      <c r="Q6" s="261"/>
      <c r="R6" s="261"/>
      <c r="S6" s="261"/>
      <c r="T6" s="262" t="s">
        <v>173</v>
      </c>
      <c r="U6" s="344">
        <v>45131</v>
      </c>
      <c r="V6" s="344"/>
      <c r="W6" s="344"/>
      <c r="X6" s="344"/>
      <c r="Y6" s="261"/>
      <c r="Z6" s="40"/>
      <c r="AA6" s="259"/>
      <c r="AB6" s="259"/>
      <c r="AC6" s="240"/>
      <c r="AD6" s="40"/>
      <c r="AE6" s="259"/>
      <c r="AF6" s="259"/>
      <c r="AG6" s="240"/>
      <c r="AH6" s="40"/>
      <c r="AI6" s="259"/>
      <c r="AJ6" s="259"/>
      <c r="AK6" s="240"/>
      <c r="AL6" s="40"/>
      <c r="AM6" s="259"/>
      <c r="AN6" s="259"/>
      <c r="AO6" s="240"/>
      <c r="AP6" s="40"/>
      <c r="AQ6" s="259"/>
      <c r="AR6" s="259"/>
      <c r="AS6" s="240"/>
      <c r="AT6" s="240"/>
      <c r="AU6" s="240"/>
      <c r="AV6" s="240"/>
      <c r="AW6" s="240"/>
      <c r="AX6" s="40"/>
      <c r="AY6" s="259"/>
      <c r="AZ6" s="259"/>
      <c r="BA6" s="240"/>
      <c r="BB6" s="40"/>
      <c r="BC6" s="259"/>
      <c r="BD6" s="259"/>
      <c r="BE6" s="240"/>
      <c r="BF6" s="40"/>
      <c r="BG6" s="259"/>
      <c r="BH6" s="259"/>
      <c r="BI6" s="240"/>
      <c r="BJ6" s="240"/>
      <c r="BK6" s="240"/>
      <c r="BL6" s="240"/>
      <c r="BM6" s="240"/>
      <c r="BN6" s="40"/>
      <c r="BO6" s="259"/>
      <c r="BP6" s="259"/>
      <c r="BQ6" s="240"/>
      <c r="BR6" s="40"/>
      <c r="BS6" s="259"/>
      <c r="BT6" s="259"/>
      <c r="BU6" s="240"/>
      <c r="BV6" s="40"/>
      <c r="BW6" s="259"/>
      <c r="BX6" s="259"/>
      <c r="BY6" s="240"/>
      <c r="BZ6" s="40"/>
      <c r="CA6" s="259"/>
      <c r="CB6" s="259"/>
      <c r="CC6" s="240"/>
      <c r="CD6" s="240"/>
      <c r="CE6" s="240"/>
      <c r="CF6" s="240"/>
      <c r="CG6" s="253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P6" s="90"/>
    </row>
    <row r="7" spans="2:120" ht="5.25" customHeight="1" x14ac:dyDescent="0.3">
      <c r="B7" s="256"/>
      <c r="C7" s="260"/>
      <c r="D7" s="260"/>
      <c r="E7" s="260"/>
      <c r="F7" s="40"/>
      <c r="G7" s="259"/>
      <c r="H7" s="259"/>
      <c r="I7" s="240"/>
      <c r="J7" s="40"/>
      <c r="K7" s="259"/>
      <c r="L7" s="259"/>
      <c r="M7" s="240"/>
      <c r="N7" s="40"/>
      <c r="O7" s="259"/>
      <c r="P7" s="259"/>
      <c r="Q7" s="240"/>
      <c r="R7" s="40"/>
      <c r="S7" s="259"/>
      <c r="T7" s="259"/>
      <c r="U7" s="240"/>
      <c r="V7" s="40"/>
      <c r="W7" s="259"/>
      <c r="X7" s="259"/>
      <c r="Y7" s="240"/>
      <c r="Z7" s="40"/>
      <c r="AA7" s="259"/>
      <c r="AB7" s="259"/>
      <c r="AC7" s="240"/>
      <c r="AD7" s="40"/>
      <c r="AE7" s="259"/>
      <c r="AF7" s="259"/>
      <c r="AG7" s="240"/>
      <c r="AH7" s="40"/>
      <c r="AI7" s="259"/>
      <c r="AJ7" s="259"/>
      <c r="AK7" s="240"/>
      <c r="AL7" s="40"/>
      <c r="AM7" s="259"/>
      <c r="AN7" s="259"/>
      <c r="AO7" s="240"/>
      <c r="AP7" s="40"/>
      <c r="AQ7" s="259"/>
      <c r="AR7" s="259"/>
      <c r="AS7" s="240"/>
      <c r="AT7" s="240"/>
      <c r="AU7" s="240"/>
      <c r="AV7" s="240"/>
      <c r="AW7" s="240"/>
      <c r="AX7" s="40"/>
      <c r="AY7" s="259"/>
      <c r="AZ7" s="259"/>
      <c r="BA7" s="240"/>
      <c r="BB7" s="40"/>
      <c r="BC7" s="259"/>
      <c r="BD7" s="259"/>
      <c r="BE7" s="240"/>
      <c r="BF7" s="40"/>
      <c r="BG7" s="259"/>
      <c r="BH7" s="259"/>
      <c r="BI7" s="240"/>
      <c r="BJ7" s="240"/>
      <c r="BK7" s="240"/>
      <c r="BL7" s="240"/>
      <c r="BM7" s="240"/>
      <c r="BN7" s="40"/>
      <c r="BO7" s="259"/>
      <c r="BP7" s="259"/>
      <c r="BQ7" s="240"/>
      <c r="BR7" s="40"/>
      <c r="BS7" s="259"/>
      <c r="BT7" s="259"/>
      <c r="BU7" s="240"/>
      <c r="BV7" s="40"/>
      <c r="BW7" s="259"/>
      <c r="BX7" s="259"/>
      <c r="BY7" s="240"/>
      <c r="BZ7" s="40"/>
      <c r="CA7" s="259"/>
      <c r="CB7" s="259"/>
      <c r="CC7" s="240"/>
      <c r="CD7" s="240"/>
      <c r="CE7" s="240"/>
      <c r="CF7" s="240"/>
      <c r="CG7" s="253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P7" s="90"/>
    </row>
    <row r="8" spans="2:120" s="93" customFormat="1" ht="21.75" customHeight="1" x14ac:dyDescent="0.3">
      <c r="B8" s="330"/>
      <c r="C8" s="331"/>
      <c r="D8" s="331"/>
      <c r="E8" s="331"/>
      <c r="F8" s="331"/>
      <c r="G8" s="331"/>
      <c r="H8" s="331"/>
      <c r="I8" s="331"/>
      <c r="J8" s="331"/>
      <c r="K8" s="331"/>
      <c r="L8" s="331"/>
      <c r="M8" s="331"/>
      <c r="N8" s="331"/>
      <c r="O8" s="331"/>
      <c r="P8" s="331"/>
      <c r="Q8" s="331"/>
      <c r="R8" s="331"/>
      <c r="S8" s="331"/>
      <c r="T8" s="331"/>
      <c r="U8" s="331"/>
      <c r="V8" s="331"/>
      <c r="W8" s="331"/>
      <c r="X8" s="331"/>
      <c r="Y8" s="331"/>
      <c r="Z8" s="331"/>
      <c r="AA8" s="331"/>
      <c r="AB8" s="331"/>
      <c r="AC8" s="331"/>
      <c r="AD8" s="331"/>
      <c r="AE8" s="331"/>
      <c r="AF8" s="331"/>
      <c r="AG8" s="331"/>
      <c r="AH8" s="331"/>
      <c r="AI8" s="331"/>
      <c r="AJ8" s="331"/>
      <c r="AK8" s="331"/>
      <c r="AL8" s="331"/>
      <c r="AM8" s="331"/>
      <c r="AN8" s="331"/>
      <c r="AO8" s="331"/>
      <c r="AP8" s="331"/>
      <c r="AQ8" s="331"/>
      <c r="AR8" s="331"/>
      <c r="AS8" s="331"/>
      <c r="AT8" s="331"/>
      <c r="AU8" s="331"/>
      <c r="AV8" s="331"/>
      <c r="AW8" s="331"/>
      <c r="AX8" s="331"/>
      <c r="AY8" s="331"/>
      <c r="AZ8" s="331"/>
      <c r="BA8" s="331"/>
      <c r="BB8" s="331"/>
      <c r="BC8" s="331"/>
      <c r="BD8" s="331"/>
      <c r="BE8" s="331"/>
      <c r="BF8" s="331"/>
      <c r="BG8" s="331"/>
      <c r="BH8" s="331"/>
      <c r="BI8" s="331"/>
      <c r="BJ8" s="331"/>
      <c r="BK8" s="331"/>
      <c r="BL8" s="331"/>
      <c r="BM8" s="331"/>
      <c r="BN8" s="331"/>
      <c r="BO8" s="331"/>
      <c r="BP8" s="331"/>
      <c r="BQ8" s="331"/>
      <c r="BR8" s="331"/>
      <c r="BS8" s="331"/>
      <c r="BT8" s="331"/>
      <c r="BU8" s="331"/>
      <c r="BV8" s="331"/>
      <c r="BW8" s="331"/>
      <c r="BX8" s="331"/>
      <c r="BY8" s="331"/>
      <c r="BZ8" s="331"/>
      <c r="CA8" s="331"/>
      <c r="CB8" s="331"/>
      <c r="CC8" s="331"/>
      <c r="CD8" s="331"/>
      <c r="CE8" s="331"/>
      <c r="CF8" s="331"/>
      <c r="CG8" s="332"/>
      <c r="CH8" s="92"/>
      <c r="CI8" s="92"/>
      <c r="CJ8" s="92"/>
      <c r="CK8" s="92"/>
      <c r="CL8" s="92"/>
      <c r="CM8" s="92"/>
      <c r="CN8" s="92"/>
      <c r="CO8" s="92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</row>
    <row r="9" spans="2:120" s="92" customFormat="1" ht="9" customHeight="1" thickBot="1" x14ac:dyDescent="0.35"/>
    <row r="10" spans="2:120" ht="17.25" customHeight="1" x14ac:dyDescent="0.3">
      <c r="B10" s="328" t="s">
        <v>92</v>
      </c>
      <c r="C10" s="337" t="s">
        <v>91</v>
      </c>
      <c r="D10" s="337"/>
      <c r="E10" s="94" t="s">
        <v>90</v>
      </c>
      <c r="F10" s="325">
        <v>1</v>
      </c>
      <c r="G10" s="326"/>
      <c r="H10" s="326"/>
      <c r="I10" s="333"/>
      <c r="J10" s="325">
        <v>2</v>
      </c>
      <c r="K10" s="326"/>
      <c r="L10" s="326"/>
      <c r="M10" s="333"/>
      <c r="N10" s="325">
        <v>3</v>
      </c>
      <c r="O10" s="326"/>
      <c r="P10" s="326"/>
      <c r="Q10" s="333"/>
      <c r="R10" s="325">
        <v>4</v>
      </c>
      <c r="S10" s="326"/>
      <c r="T10" s="326"/>
      <c r="U10" s="333"/>
      <c r="V10" s="325">
        <v>5</v>
      </c>
      <c r="W10" s="326"/>
      <c r="X10" s="326"/>
      <c r="Y10" s="333"/>
      <c r="Z10" s="325">
        <v>6</v>
      </c>
      <c r="AA10" s="326"/>
      <c r="AB10" s="326"/>
      <c r="AC10" s="333"/>
      <c r="AD10" s="325">
        <v>7</v>
      </c>
      <c r="AE10" s="326"/>
      <c r="AF10" s="326"/>
      <c r="AG10" s="333"/>
      <c r="AH10" s="325">
        <v>8</v>
      </c>
      <c r="AI10" s="326"/>
      <c r="AJ10" s="326"/>
      <c r="AK10" s="333"/>
      <c r="AL10" s="325">
        <v>9</v>
      </c>
      <c r="AM10" s="326"/>
      <c r="AN10" s="326"/>
      <c r="AO10" s="333"/>
      <c r="AP10" s="325">
        <v>10</v>
      </c>
      <c r="AQ10" s="326"/>
      <c r="AR10" s="326"/>
      <c r="AS10" s="333"/>
      <c r="AT10" s="325">
        <v>11</v>
      </c>
      <c r="AU10" s="326"/>
      <c r="AV10" s="326"/>
      <c r="AW10" s="326"/>
      <c r="AX10" s="325">
        <v>12</v>
      </c>
      <c r="AY10" s="326"/>
      <c r="AZ10" s="326"/>
      <c r="BA10" s="326"/>
      <c r="BB10" s="325">
        <v>13</v>
      </c>
      <c r="BC10" s="326"/>
      <c r="BD10" s="326"/>
      <c r="BE10" s="326"/>
      <c r="BF10" s="325">
        <v>14</v>
      </c>
      <c r="BG10" s="326"/>
      <c r="BH10" s="326"/>
      <c r="BI10" s="326"/>
      <c r="BJ10" s="325">
        <v>15</v>
      </c>
      <c r="BK10" s="326"/>
      <c r="BL10" s="326"/>
      <c r="BM10" s="326"/>
      <c r="BN10" s="325">
        <v>16</v>
      </c>
      <c r="BO10" s="326"/>
      <c r="BP10" s="326"/>
      <c r="BQ10" s="326"/>
      <c r="BR10" s="325">
        <v>17</v>
      </c>
      <c r="BS10" s="326"/>
      <c r="BT10" s="326"/>
      <c r="BU10" s="326"/>
      <c r="BV10" s="325">
        <v>18</v>
      </c>
      <c r="BW10" s="326"/>
      <c r="BX10" s="326"/>
      <c r="BY10" s="326"/>
      <c r="BZ10" s="325">
        <v>19</v>
      </c>
      <c r="CA10" s="326"/>
      <c r="CB10" s="326"/>
      <c r="CC10" s="326"/>
      <c r="CD10" s="325">
        <v>19</v>
      </c>
      <c r="CE10" s="326"/>
      <c r="CF10" s="326"/>
      <c r="CG10" s="326"/>
      <c r="CH10" s="95"/>
      <c r="CI10" s="92"/>
      <c r="CJ10" s="92"/>
      <c r="CK10" s="92"/>
      <c r="CL10" s="92"/>
      <c r="CM10" s="92"/>
      <c r="CN10" s="92"/>
      <c r="CO10" s="92"/>
    </row>
    <row r="11" spans="2:120" ht="15" thickBot="1" x14ac:dyDescent="0.35">
      <c r="B11" s="329"/>
      <c r="C11" s="338"/>
      <c r="D11" s="338"/>
      <c r="E11" s="96" t="s">
        <v>89</v>
      </c>
      <c r="F11" s="97">
        <v>1</v>
      </c>
      <c r="G11" s="97">
        <v>2</v>
      </c>
      <c r="H11" s="97">
        <v>3</v>
      </c>
      <c r="I11" s="97">
        <v>4</v>
      </c>
      <c r="J11" s="97">
        <v>5</v>
      </c>
      <c r="K11" s="97">
        <v>6</v>
      </c>
      <c r="L11" s="97">
        <v>7</v>
      </c>
      <c r="M11" s="97">
        <v>8</v>
      </c>
      <c r="N11" s="97">
        <v>9</v>
      </c>
      <c r="O11" s="97">
        <v>10</v>
      </c>
      <c r="P11" s="97">
        <v>11</v>
      </c>
      <c r="Q11" s="97">
        <v>12</v>
      </c>
      <c r="R11" s="97">
        <v>13</v>
      </c>
      <c r="S11" s="97">
        <v>14</v>
      </c>
      <c r="T11" s="97">
        <v>15</v>
      </c>
      <c r="U11" s="97">
        <v>16</v>
      </c>
      <c r="V11" s="97">
        <v>17</v>
      </c>
      <c r="W11" s="97">
        <v>18</v>
      </c>
      <c r="X11" s="97">
        <v>19</v>
      </c>
      <c r="Y11" s="97">
        <v>20</v>
      </c>
      <c r="Z11" s="97">
        <v>21</v>
      </c>
      <c r="AA11" s="97">
        <v>22</v>
      </c>
      <c r="AB11" s="97">
        <v>23</v>
      </c>
      <c r="AC11" s="97">
        <v>24</v>
      </c>
      <c r="AD11" s="97">
        <v>25</v>
      </c>
      <c r="AE11" s="97">
        <v>26</v>
      </c>
      <c r="AF11" s="97">
        <v>27</v>
      </c>
      <c r="AG11" s="97">
        <v>28</v>
      </c>
      <c r="AH11" s="97">
        <v>29</v>
      </c>
      <c r="AI11" s="97">
        <v>30</v>
      </c>
      <c r="AJ11" s="97">
        <v>31</v>
      </c>
      <c r="AK11" s="97">
        <v>32</v>
      </c>
      <c r="AL11" s="97">
        <v>33</v>
      </c>
      <c r="AM11" s="97">
        <v>34</v>
      </c>
      <c r="AN11" s="97">
        <v>35</v>
      </c>
      <c r="AO11" s="97">
        <v>36</v>
      </c>
      <c r="AP11" s="97">
        <v>37</v>
      </c>
      <c r="AQ11" s="97">
        <v>38</v>
      </c>
      <c r="AR11" s="97">
        <v>39</v>
      </c>
      <c r="AS11" s="97">
        <v>40</v>
      </c>
      <c r="AT11" s="97">
        <v>41</v>
      </c>
      <c r="AU11" s="97">
        <v>42</v>
      </c>
      <c r="AV11" s="97">
        <v>43</v>
      </c>
      <c r="AW11" s="97">
        <v>44</v>
      </c>
      <c r="AX11" s="97">
        <v>45</v>
      </c>
      <c r="AY11" s="97">
        <v>46</v>
      </c>
      <c r="AZ11" s="97">
        <v>47</v>
      </c>
      <c r="BA11" s="97">
        <v>48</v>
      </c>
      <c r="BB11" s="97">
        <v>49</v>
      </c>
      <c r="BC11" s="97">
        <v>50</v>
      </c>
      <c r="BD11" s="97">
        <v>51</v>
      </c>
      <c r="BE11" s="97">
        <v>52</v>
      </c>
      <c r="BF11" s="97">
        <v>53</v>
      </c>
      <c r="BG11" s="97">
        <v>54</v>
      </c>
      <c r="BH11" s="97">
        <v>55</v>
      </c>
      <c r="BI11" s="97">
        <v>56</v>
      </c>
      <c r="BJ11" s="97">
        <v>57</v>
      </c>
      <c r="BK11" s="97">
        <v>58</v>
      </c>
      <c r="BL11" s="97">
        <v>59</v>
      </c>
      <c r="BM11" s="97">
        <v>60</v>
      </c>
      <c r="BN11" s="97">
        <v>61</v>
      </c>
      <c r="BO11" s="97">
        <v>62</v>
      </c>
      <c r="BP11" s="97">
        <v>63</v>
      </c>
      <c r="BQ11" s="97">
        <v>64</v>
      </c>
      <c r="BR11" s="97">
        <v>65</v>
      </c>
      <c r="BS11" s="97">
        <v>66</v>
      </c>
      <c r="BT11" s="97">
        <v>67</v>
      </c>
      <c r="BU11" s="97">
        <v>68</v>
      </c>
      <c r="BV11" s="97">
        <v>69</v>
      </c>
      <c r="BW11" s="97">
        <v>70</v>
      </c>
      <c r="BX11" s="97">
        <v>71</v>
      </c>
      <c r="BY11" s="97">
        <v>72</v>
      </c>
      <c r="BZ11" s="97">
        <v>73</v>
      </c>
      <c r="CA11" s="97">
        <v>74</v>
      </c>
      <c r="CB11" s="97">
        <v>75</v>
      </c>
      <c r="CC11" s="97">
        <v>76</v>
      </c>
      <c r="CD11" s="97">
        <v>77</v>
      </c>
      <c r="CE11" s="97">
        <v>78</v>
      </c>
      <c r="CF11" s="97">
        <v>79</v>
      </c>
      <c r="CG11" s="97">
        <v>80</v>
      </c>
      <c r="CH11" s="95"/>
      <c r="CI11" s="92"/>
      <c r="CJ11" s="92"/>
      <c r="CK11" s="92"/>
      <c r="CL11" s="92"/>
      <c r="CM11" s="92"/>
      <c r="CN11" s="92"/>
      <c r="CO11" s="92"/>
    </row>
    <row r="12" spans="2:120" ht="18" customHeight="1" thickBot="1" x14ac:dyDescent="0.35">
      <c r="B12" s="98">
        <v>1</v>
      </c>
      <c r="C12" s="99" t="s">
        <v>95</v>
      </c>
      <c r="D12" s="99"/>
      <c r="E12" s="99"/>
      <c r="F12" s="327">
        <f>AVERAGE(F52:I52)</f>
        <v>3.6306818181818183</v>
      </c>
      <c r="G12" s="327"/>
      <c r="H12" s="327"/>
      <c r="I12" s="327"/>
      <c r="J12" s="327">
        <f>AVERAGE(J52:M52)</f>
        <v>11.022727272727272</v>
      </c>
      <c r="K12" s="327"/>
      <c r="L12" s="327"/>
      <c r="M12" s="327"/>
      <c r="N12" s="327">
        <f>AVERAGE(N52:Q52)</f>
        <v>11.042613636363637</v>
      </c>
      <c r="O12" s="327"/>
      <c r="P12" s="327"/>
      <c r="Q12" s="327"/>
      <c r="R12" s="327">
        <f>AVERAGE(R52:U52)</f>
        <v>1.5056818181818181</v>
      </c>
      <c r="S12" s="327"/>
      <c r="T12" s="327"/>
      <c r="U12" s="327"/>
      <c r="V12" s="327">
        <f>AVERAGE(V52:Y52)</f>
        <v>0</v>
      </c>
      <c r="W12" s="327"/>
      <c r="X12" s="327"/>
      <c r="Y12" s="327"/>
      <c r="Z12" s="327">
        <f>AVERAGE(Z52:AC52)</f>
        <v>0</v>
      </c>
      <c r="AA12" s="327"/>
      <c r="AB12" s="327"/>
      <c r="AC12" s="327"/>
      <c r="AD12" s="327">
        <f>AVERAGE(AD52:AG52)</f>
        <v>0</v>
      </c>
      <c r="AE12" s="327"/>
      <c r="AF12" s="327"/>
      <c r="AG12" s="327"/>
      <c r="AH12" s="327">
        <f>AVERAGE(AH52:AK52)</f>
        <v>0</v>
      </c>
      <c r="AI12" s="327"/>
      <c r="AJ12" s="327"/>
      <c r="AK12" s="327"/>
      <c r="AL12" s="327">
        <f>AVERAGE(AL52:AO52)</f>
        <v>0</v>
      </c>
      <c r="AM12" s="327"/>
      <c r="AN12" s="327"/>
      <c r="AO12" s="327"/>
      <c r="AP12" s="327">
        <f>AVERAGE(AP52:AS52)</f>
        <v>0</v>
      </c>
      <c r="AQ12" s="327"/>
      <c r="AR12" s="327"/>
      <c r="AS12" s="327"/>
      <c r="AT12" s="327">
        <f>AVERAGE(AT52:AW52)</f>
        <v>0</v>
      </c>
      <c r="AU12" s="327"/>
      <c r="AV12" s="327"/>
      <c r="AW12" s="327"/>
      <c r="AX12" s="327">
        <f>AVERAGE(AX52:BA52)</f>
        <v>0</v>
      </c>
      <c r="AY12" s="327"/>
      <c r="AZ12" s="327"/>
      <c r="BA12" s="327"/>
      <c r="BB12" s="327">
        <f>AVERAGE(BB52:BE52)</f>
        <v>0</v>
      </c>
      <c r="BC12" s="327"/>
      <c r="BD12" s="327"/>
      <c r="BE12" s="327"/>
      <c r="BF12" s="327">
        <f>AVERAGE(BF52:BI52)</f>
        <v>0</v>
      </c>
      <c r="BG12" s="327"/>
      <c r="BH12" s="327"/>
      <c r="BI12" s="327"/>
      <c r="BJ12" s="327">
        <f>AVERAGE(BJ52:BM52)</f>
        <v>0</v>
      </c>
      <c r="BK12" s="327"/>
      <c r="BL12" s="327"/>
      <c r="BM12" s="327"/>
      <c r="BN12" s="327">
        <f>AVERAGE(BN52:BQ52)</f>
        <v>0</v>
      </c>
      <c r="BO12" s="327"/>
      <c r="BP12" s="327"/>
      <c r="BQ12" s="327"/>
      <c r="BR12" s="327">
        <f>AVERAGE(BR52:BU52)</f>
        <v>0</v>
      </c>
      <c r="BS12" s="327"/>
      <c r="BT12" s="327"/>
      <c r="BU12" s="327"/>
      <c r="BV12" s="327">
        <f>AVERAGE(BV52:BY52)</f>
        <v>0</v>
      </c>
      <c r="BW12" s="327"/>
      <c r="BX12" s="327"/>
      <c r="BY12" s="327"/>
      <c r="BZ12" s="327">
        <f>AVERAGE(BZ52:CC52)</f>
        <v>0</v>
      </c>
      <c r="CA12" s="327"/>
      <c r="CB12" s="327"/>
      <c r="CC12" s="327"/>
      <c r="CD12" s="322">
        <f>AVERAGE(CD52:CG52)</f>
        <v>0</v>
      </c>
      <c r="CE12" s="323"/>
      <c r="CF12" s="323"/>
      <c r="CG12" s="324"/>
      <c r="CH12" s="95"/>
      <c r="CI12" s="92"/>
      <c r="CJ12" s="92"/>
      <c r="CK12" s="92"/>
      <c r="CL12" s="92"/>
      <c r="CM12" s="92"/>
      <c r="CN12" s="92"/>
      <c r="CO12" s="92"/>
    </row>
    <row r="13" spans="2:120" ht="15.75" customHeight="1" x14ac:dyDescent="0.3">
      <c r="B13" s="100" t="s">
        <v>87</v>
      </c>
      <c r="C13" s="101" t="s">
        <v>86</v>
      </c>
      <c r="D13" s="102" t="str">
        <f t="shared" ref="D13:D18" si="0">IFERROR(E13/$E$51,"")</f>
        <v/>
      </c>
      <c r="E13" s="103" t="str">
        <f t="shared" ref="E13:E18" si="1">IFERROR(AVERAGE(F13:CG13),"")</f>
        <v/>
      </c>
      <c r="F13" s="267"/>
      <c r="G13" s="268"/>
      <c r="H13" s="268"/>
      <c r="I13" s="268"/>
      <c r="J13" s="268"/>
      <c r="K13" s="268"/>
      <c r="L13" s="268"/>
      <c r="M13" s="268"/>
      <c r="N13" s="268"/>
      <c r="O13" s="268"/>
      <c r="P13" s="268"/>
      <c r="Q13" s="268"/>
      <c r="R13" s="268"/>
      <c r="S13" s="268"/>
      <c r="T13" s="268"/>
      <c r="U13" s="104"/>
      <c r="V13" s="104"/>
      <c r="W13" s="104"/>
      <c r="X13" s="104"/>
      <c r="Y13" s="104"/>
      <c r="Z13" s="104"/>
      <c r="AA13" s="104"/>
      <c r="AB13" s="104"/>
      <c r="AC13" s="104"/>
      <c r="AD13" s="104"/>
      <c r="AE13" s="104"/>
      <c r="AF13" s="104"/>
      <c r="AG13" s="104"/>
      <c r="AH13" s="104"/>
      <c r="AI13" s="104"/>
      <c r="AJ13" s="104"/>
      <c r="AK13" s="104"/>
      <c r="AL13" s="104"/>
      <c r="AM13" s="104"/>
      <c r="AN13" s="104"/>
      <c r="AO13" s="104"/>
      <c r="AP13" s="104"/>
      <c r="AQ13" s="104"/>
      <c r="AR13" s="104"/>
      <c r="AS13" s="104"/>
      <c r="AT13" s="104"/>
      <c r="AU13" s="104"/>
      <c r="AV13" s="104"/>
      <c r="AW13" s="104"/>
      <c r="AX13" s="104"/>
      <c r="AY13" s="104"/>
      <c r="AZ13" s="104"/>
      <c r="BA13" s="104"/>
      <c r="BB13" s="104"/>
      <c r="BC13" s="104"/>
      <c r="BD13" s="104"/>
      <c r="BE13" s="104"/>
      <c r="BF13" s="104"/>
      <c r="BG13" s="104"/>
      <c r="BH13" s="104"/>
      <c r="BI13" s="104"/>
      <c r="BJ13" s="104"/>
      <c r="BK13" s="104"/>
      <c r="BL13" s="104"/>
      <c r="BM13" s="104"/>
      <c r="BN13" s="104"/>
      <c r="BO13" s="104"/>
      <c r="BP13" s="104"/>
      <c r="BQ13" s="104"/>
      <c r="BR13" s="104"/>
      <c r="BS13" s="104"/>
      <c r="BT13" s="104"/>
      <c r="BU13" s="104"/>
      <c r="BV13" s="104"/>
      <c r="BW13" s="104"/>
      <c r="BX13" s="104"/>
      <c r="BY13" s="104"/>
      <c r="BZ13" s="104"/>
      <c r="CA13" s="104"/>
      <c r="CB13" s="104"/>
      <c r="CC13" s="104"/>
      <c r="CD13" s="104"/>
      <c r="CE13" s="105"/>
      <c r="CF13" s="105"/>
      <c r="CG13" s="105"/>
      <c r="CH13" s="95"/>
      <c r="CI13" s="92"/>
      <c r="CJ13" s="92"/>
      <c r="CK13" s="92"/>
      <c r="CL13" s="92"/>
      <c r="CM13" s="92"/>
      <c r="CN13" s="92"/>
      <c r="CO13" s="92"/>
    </row>
    <row r="14" spans="2:120" ht="15.75" customHeight="1" x14ac:dyDescent="0.3">
      <c r="B14" s="106" t="s">
        <v>85</v>
      </c>
      <c r="C14" s="107" t="s">
        <v>84</v>
      </c>
      <c r="D14" s="102" t="str">
        <f t="shared" si="0"/>
        <v/>
      </c>
      <c r="E14" s="103" t="str">
        <f t="shared" si="1"/>
        <v/>
      </c>
      <c r="F14" s="269"/>
      <c r="G14" s="270"/>
      <c r="H14" s="270"/>
      <c r="I14" s="270"/>
      <c r="J14" s="270"/>
      <c r="K14" s="270"/>
      <c r="L14" s="270"/>
      <c r="M14" s="270"/>
      <c r="N14" s="270"/>
      <c r="O14" s="270"/>
      <c r="P14" s="270"/>
      <c r="Q14" s="270"/>
      <c r="R14" s="270"/>
      <c r="S14" s="270"/>
      <c r="T14" s="270"/>
      <c r="U14" s="108"/>
      <c r="V14" s="108"/>
      <c r="W14" s="108"/>
      <c r="X14" s="108"/>
      <c r="Y14" s="108"/>
      <c r="Z14" s="108"/>
      <c r="AA14" s="108"/>
      <c r="AB14" s="108"/>
      <c r="AC14" s="108"/>
      <c r="AD14" s="108"/>
      <c r="AE14" s="108"/>
      <c r="AF14" s="108"/>
      <c r="AG14" s="108"/>
      <c r="AH14" s="108"/>
      <c r="AI14" s="108"/>
      <c r="AJ14" s="108"/>
      <c r="AK14" s="108"/>
      <c r="AL14" s="108"/>
      <c r="AM14" s="108"/>
      <c r="AN14" s="108"/>
      <c r="AO14" s="108"/>
      <c r="AP14" s="108"/>
      <c r="AQ14" s="108"/>
      <c r="AR14" s="108"/>
      <c r="AS14" s="108"/>
      <c r="AT14" s="108"/>
      <c r="AU14" s="108"/>
      <c r="AV14" s="108"/>
      <c r="AW14" s="108"/>
      <c r="AX14" s="108"/>
      <c r="AY14" s="108"/>
      <c r="AZ14" s="108"/>
      <c r="BA14" s="108"/>
      <c r="BB14" s="108"/>
      <c r="BC14" s="108"/>
      <c r="BD14" s="108"/>
      <c r="BE14" s="108"/>
      <c r="BF14" s="108"/>
      <c r="BG14" s="108"/>
      <c r="BH14" s="108"/>
      <c r="BI14" s="108"/>
      <c r="BJ14" s="108"/>
      <c r="BK14" s="108"/>
      <c r="BL14" s="108"/>
      <c r="BM14" s="108"/>
      <c r="BN14" s="108"/>
      <c r="BO14" s="108"/>
      <c r="BP14" s="108"/>
      <c r="BQ14" s="108"/>
      <c r="BR14" s="108"/>
      <c r="BS14" s="108"/>
      <c r="BT14" s="108"/>
      <c r="BU14" s="108"/>
      <c r="BV14" s="108"/>
      <c r="BW14" s="108"/>
      <c r="BX14" s="108"/>
      <c r="BY14" s="108"/>
      <c r="BZ14" s="108"/>
      <c r="CA14" s="108"/>
      <c r="CB14" s="108"/>
      <c r="CC14" s="108"/>
      <c r="CD14" s="108"/>
      <c r="CE14" s="109"/>
      <c r="CF14" s="109"/>
      <c r="CG14" s="109"/>
      <c r="CH14" s="95"/>
      <c r="CI14" s="92"/>
      <c r="CJ14" s="92"/>
      <c r="CK14" s="92"/>
      <c r="CL14" s="92"/>
      <c r="CM14" s="92"/>
      <c r="CN14" s="92"/>
      <c r="CO14" s="92"/>
    </row>
    <row r="15" spans="2:120" ht="15.75" customHeight="1" x14ac:dyDescent="0.3">
      <c r="B15" s="106" t="s">
        <v>83</v>
      </c>
      <c r="C15" s="107" t="s">
        <v>148</v>
      </c>
      <c r="D15" s="102" t="str">
        <f t="shared" si="0"/>
        <v/>
      </c>
      <c r="E15" s="103" t="str">
        <f t="shared" si="1"/>
        <v/>
      </c>
      <c r="F15" s="269"/>
      <c r="G15" s="270"/>
      <c r="H15" s="270"/>
      <c r="I15" s="270"/>
      <c r="J15" s="270"/>
      <c r="K15" s="270"/>
      <c r="L15" s="270"/>
      <c r="M15" s="270"/>
      <c r="N15" s="270"/>
      <c r="O15" s="270"/>
      <c r="P15" s="270"/>
      <c r="Q15" s="270"/>
      <c r="R15" s="270"/>
      <c r="S15" s="270"/>
      <c r="T15" s="270"/>
      <c r="U15" s="108"/>
      <c r="V15" s="108"/>
      <c r="W15" s="108"/>
      <c r="X15" s="108"/>
      <c r="Y15" s="108"/>
      <c r="Z15" s="108"/>
      <c r="AA15" s="108"/>
      <c r="AB15" s="108"/>
      <c r="AC15" s="108"/>
      <c r="AD15" s="108"/>
      <c r="AE15" s="108"/>
      <c r="AF15" s="108"/>
      <c r="AG15" s="108"/>
      <c r="AH15" s="108"/>
      <c r="AI15" s="108"/>
      <c r="AJ15" s="108"/>
      <c r="AK15" s="108"/>
      <c r="AL15" s="108"/>
      <c r="AM15" s="108"/>
      <c r="AN15" s="108"/>
      <c r="AO15" s="108"/>
      <c r="AP15" s="108"/>
      <c r="AQ15" s="108"/>
      <c r="AR15" s="108"/>
      <c r="AS15" s="108"/>
      <c r="AT15" s="108"/>
      <c r="AU15" s="108"/>
      <c r="AV15" s="108"/>
      <c r="AW15" s="108"/>
      <c r="AX15" s="108"/>
      <c r="AY15" s="108"/>
      <c r="AZ15" s="108"/>
      <c r="BA15" s="108"/>
      <c r="BB15" s="108"/>
      <c r="BC15" s="108"/>
      <c r="BD15" s="108"/>
      <c r="BE15" s="108"/>
      <c r="BF15" s="108"/>
      <c r="BG15" s="108"/>
      <c r="BH15" s="108"/>
      <c r="BI15" s="108"/>
      <c r="BJ15" s="108"/>
      <c r="BK15" s="108"/>
      <c r="BL15" s="108"/>
      <c r="BM15" s="108"/>
      <c r="BN15" s="108"/>
      <c r="BO15" s="108"/>
      <c r="BP15" s="108"/>
      <c r="BQ15" s="108"/>
      <c r="BR15" s="108"/>
      <c r="BS15" s="108"/>
      <c r="BT15" s="108"/>
      <c r="BU15" s="108"/>
      <c r="BV15" s="108"/>
      <c r="BW15" s="108"/>
      <c r="BX15" s="108"/>
      <c r="BY15" s="108"/>
      <c r="BZ15" s="108"/>
      <c r="CA15" s="108"/>
      <c r="CB15" s="108"/>
      <c r="CC15" s="108"/>
      <c r="CD15" s="108"/>
      <c r="CE15" s="109"/>
      <c r="CF15" s="109"/>
      <c r="CG15" s="109"/>
      <c r="CH15" s="95"/>
      <c r="CI15" s="92"/>
      <c r="CJ15" s="92"/>
      <c r="CK15" s="92"/>
      <c r="CL15" s="92"/>
      <c r="CM15" s="92"/>
      <c r="CN15" s="92"/>
      <c r="CO15" s="92"/>
    </row>
    <row r="16" spans="2:120" ht="15.75" customHeight="1" x14ac:dyDescent="0.3">
      <c r="B16" s="106" t="s">
        <v>81</v>
      </c>
      <c r="C16" s="107" t="s">
        <v>80</v>
      </c>
      <c r="D16" s="102">
        <f t="shared" si="0"/>
        <v>0.14766870430300849</v>
      </c>
      <c r="E16" s="103">
        <f t="shared" si="1"/>
        <v>1</v>
      </c>
      <c r="F16" s="271">
        <v>1</v>
      </c>
      <c r="G16" s="271">
        <v>1</v>
      </c>
      <c r="H16" s="271">
        <v>1</v>
      </c>
      <c r="I16" s="271">
        <v>1</v>
      </c>
      <c r="J16" s="271">
        <v>1</v>
      </c>
      <c r="K16" s="271">
        <v>1</v>
      </c>
      <c r="L16" s="271">
        <v>1</v>
      </c>
      <c r="M16" s="271">
        <v>1</v>
      </c>
      <c r="N16" s="271">
        <v>1</v>
      </c>
      <c r="O16" s="271">
        <v>1</v>
      </c>
      <c r="P16" s="271">
        <v>1</v>
      </c>
      <c r="Q16" s="271">
        <v>1</v>
      </c>
      <c r="R16" s="271">
        <v>1</v>
      </c>
      <c r="S16" s="271">
        <v>1</v>
      </c>
      <c r="T16" s="271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  <c r="AH16" s="110"/>
      <c r="AI16" s="110"/>
      <c r="AJ16" s="110"/>
      <c r="AK16" s="110"/>
      <c r="AL16" s="110"/>
      <c r="AM16" s="110"/>
      <c r="AN16" s="110"/>
      <c r="AO16" s="110"/>
      <c r="AP16" s="110"/>
      <c r="AQ16" s="110"/>
      <c r="AR16" s="110"/>
      <c r="AS16" s="110"/>
      <c r="AT16" s="110"/>
      <c r="AU16" s="110"/>
      <c r="AV16" s="110"/>
      <c r="AW16" s="110"/>
      <c r="AX16" s="110"/>
      <c r="AY16" s="110"/>
      <c r="AZ16" s="110"/>
      <c r="BA16" s="110"/>
      <c r="BB16" s="110"/>
      <c r="BC16" s="110"/>
      <c r="BD16" s="110"/>
      <c r="BE16" s="110"/>
      <c r="BF16" s="110"/>
      <c r="BG16" s="110"/>
      <c r="BH16" s="110"/>
      <c r="BI16" s="110"/>
      <c r="BJ16" s="110"/>
      <c r="BK16" s="110"/>
      <c r="BL16" s="110"/>
      <c r="BM16" s="110"/>
      <c r="BN16" s="110"/>
      <c r="BO16" s="110"/>
      <c r="BP16" s="110"/>
      <c r="BQ16" s="110"/>
      <c r="BR16" s="110"/>
      <c r="BS16" s="110"/>
      <c r="BT16" s="110"/>
      <c r="BU16" s="110"/>
      <c r="BV16" s="110"/>
      <c r="BW16" s="110"/>
      <c r="BX16" s="110"/>
      <c r="BY16" s="110"/>
      <c r="BZ16" s="110"/>
      <c r="CA16" s="110"/>
      <c r="CB16" s="110"/>
      <c r="CC16" s="110"/>
      <c r="CD16" s="110"/>
      <c r="CE16" s="111"/>
      <c r="CF16" s="111"/>
      <c r="CG16" s="111"/>
      <c r="CH16" s="95"/>
      <c r="CI16" s="92"/>
      <c r="CJ16" s="92"/>
      <c r="CK16" s="92"/>
      <c r="CL16" s="92"/>
      <c r="CM16" s="92"/>
      <c r="CN16" s="92"/>
      <c r="CO16" s="92"/>
    </row>
    <row r="17" spans="2:93" ht="15.75" customHeight="1" x14ac:dyDescent="0.3">
      <c r="B17" s="106" t="s">
        <v>79</v>
      </c>
      <c r="C17" s="107" t="s">
        <v>82</v>
      </c>
      <c r="D17" s="102" t="str">
        <f t="shared" si="0"/>
        <v/>
      </c>
      <c r="E17" s="103" t="str">
        <f t="shared" si="1"/>
        <v/>
      </c>
      <c r="F17" s="269"/>
      <c r="G17" s="270"/>
      <c r="H17" s="270"/>
      <c r="I17" s="270"/>
      <c r="J17" s="270"/>
      <c r="K17" s="270"/>
      <c r="L17" s="270"/>
      <c r="M17" s="270"/>
      <c r="N17" s="270"/>
      <c r="O17" s="270"/>
      <c r="P17" s="270"/>
      <c r="Q17" s="270"/>
      <c r="R17" s="270"/>
      <c r="S17" s="270"/>
      <c r="T17" s="270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8"/>
      <c r="AI17" s="108"/>
      <c r="AJ17" s="108"/>
      <c r="AK17" s="108"/>
      <c r="AL17" s="108"/>
      <c r="AM17" s="108"/>
      <c r="AN17" s="108"/>
      <c r="AO17" s="108"/>
      <c r="AP17" s="108"/>
      <c r="AQ17" s="108"/>
      <c r="AR17" s="108"/>
      <c r="AS17" s="108"/>
      <c r="AT17" s="108"/>
      <c r="AU17" s="108"/>
      <c r="AV17" s="108"/>
      <c r="AW17" s="108"/>
      <c r="AX17" s="108"/>
      <c r="AY17" s="108"/>
      <c r="AZ17" s="108"/>
      <c r="BA17" s="108"/>
      <c r="BB17" s="108"/>
      <c r="BC17" s="108"/>
      <c r="BD17" s="108"/>
      <c r="BE17" s="108"/>
      <c r="BF17" s="108"/>
      <c r="BG17" s="108"/>
      <c r="BH17" s="108"/>
      <c r="BI17" s="108"/>
      <c r="BJ17" s="108"/>
      <c r="BK17" s="108"/>
      <c r="BL17" s="108"/>
      <c r="BM17" s="108"/>
      <c r="BN17" s="108"/>
      <c r="BO17" s="108"/>
      <c r="BP17" s="108"/>
      <c r="BQ17" s="108"/>
      <c r="BR17" s="108"/>
      <c r="BS17" s="108"/>
      <c r="BT17" s="108"/>
      <c r="BU17" s="108"/>
      <c r="BV17" s="108"/>
      <c r="BW17" s="108"/>
      <c r="BX17" s="108"/>
      <c r="BY17" s="108"/>
      <c r="BZ17" s="108"/>
      <c r="CA17" s="108"/>
      <c r="CB17" s="108"/>
      <c r="CC17" s="108"/>
      <c r="CD17" s="108"/>
      <c r="CE17" s="109"/>
      <c r="CF17" s="109"/>
      <c r="CG17" s="109"/>
      <c r="CH17" s="95"/>
      <c r="CI17" s="92"/>
      <c r="CJ17" s="92"/>
      <c r="CK17" s="92"/>
      <c r="CL17" s="92"/>
      <c r="CM17" s="92"/>
      <c r="CN17" s="92"/>
      <c r="CO17" s="92"/>
    </row>
    <row r="18" spans="2:93" ht="15.75" customHeight="1" thickBot="1" x14ac:dyDescent="0.35">
      <c r="B18" s="112" t="s">
        <v>78</v>
      </c>
      <c r="C18" s="113" t="s">
        <v>77</v>
      </c>
      <c r="D18" s="102" t="str">
        <f t="shared" si="0"/>
        <v/>
      </c>
      <c r="E18" s="103" t="str">
        <f t="shared" si="1"/>
        <v/>
      </c>
      <c r="F18" s="272"/>
      <c r="G18" s="273"/>
      <c r="H18" s="273"/>
      <c r="I18" s="273"/>
      <c r="J18" s="273"/>
      <c r="K18" s="273"/>
      <c r="L18" s="273"/>
      <c r="M18" s="273"/>
      <c r="N18" s="273"/>
      <c r="O18" s="273"/>
      <c r="P18" s="273"/>
      <c r="Q18" s="273"/>
      <c r="R18" s="273"/>
      <c r="S18" s="273"/>
      <c r="T18" s="273"/>
      <c r="U18" s="114"/>
      <c r="V18" s="114"/>
      <c r="W18" s="114"/>
      <c r="X18" s="114"/>
      <c r="Y18" s="114"/>
      <c r="Z18" s="114"/>
      <c r="AA18" s="114"/>
      <c r="AB18" s="114"/>
      <c r="AC18" s="114"/>
      <c r="AD18" s="114"/>
      <c r="AE18" s="114"/>
      <c r="AF18" s="114"/>
      <c r="AG18" s="114"/>
      <c r="AH18" s="114"/>
      <c r="AI18" s="114"/>
      <c r="AJ18" s="114"/>
      <c r="AK18" s="114"/>
      <c r="AL18" s="114"/>
      <c r="AM18" s="114"/>
      <c r="AN18" s="114"/>
      <c r="AO18" s="114"/>
      <c r="AP18" s="114"/>
      <c r="AQ18" s="114"/>
      <c r="AR18" s="114"/>
      <c r="AS18" s="114"/>
      <c r="AT18" s="114"/>
      <c r="AU18" s="114"/>
      <c r="AV18" s="114"/>
      <c r="AW18" s="114"/>
      <c r="AX18" s="114"/>
      <c r="AY18" s="114"/>
      <c r="AZ18" s="114"/>
      <c r="BA18" s="114"/>
      <c r="BB18" s="114"/>
      <c r="BC18" s="114"/>
      <c r="BD18" s="114"/>
      <c r="BE18" s="114"/>
      <c r="BF18" s="114"/>
      <c r="BG18" s="114"/>
      <c r="BH18" s="114"/>
      <c r="BI18" s="114"/>
      <c r="BJ18" s="114"/>
      <c r="BK18" s="114"/>
      <c r="BL18" s="114"/>
      <c r="BM18" s="114"/>
      <c r="BN18" s="114"/>
      <c r="BO18" s="114"/>
      <c r="BP18" s="114"/>
      <c r="BQ18" s="114"/>
      <c r="BR18" s="114"/>
      <c r="BS18" s="114"/>
      <c r="BT18" s="114"/>
      <c r="BU18" s="114"/>
      <c r="BV18" s="114"/>
      <c r="BW18" s="114"/>
      <c r="BX18" s="114"/>
      <c r="BY18" s="114"/>
      <c r="BZ18" s="114"/>
      <c r="CA18" s="114"/>
      <c r="CB18" s="114"/>
      <c r="CC18" s="114"/>
      <c r="CD18" s="114"/>
      <c r="CE18" s="115"/>
      <c r="CF18" s="115"/>
      <c r="CG18" s="115"/>
      <c r="CH18" s="95"/>
      <c r="CI18" s="92"/>
      <c r="CJ18" s="92"/>
      <c r="CK18" s="92"/>
      <c r="CL18" s="92"/>
      <c r="CM18" s="92"/>
      <c r="CN18" s="92"/>
      <c r="CO18" s="92"/>
    </row>
    <row r="19" spans="2:93" ht="18" customHeight="1" thickBot="1" x14ac:dyDescent="0.35">
      <c r="B19" s="98">
        <v>2</v>
      </c>
      <c r="C19" s="116" t="s">
        <v>94</v>
      </c>
      <c r="D19" s="99"/>
      <c r="E19" s="99"/>
      <c r="F19" s="116"/>
      <c r="G19" s="116"/>
      <c r="H19" s="116"/>
      <c r="I19" s="116"/>
      <c r="J19" s="116"/>
      <c r="K19" s="116"/>
      <c r="L19" s="116"/>
      <c r="M19" s="116"/>
      <c r="N19" s="116"/>
      <c r="O19" s="116"/>
      <c r="P19" s="116"/>
      <c r="Q19" s="116"/>
      <c r="R19" s="116"/>
      <c r="S19" s="116"/>
      <c r="T19" s="116"/>
      <c r="U19" s="99"/>
      <c r="V19" s="99"/>
      <c r="W19" s="99"/>
      <c r="X19" s="99"/>
      <c r="Y19" s="99"/>
      <c r="Z19" s="99"/>
      <c r="AA19" s="99"/>
      <c r="AB19" s="99"/>
      <c r="AC19" s="99"/>
      <c r="AD19" s="99"/>
      <c r="AE19" s="99"/>
      <c r="AF19" s="99"/>
      <c r="AG19" s="99"/>
      <c r="AH19" s="99"/>
      <c r="AI19" s="99"/>
      <c r="AJ19" s="99"/>
      <c r="AK19" s="99"/>
      <c r="AL19" s="99"/>
      <c r="AM19" s="99"/>
      <c r="AN19" s="99"/>
      <c r="AO19" s="99"/>
      <c r="AP19" s="99"/>
      <c r="AQ19" s="99"/>
      <c r="AR19" s="99"/>
      <c r="AS19" s="99"/>
      <c r="AT19" s="99"/>
      <c r="AU19" s="99"/>
      <c r="AV19" s="99"/>
      <c r="AW19" s="99"/>
      <c r="AX19" s="99"/>
      <c r="AY19" s="99"/>
      <c r="AZ19" s="99"/>
      <c r="BA19" s="99"/>
      <c r="BB19" s="99"/>
      <c r="BC19" s="99"/>
      <c r="BD19" s="99"/>
      <c r="BE19" s="99"/>
      <c r="BF19" s="99"/>
      <c r="BG19" s="99"/>
      <c r="BH19" s="99"/>
      <c r="BI19" s="99"/>
      <c r="BJ19" s="99"/>
      <c r="BK19" s="99"/>
      <c r="BL19" s="99"/>
      <c r="BM19" s="99"/>
      <c r="BN19" s="99"/>
      <c r="BO19" s="99"/>
      <c r="BP19" s="99"/>
      <c r="BQ19" s="99"/>
      <c r="BR19" s="99"/>
      <c r="BS19" s="99"/>
      <c r="BT19" s="99"/>
      <c r="BU19" s="99"/>
      <c r="BV19" s="99"/>
      <c r="BW19" s="99"/>
      <c r="BX19" s="99"/>
      <c r="BY19" s="99"/>
      <c r="BZ19" s="99"/>
      <c r="CA19" s="99"/>
      <c r="CB19" s="99"/>
      <c r="CC19" s="99"/>
      <c r="CD19" s="99"/>
      <c r="CE19" s="99"/>
      <c r="CF19" s="99"/>
      <c r="CG19" s="99"/>
      <c r="CH19" s="95"/>
      <c r="CI19" s="92"/>
      <c r="CJ19" s="92"/>
      <c r="CK19" s="92"/>
      <c r="CL19" s="92"/>
      <c r="CM19" s="92"/>
      <c r="CN19" s="92"/>
      <c r="CO19" s="92"/>
    </row>
    <row r="20" spans="2:93" ht="15.75" customHeight="1" x14ac:dyDescent="0.3">
      <c r="B20" s="117" t="s">
        <v>76</v>
      </c>
      <c r="C20" s="101" t="s">
        <v>161</v>
      </c>
      <c r="D20" s="102">
        <f t="shared" ref="D20:D49" si="2">IFERROR(E20/$E$51,"")</f>
        <v>0.27076591154261048</v>
      </c>
      <c r="E20" s="103">
        <f t="shared" ref="E20:E49" si="3">IFERROR(AVERAGE(F20:CG20),"")</f>
        <v>1.8336038961038958</v>
      </c>
      <c r="F20" s="274">
        <v>2.0795454545454546</v>
      </c>
      <c r="G20" s="275">
        <v>1.1818181818181819</v>
      </c>
      <c r="H20" s="275">
        <v>1</v>
      </c>
      <c r="I20" s="275">
        <v>2.6590909090909092</v>
      </c>
      <c r="J20" s="275">
        <v>2.5113636363636362</v>
      </c>
      <c r="K20" s="275">
        <v>3.25</v>
      </c>
      <c r="L20" s="275">
        <v>2.4886363636363638</v>
      </c>
      <c r="M20" s="275">
        <v>1.6590909090909092</v>
      </c>
      <c r="N20" s="275">
        <v>1</v>
      </c>
      <c r="O20" s="275">
        <v>1.2045454545454546</v>
      </c>
      <c r="P20" s="275">
        <v>3.6477272727272729</v>
      </c>
      <c r="Q20" s="275">
        <v>1.4886363636363635</v>
      </c>
      <c r="R20" s="275">
        <v>1.0795454545454546</v>
      </c>
      <c r="S20" s="275">
        <v>0.42045454545454547</v>
      </c>
      <c r="T20" s="275"/>
      <c r="U20" s="263"/>
      <c r="V20" s="263"/>
      <c r="W20" s="263"/>
      <c r="X20" s="263"/>
      <c r="Y20" s="263"/>
      <c r="Z20" s="263"/>
      <c r="AA20" s="263"/>
      <c r="AB20" s="118"/>
      <c r="AC20" s="118"/>
      <c r="AD20" s="118"/>
      <c r="AE20" s="118"/>
      <c r="AF20" s="118"/>
      <c r="AG20" s="118"/>
      <c r="AH20" s="118"/>
      <c r="AI20" s="118"/>
      <c r="AJ20" s="118"/>
      <c r="AK20" s="118"/>
      <c r="AL20" s="118"/>
      <c r="AM20" s="118"/>
      <c r="AN20" s="118"/>
      <c r="AO20" s="118"/>
      <c r="AP20" s="118"/>
      <c r="AQ20" s="118"/>
      <c r="AR20" s="118"/>
      <c r="AS20" s="118"/>
      <c r="AT20" s="118"/>
      <c r="AU20" s="118"/>
      <c r="AV20" s="118"/>
      <c r="AW20" s="118"/>
      <c r="AX20" s="118"/>
      <c r="AY20" s="118"/>
      <c r="AZ20" s="118"/>
      <c r="BA20" s="118"/>
      <c r="BB20" s="118"/>
      <c r="BC20" s="118"/>
      <c r="BD20" s="118"/>
      <c r="BE20" s="118"/>
      <c r="BF20" s="118"/>
      <c r="BG20" s="118"/>
      <c r="BH20" s="118"/>
      <c r="BI20" s="118"/>
      <c r="BJ20" s="118"/>
      <c r="BK20" s="118"/>
      <c r="BL20" s="118"/>
      <c r="BM20" s="118"/>
      <c r="BN20" s="118"/>
      <c r="BO20" s="118"/>
      <c r="BP20" s="118"/>
      <c r="BQ20" s="118"/>
      <c r="BR20" s="118"/>
      <c r="BS20" s="118"/>
      <c r="BT20" s="118"/>
      <c r="BU20" s="118"/>
      <c r="BV20" s="118"/>
      <c r="BW20" s="118"/>
      <c r="BX20" s="118"/>
      <c r="BY20" s="118"/>
      <c r="BZ20" s="118"/>
      <c r="CA20" s="118"/>
      <c r="CB20" s="118"/>
      <c r="CC20" s="118"/>
      <c r="CD20" s="118"/>
      <c r="CE20" s="119"/>
      <c r="CF20" s="119"/>
      <c r="CG20" s="119"/>
      <c r="CH20" s="120"/>
      <c r="CI20" s="121"/>
      <c r="CJ20" s="92"/>
      <c r="CK20" s="92"/>
      <c r="CL20" s="92"/>
      <c r="CM20" s="92"/>
      <c r="CN20" s="92"/>
      <c r="CO20" s="92"/>
    </row>
    <row r="21" spans="2:93" ht="15.75" customHeight="1" x14ac:dyDescent="0.3">
      <c r="B21" s="117" t="s">
        <v>75</v>
      </c>
      <c r="C21" s="107" t="s">
        <v>74</v>
      </c>
      <c r="D21" s="102">
        <f t="shared" si="2"/>
        <v>6.6882416396979491E-2</v>
      </c>
      <c r="E21" s="103">
        <f t="shared" si="3"/>
        <v>0.45292207792207789</v>
      </c>
      <c r="F21" s="276">
        <v>0.10227272727272728</v>
      </c>
      <c r="G21" s="277">
        <v>0</v>
      </c>
      <c r="H21" s="277">
        <v>0</v>
      </c>
      <c r="I21" s="277">
        <v>2.0681818181818183</v>
      </c>
      <c r="J21" s="277">
        <v>1.3068181818181819</v>
      </c>
      <c r="K21" s="277">
        <v>0.40909090909090912</v>
      </c>
      <c r="L21" s="277">
        <v>0.18181818181818182</v>
      </c>
      <c r="M21" s="277">
        <v>2.2727272727272728E-2</v>
      </c>
      <c r="N21" s="277">
        <v>0</v>
      </c>
      <c r="O21" s="277">
        <v>0.20454545454545456</v>
      </c>
      <c r="P21" s="277">
        <v>1.2159090909090908</v>
      </c>
      <c r="Q21" s="277">
        <v>0.38636363636363635</v>
      </c>
      <c r="R21" s="277">
        <v>0.44318181818181818</v>
      </c>
      <c r="S21" s="277">
        <v>0</v>
      </c>
      <c r="T21" s="277"/>
      <c r="U21" s="264"/>
      <c r="V21" s="264"/>
      <c r="W21" s="264"/>
      <c r="X21" s="264"/>
      <c r="Y21" s="264"/>
      <c r="Z21" s="264"/>
      <c r="AA21" s="264"/>
      <c r="AB21" s="122"/>
      <c r="AC21" s="122"/>
      <c r="AD21" s="122"/>
      <c r="AE21" s="122"/>
      <c r="AF21" s="122"/>
      <c r="AG21" s="122"/>
      <c r="AH21" s="122"/>
      <c r="AI21" s="122"/>
      <c r="AJ21" s="122"/>
      <c r="AK21" s="122"/>
      <c r="AL21" s="122"/>
      <c r="AM21" s="122"/>
      <c r="AN21" s="122"/>
      <c r="AO21" s="122"/>
      <c r="AP21" s="122"/>
      <c r="AQ21" s="122"/>
      <c r="AR21" s="122"/>
      <c r="AS21" s="122"/>
      <c r="AT21" s="122"/>
      <c r="AU21" s="122"/>
      <c r="AV21" s="122"/>
      <c r="AW21" s="122"/>
      <c r="AX21" s="122"/>
      <c r="AY21" s="122"/>
      <c r="AZ21" s="122"/>
      <c r="BA21" s="122"/>
      <c r="BB21" s="122"/>
      <c r="BC21" s="122"/>
      <c r="BD21" s="122"/>
      <c r="BE21" s="122"/>
      <c r="BF21" s="122"/>
      <c r="BG21" s="122"/>
      <c r="BH21" s="122"/>
      <c r="BI21" s="122"/>
      <c r="BJ21" s="122"/>
      <c r="BK21" s="122"/>
      <c r="BL21" s="122"/>
      <c r="BM21" s="122"/>
      <c r="BN21" s="122"/>
      <c r="BO21" s="122"/>
      <c r="BP21" s="122"/>
      <c r="BQ21" s="122"/>
      <c r="BR21" s="122"/>
      <c r="BS21" s="122"/>
      <c r="BT21" s="122"/>
      <c r="BU21" s="122"/>
      <c r="BV21" s="122"/>
      <c r="BW21" s="122"/>
      <c r="BX21" s="122"/>
      <c r="BY21" s="122"/>
      <c r="BZ21" s="122"/>
      <c r="CA21" s="122"/>
      <c r="CB21" s="122"/>
      <c r="CC21" s="122"/>
      <c r="CD21" s="122"/>
      <c r="CE21" s="123"/>
      <c r="CF21" s="123"/>
      <c r="CG21" s="123"/>
      <c r="CH21" s="120"/>
      <c r="CI21" s="121"/>
      <c r="CJ21" s="92"/>
      <c r="CK21" s="92"/>
      <c r="CL21" s="92"/>
      <c r="CM21" s="92"/>
      <c r="CN21" s="92"/>
      <c r="CO21" s="92"/>
    </row>
    <row r="22" spans="2:93" ht="15.75" customHeight="1" x14ac:dyDescent="0.3">
      <c r="B22" s="117" t="s">
        <v>73</v>
      </c>
      <c r="C22" s="107" t="s">
        <v>71</v>
      </c>
      <c r="D22" s="102">
        <f t="shared" si="2"/>
        <v>1.7259978425026967E-2</v>
      </c>
      <c r="E22" s="103">
        <f t="shared" si="3"/>
        <v>0.11688311688311688</v>
      </c>
      <c r="F22" s="276">
        <v>0</v>
      </c>
      <c r="G22" s="277">
        <v>0.10227272727272728</v>
      </c>
      <c r="H22" s="277">
        <v>0</v>
      </c>
      <c r="I22" s="277">
        <v>0.40909090909090912</v>
      </c>
      <c r="J22" s="277">
        <v>0</v>
      </c>
      <c r="K22" s="277">
        <v>0.10227272727272728</v>
      </c>
      <c r="L22" s="277">
        <v>0</v>
      </c>
      <c r="M22" s="277">
        <v>0</v>
      </c>
      <c r="N22" s="277">
        <v>0</v>
      </c>
      <c r="O22" s="277">
        <v>0</v>
      </c>
      <c r="P22" s="277">
        <v>0.27272727272727271</v>
      </c>
      <c r="Q22" s="277">
        <v>0.34090909090909088</v>
      </c>
      <c r="R22" s="277">
        <v>0.14772727272727273</v>
      </c>
      <c r="S22" s="277">
        <v>0.26136363636363635</v>
      </c>
      <c r="T22" s="277"/>
      <c r="U22" s="264"/>
      <c r="V22" s="264"/>
      <c r="W22" s="264"/>
      <c r="X22" s="264"/>
      <c r="Y22" s="264"/>
      <c r="Z22" s="264"/>
      <c r="AA22" s="264"/>
      <c r="AB22" s="122"/>
      <c r="AC22" s="122"/>
      <c r="AD22" s="122"/>
      <c r="AE22" s="122"/>
      <c r="AF22" s="122"/>
      <c r="AG22" s="122"/>
      <c r="AH22" s="122"/>
      <c r="AI22" s="122"/>
      <c r="AJ22" s="122"/>
      <c r="AK22" s="122"/>
      <c r="AL22" s="122"/>
      <c r="AM22" s="122"/>
      <c r="AN22" s="122"/>
      <c r="AO22" s="122"/>
      <c r="AP22" s="122"/>
      <c r="AQ22" s="122"/>
      <c r="AR22" s="122"/>
      <c r="AS22" s="122"/>
      <c r="AT22" s="122"/>
      <c r="AU22" s="122"/>
      <c r="AV22" s="122"/>
      <c r="AW22" s="122"/>
      <c r="AX22" s="122"/>
      <c r="AY22" s="122"/>
      <c r="AZ22" s="122"/>
      <c r="BA22" s="122"/>
      <c r="BB22" s="122"/>
      <c r="BC22" s="122"/>
      <c r="BD22" s="122"/>
      <c r="BE22" s="122"/>
      <c r="BF22" s="122"/>
      <c r="BG22" s="122"/>
      <c r="BH22" s="122"/>
      <c r="BI22" s="122"/>
      <c r="BJ22" s="122"/>
      <c r="BK22" s="122"/>
      <c r="BL22" s="122"/>
      <c r="BM22" s="122"/>
      <c r="BN22" s="122"/>
      <c r="BO22" s="122"/>
      <c r="BP22" s="122"/>
      <c r="BQ22" s="122"/>
      <c r="BR22" s="122"/>
      <c r="BS22" s="122"/>
      <c r="BT22" s="122"/>
      <c r="BU22" s="122"/>
      <c r="BV22" s="122"/>
      <c r="BW22" s="122"/>
      <c r="BX22" s="122"/>
      <c r="BY22" s="122"/>
      <c r="BZ22" s="122"/>
      <c r="CA22" s="122"/>
      <c r="CB22" s="122"/>
      <c r="CC22" s="122"/>
      <c r="CD22" s="122"/>
      <c r="CE22" s="123"/>
      <c r="CF22" s="123"/>
      <c r="CG22" s="123"/>
      <c r="CH22" s="120"/>
      <c r="CI22" s="121"/>
      <c r="CJ22" s="92"/>
      <c r="CK22" s="92"/>
      <c r="CL22" s="92"/>
      <c r="CM22" s="92"/>
      <c r="CN22" s="92"/>
      <c r="CO22" s="92"/>
    </row>
    <row r="23" spans="2:93" ht="15.75" customHeight="1" x14ac:dyDescent="0.3">
      <c r="B23" s="117" t="s">
        <v>72</v>
      </c>
      <c r="C23" s="107" t="s">
        <v>69</v>
      </c>
      <c r="D23" s="102">
        <f t="shared" si="2"/>
        <v>1.2944983818770225E-2</v>
      </c>
      <c r="E23" s="103">
        <f t="shared" si="3"/>
        <v>8.7662337662337664E-2</v>
      </c>
      <c r="F23" s="276">
        <v>0</v>
      </c>
      <c r="G23" s="277">
        <v>0.10227272727272728</v>
      </c>
      <c r="H23" s="277">
        <v>0</v>
      </c>
      <c r="I23" s="277">
        <v>0.40909090909090912</v>
      </c>
      <c r="J23" s="277">
        <v>0</v>
      </c>
      <c r="K23" s="277">
        <v>0.10227272727272728</v>
      </c>
      <c r="L23" s="277">
        <v>0</v>
      </c>
      <c r="M23" s="277">
        <v>0</v>
      </c>
      <c r="N23" s="277">
        <v>0</v>
      </c>
      <c r="O23" s="277">
        <v>0</v>
      </c>
      <c r="P23" s="277">
        <v>0.27272727272727271</v>
      </c>
      <c r="Q23" s="277">
        <v>0.34090909090909088</v>
      </c>
      <c r="R23" s="277">
        <v>0</v>
      </c>
      <c r="S23" s="277">
        <v>0</v>
      </c>
      <c r="T23" s="277"/>
      <c r="U23" s="264"/>
      <c r="V23" s="264"/>
      <c r="W23" s="264"/>
      <c r="X23" s="264"/>
      <c r="Y23" s="264"/>
      <c r="Z23" s="264"/>
      <c r="AA23" s="264"/>
      <c r="AB23" s="122"/>
      <c r="AC23" s="122"/>
      <c r="AD23" s="122"/>
      <c r="AE23" s="122"/>
      <c r="AF23" s="122"/>
      <c r="AG23" s="122"/>
      <c r="AH23" s="122"/>
      <c r="AI23" s="122"/>
      <c r="AJ23" s="122"/>
      <c r="AK23" s="122"/>
      <c r="AL23" s="122"/>
      <c r="AM23" s="122"/>
      <c r="AN23" s="122"/>
      <c r="AO23" s="122"/>
      <c r="AP23" s="122"/>
      <c r="AQ23" s="122"/>
      <c r="AR23" s="122"/>
      <c r="AS23" s="122"/>
      <c r="AT23" s="122"/>
      <c r="AU23" s="122"/>
      <c r="AV23" s="122"/>
      <c r="AW23" s="122"/>
      <c r="AX23" s="122"/>
      <c r="AY23" s="122"/>
      <c r="AZ23" s="122"/>
      <c r="BA23" s="122"/>
      <c r="BB23" s="122"/>
      <c r="BC23" s="122"/>
      <c r="BD23" s="122"/>
      <c r="BE23" s="122"/>
      <c r="BF23" s="122"/>
      <c r="BG23" s="122"/>
      <c r="BH23" s="122"/>
      <c r="BI23" s="122"/>
      <c r="BJ23" s="122"/>
      <c r="BK23" s="122"/>
      <c r="BL23" s="122"/>
      <c r="BM23" s="122"/>
      <c r="BN23" s="122"/>
      <c r="BO23" s="122"/>
      <c r="BP23" s="122"/>
      <c r="BQ23" s="122"/>
      <c r="BR23" s="122"/>
      <c r="BS23" s="122"/>
      <c r="BT23" s="122"/>
      <c r="BU23" s="122"/>
      <c r="BV23" s="122"/>
      <c r="BW23" s="122"/>
      <c r="BX23" s="122"/>
      <c r="BY23" s="122"/>
      <c r="BZ23" s="122"/>
      <c r="CA23" s="122"/>
      <c r="CB23" s="122"/>
      <c r="CC23" s="122"/>
      <c r="CD23" s="122"/>
      <c r="CE23" s="123"/>
      <c r="CF23" s="123"/>
      <c r="CG23" s="123"/>
      <c r="CH23" s="120"/>
      <c r="CI23" s="121"/>
      <c r="CJ23" s="92"/>
      <c r="CK23" s="92"/>
      <c r="CL23" s="92"/>
      <c r="CM23" s="92"/>
      <c r="CN23" s="92"/>
      <c r="CO23" s="92"/>
    </row>
    <row r="24" spans="2:93" ht="15.75" customHeight="1" x14ac:dyDescent="0.3">
      <c r="B24" s="117" t="s">
        <v>70</v>
      </c>
      <c r="C24" s="107" t="s">
        <v>174</v>
      </c>
      <c r="D24" s="102">
        <f t="shared" si="2"/>
        <v>2.1574973031283709E-3</v>
      </c>
      <c r="E24" s="103">
        <f t="shared" si="3"/>
        <v>1.4610389610389612E-2</v>
      </c>
      <c r="F24" s="276">
        <v>0</v>
      </c>
      <c r="G24" s="277">
        <v>0.10227272727272728</v>
      </c>
      <c r="H24" s="277">
        <v>0</v>
      </c>
      <c r="I24" s="277">
        <v>0.10227272727272728</v>
      </c>
      <c r="J24" s="277">
        <v>0</v>
      </c>
      <c r="K24" s="277">
        <v>0</v>
      </c>
      <c r="L24" s="277">
        <v>0</v>
      </c>
      <c r="M24" s="277">
        <v>0</v>
      </c>
      <c r="N24" s="277">
        <v>0</v>
      </c>
      <c r="O24" s="277">
        <v>0</v>
      </c>
      <c r="P24" s="277">
        <v>0</v>
      </c>
      <c r="Q24" s="277">
        <v>0</v>
      </c>
      <c r="R24" s="277">
        <v>0</v>
      </c>
      <c r="S24" s="277">
        <v>0</v>
      </c>
      <c r="T24" s="277"/>
      <c r="U24" s="264"/>
      <c r="V24" s="264"/>
      <c r="W24" s="264"/>
      <c r="X24" s="264"/>
      <c r="Y24" s="264"/>
      <c r="Z24" s="264"/>
      <c r="AA24" s="264"/>
      <c r="AB24" s="122"/>
      <c r="AC24" s="122"/>
      <c r="AD24" s="122"/>
      <c r="AE24" s="122"/>
      <c r="AF24" s="122"/>
      <c r="AG24" s="122"/>
      <c r="AH24" s="122"/>
      <c r="AI24" s="122"/>
      <c r="AJ24" s="122"/>
      <c r="AK24" s="122"/>
      <c r="AL24" s="122"/>
      <c r="AM24" s="122"/>
      <c r="AN24" s="122"/>
      <c r="AO24" s="122"/>
      <c r="AP24" s="122"/>
      <c r="AQ24" s="122"/>
      <c r="AR24" s="122"/>
      <c r="AS24" s="122"/>
      <c r="AT24" s="122"/>
      <c r="AU24" s="122"/>
      <c r="AV24" s="122"/>
      <c r="AW24" s="122"/>
      <c r="AX24" s="122"/>
      <c r="AY24" s="122"/>
      <c r="AZ24" s="122"/>
      <c r="BA24" s="122"/>
      <c r="BB24" s="122"/>
      <c r="BC24" s="122"/>
      <c r="BD24" s="122"/>
      <c r="BE24" s="122"/>
      <c r="BF24" s="122"/>
      <c r="BG24" s="122"/>
      <c r="BH24" s="122"/>
      <c r="BI24" s="122"/>
      <c r="BJ24" s="122"/>
      <c r="BK24" s="122"/>
      <c r="BL24" s="122"/>
      <c r="BM24" s="122"/>
      <c r="BN24" s="122"/>
      <c r="BO24" s="122"/>
      <c r="BP24" s="122"/>
      <c r="BQ24" s="122"/>
      <c r="BR24" s="122"/>
      <c r="BS24" s="122"/>
      <c r="BT24" s="122"/>
      <c r="BU24" s="122"/>
      <c r="BV24" s="122"/>
      <c r="BW24" s="122"/>
      <c r="BX24" s="122"/>
      <c r="BY24" s="122"/>
      <c r="BZ24" s="122"/>
      <c r="CA24" s="122"/>
      <c r="CB24" s="122"/>
      <c r="CC24" s="122"/>
      <c r="CD24" s="122"/>
      <c r="CE24" s="123"/>
      <c r="CF24" s="123"/>
      <c r="CG24" s="123"/>
      <c r="CH24" s="120"/>
      <c r="CI24" s="121"/>
      <c r="CJ24" s="92"/>
      <c r="CK24" s="92"/>
      <c r="CL24" s="92"/>
      <c r="CM24" s="92"/>
      <c r="CN24" s="92"/>
      <c r="CO24" s="92"/>
    </row>
    <row r="25" spans="2:93" ht="15.75" customHeight="1" x14ac:dyDescent="0.3">
      <c r="B25" s="117" t="s">
        <v>68</v>
      </c>
      <c r="C25" s="107" t="s">
        <v>175</v>
      </c>
      <c r="D25" s="102">
        <f t="shared" si="2"/>
        <v>1.0787486515641855E-2</v>
      </c>
      <c r="E25" s="103">
        <f t="shared" si="3"/>
        <v>7.3051948051948049E-2</v>
      </c>
      <c r="F25" s="276">
        <v>0</v>
      </c>
      <c r="G25" s="277">
        <v>0</v>
      </c>
      <c r="H25" s="277">
        <v>0</v>
      </c>
      <c r="I25" s="277">
        <v>0</v>
      </c>
      <c r="J25" s="277">
        <v>0</v>
      </c>
      <c r="K25" s="277">
        <v>0</v>
      </c>
      <c r="L25" s="277">
        <v>0.10227272727272728</v>
      </c>
      <c r="M25" s="277">
        <v>0</v>
      </c>
      <c r="N25" s="277">
        <v>0</v>
      </c>
      <c r="O25" s="277">
        <v>0</v>
      </c>
      <c r="P25" s="277">
        <v>0.92045454545454541</v>
      </c>
      <c r="Q25" s="277">
        <v>0</v>
      </c>
      <c r="R25" s="277">
        <v>0</v>
      </c>
      <c r="S25" s="277">
        <v>0</v>
      </c>
      <c r="T25" s="277"/>
      <c r="U25" s="264"/>
      <c r="V25" s="264"/>
      <c r="W25" s="264"/>
      <c r="X25" s="264"/>
      <c r="Y25" s="264"/>
      <c r="Z25" s="264"/>
      <c r="AA25" s="264"/>
      <c r="AB25" s="122"/>
      <c r="AC25" s="122"/>
      <c r="AD25" s="122"/>
      <c r="AE25" s="122"/>
      <c r="AF25" s="122"/>
      <c r="AG25" s="122"/>
      <c r="AH25" s="122"/>
      <c r="AI25" s="122"/>
      <c r="AJ25" s="122"/>
      <c r="AK25" s="122"/>
      <c r="AL25" s="122"/>
      <c r="AM25" s="122"/>
      <c r="AN25" s="122"/>
      <c r="AO25" s="122"/>
      <c r="AP25" s="122"/>
      <c r="AQ25" s="122"/>
      <c r="AR25" s="122"/>
      <c r="AS25" s="122"/>
      <c r="AT25" s="122"/>
      <c r="AU25" s="122"/>
      <c r="AV25" s="122"/>
      <c r="AW25" s="122"/>
      <c r="AX25" s="122"/>
      <c r="AY25" s="122"/>
      <c r="AZ25" s="122"/>
      <c r="BA25" s="122"/>
      <c r="BB25" s="122"/>
      <c r="BC25" s="122"/>
      <c r="BD25" s="122"/>
      <c r="BE25" s="122"/>
      <c r="BF25" s="122"/>
      <c r="BG25" s="122"/>
      <c r="BH25" s="122"/>
      <c r="BI25" s="122"/>
      <c r="BJ25" s="122"/>
      <c r="BK25" s="122"/>
      <c r="BL25" s="122"/>
      <c r="BM25" s="122"/>
      <c r="BN25" s="122"/>
      <c r="BO25" s="122"/>
      <c r="BP25" s="122"/>
      <c r="BQ25" s="122"/>
      <c r="BR25" s="122"/>
      <c r="BS25" s="122"/>
      <c r="BT25" s="122"/>
      <c r="BU25" s="122"/>
      <c r="BV25" s="122"/>
      <c r="BW25" s="122"/>
      <c r="BX25" s="122"/>
      <c r="BY25" s="122"/>
      <c r="BZ25" s="122"/>
      <c r="CA25" s="122"/>
      <c r="CB25" s="122"/>
      <c r="CC25" s="122"/>
      <c r="CD25" s="122"/>
      <c r="CE25" s="123"/>
      <c r="CF25" s="123"/>
      <c r="CG25" s="123"/>
      <c r="CH25" s="120"/>
      <c r="CI25" s="121"/>
      <c r="CJ25" s="92"/>
      <c r="CK25" s="92"/>
      <c r="CL25" s="92"/>
      <c r="CM25" s="92"/>
      <c r="CN25" s="92"/>
      <c r="CO25" s="92"/>
    </row>
    <row r="26" spans="2:93" ht="15.75" customHeight="1" x14ac:dyDescent="0.3">
      <c r="B26" s="117" t="s">
        <v>67</v>
      </c>
      <c r="C26" s="107" t="s">
        <v>162</v>
      </c>
      <c r="D26" s="102">
        <f t="shared" si="2"/>
        <v>2.1574973031283709E-3</v>
      </c>
      <c r="E26" s="103">
        <f t="shared" si="3"/>
        <v>1.4610389610389612E-2</v>
      </c>
      <c r="F26" s="276">
        <v>0</v>
      </c>
      <c r="G26" s="277">
        <v>0.10227272727272728</v>
      </c>
      <c r="H26" s="277">
        <v>0</v>
      </c>
      <c r="I26" s="277">
        <v>0.10227272727272728</v>
      </c>
      <c r="J26" s="277">
        <v>0</v>
      </c>
      <c r="K26" s="277">
        <v>0</v>
      </c>
      <c r="L26" s="277">
        <v>0</v>
      </c>
      <c r="M26" s="277">
        <v>0</v>
      </c>
      <c r="N26" s="277">
        <v>0</v>
      </c>
      <c r="O26" s="277">
        <v>0</v>
      </c>
      <c r="P26" s="277">
        <v>0</v>
      </c>
      <c r="Q26" s="277">
        <v>0</v>
      </c>
      <c r="R26" s="277">
        <v>0</v>
      </c>
      <c r="S26" s="277">
        <v>0</v>
      </c>
      <c r="T26" s="277"/>
      <c r="U26" s="264"/>
      <c r="V26" s="264"/>
      <c r="W26" s="264"/>
      <c r="X26" s="264"/>
      <c r="Y26" s="264"/>
      <c r="Z26" s="264"/>
      <c r="AA26" s="264"/>
      <c r="AB26" s="122"/>
      <c r="AC26" s="122"/>
      <c r="AD26" s="122"/>
      <c r="AE26" s="122"/>
      <c r="AF26" s="122"/>
      <c r="AG26" s="122"/>
      <c r="AH26" s="122"/>
      <c r="AI26" s="122"/>
      <c r="AJ26" s="122"/>
      <c r="AK26" s="122"/>
      <c r="AL26" s="122"/>
      <c r="AM26" s="122"/>
      <c r="AN26" s="122"/>
      <c r="AO26" s="122"/>
      <c r="AP26" s="122"/>
      <c r="AQ26" s="122"/>
      <c r="AR26" s="122"/>
      <c r="AS26" s="122"/>
      <c r="AT26" s="122"/>
      <c r="AU26" s="122"/>
      <c r="AV26" s="122"/>
      <c r="AW26" s="122"/>
      <c r="AX26" s="122"/>
      <c r="AY26" s="122"/>
      <c r="AZ26" s="122"/>
      <c r="BA26" s="122"/>
      <c r="BB26" s="122"/>
      <c r="BC26" s="122"/>
      <c r="BD26" s="122"/>
      <c r="BE26" s="122"/>
      <c r="BF26" s="122"/>
      <c r="BG26" s="122"/>
      <c r="BH26" s="122"/>
      <c r="BI26" s="122"/>
      <c r="BJ26" s="122"/>
      <c r="BK26" s="122"/>
      <c r="BL26" s="122"/>
      <c r="BM26" s="122"/>
      <c r="BN26" s="122"/>
      <c r="BO26" s="122"/>
      <c r="BP26" s="122"/>
      <c r="BQ26" s="122"/>
      <c r="BR26" s="122"/>
      <c r="BS26" s="122"/>
      <c r="BT26" s="122"/>
      <c r="BU26" s="122"/>
      <c r="BV26" s="122"/>
      <c r="BW26" s="122"/>
      <c r="BX26" s="122"/>
      <c r="BY26" s="122"/>
      <c r="BZ26" s="122"/>
      <c r="CA26" s="122"/>
      <c r="CB26" s="122"/>
      <c r="CC26" s="122"/>
      <c r="CD26" s="122"/>
      <c r="CE26" s="123"/>
      <c r="CF26" s="123"/>
      <c r="CG26" s="123"/>
      <c r="CH26" s="120"/>
      <c r="CI26" s="121"/>
      <c r="CJ26" s="92"/>
      <c r="CK26" s="92"/>
      <c r="CL26" s="92"/>
      <c r="CM26" s="92"/>
      <c r="CN26" s="92"/>
      <c r="CO26" s="92"/>
    </row>
    <row r="27" spans="2:93" ht="15.75" customHeight="1" x14ac:dyDescent="0.3">
      <c r="B27" s="117" t="s">
        <v>66</v>
      </c>
      <c r="C27" s="107" t="s">
        <v>176</v>
      </c>
      <c r="D27" s="102">
        <f t="shared" si="2"/>
        <v>3.9913700107874851E-2</v>
      </c>
      <c r="E27" s="103">
        <f t="shared" si="3"/>
        <v>0.27029220779220775</v>
      </c>
      <c r="F27" s="276">
        <v>0</v>
      </c>
      <c r="G27" s="277">
        <v>0</v>
      </c>
      <c r="H27" s="277">
        <v>0</v>
      </c>
      <c r="I27" s="277">
        <v>0</v>
      </c>
      <c r="J27" s="277">
        <v>0</v>
      </c>
      <c r="K27" s="277">
        <v>1.125</v>
      </c>
      <c r="L27" s="277">
        <v>1.4090909090909092</v>
      </c>
      <c r="M27" s="277">
        <v>0.63636363636363635</v>
      </c>
      <c r="N27" s="277">
        <v>0</v>
      </c>
      <c r="O27" s="277">
        <v>0</v>
      </c>
      <c r="P27" s="277">
        <v>0.51136363636363635</v>
      </c>
      <c r="Q27" s="277">
        <v>0.10227272727272728</v>
      </c>
      <c r="R27" s="277">
        <v>0</v>
      </c>
      <c r="S27" s="277">
        <v>0</v>
      </c>
      <c r="T27" s="277"/>
      <c r="U27" s="264"/>
      <c r="V27" s="264"/>
      <c r="W27" s="264"/>
      <c r="X27" s="264"/>
      <c r="Y27" s="264"/>
      <c r="Z27" s="264"/>
      <c r="AA27" s="264"/>
      <c r="AB27" s="122"/>
      <c r="AC27" s="122"/>
      <c r="AD27" s="122"/>
      <c r="AE27" s="122"/>
      <c r="AF27" s="122"/>
      <c r="AG27" s="122"/>
      <c r="AH27" s="122"/>
      <c r="AI27" s="122"/>
      <c r="AJ27" s="122"/>
      <c r="AK27" s="122"/>
      <c r="AL27" s="122"/>
      <c r="AM27" s="122"/>
      <c r="AN27" s="122"/>
      <c r="AO27" s="122"/>
      <c r="AP27" s="122"/>
      <c r="AQ27" s="122"/>
      <c r="AR27" s="122"/>
      <c r="AS27" s="122"/>
      <c r="AT27" s="122"/>
      <c r="AU27" s="122"/>
      <c r="AV27" s="122"/>
      <c r="AW27" s="122"/>
      <c r="AX27" s="122"/>
      <c r="AY27" s="122"/>
      <c r="AZ27" s="122"/>
      <c r="BA27" s="122"/>
      <c r="BB27" s="122"/>
      <c r="BC27" s="122"/>
      <c r="BD27" s="122"/>
      <c r="BE27" s="122"/>
      <c r="BF27" s="122"/>
      <c r="BG27" s="122"/>
      <c r="BH27" s="122"/>
      <c r="BI27" s="122"/>
      <c r="BJ27" s="122"/>
      <c r="BK27" s="122"/>
      <c r="BL27" s="122"/>
      <c r="BM27" s="122"/>
      <c r="BN27" s="122"/>
      <c r="BO27" s="122"/>
      <c r="BP27" s="122"/>
      <c r="BQ27" s="122"/>
      <c r="BR27" s="122"/>
      <c r="BS27" s="122"/>
      <c r="BT27" s="122"/>
      <c r="BU27" s="122"/>
      <c r="BV27" s="122"/>
      <c r="BW27" s="122"/>
      <c r="BX27" s="122"/>
      <c r="BY27" s="122"/>
      <c r="BZ27" s="122"/>
      <c r="CA27" s="122"/>
      <c r="CB27" s="122"/>
      <c r="CC27" s="122"/>
      <c r="CD27" s="122"/>
      <c r="CE27" s="123"/>
      <c r="CF27" s="123"/>
      <c r="CG27" s="123"/>
      <c r="CH27" s="120"/>
      <c r="CI27" s="121"/>
      <c r="CJ27" s="92"/>
      <c r="CK27" s="92"/>
      <c r="CL27" s="92"/>
      <c r="CM27" s="92"/>
      <c r="CN27" s="92"/>
      <c r="CO27" s="92"/>
    </row>
    <row r="28" spans="2:93" ht="15.75" customHeight="1" x14ac:dyDescent="0.3">
      <c r="B28" s="117" t="s">
        <v>65</v>
      </c>
      <c r="C28" s="107" t="s">
        <v>59</v>
      </c>
      <c r="D28" s="102">
        <f t="shared" si="2"/>
        <v>9.0614886731391578E-2</v>
      </c>
      <c r="E28" s="103">
        <f>IFERROR(AVERAGE(F28:CG28),"")</f>
        <v>0.61363636363636365</v>
      </c>
      <c r="F28" s="276">
        <v>0</v>
      </c>
      <c r="G28" s="277">
        <v>0</v>
      </c>
      <c r="H28" s="277">
        <v>0</v>
      </c>
      <c r="I28" s="277">
        <v>0</v>
      </c>
      <c r="J28" s="277">
        <v>0</v>
      </c>
      <c r="K28" s="277">
        <v>0.30681818181818182</v>
      </c>
      <c r="L28" s="277">
        <v>0.48863636363636365</v>
      </c>
      <c r="M28" s="277">
        <v>1.5681818181818181</v>
      </c>
      <c r="N28" s="277">
        <v>2</v>
      </c>
      <c r="O28" s="277">
        <v>2</v>
      </c>
      <c r="P28" s="277">
        <v>1.3863636363636365</v>
      </c>
      <c r="Q28" s="277">
        <v>0.84090909090909094</v>
      </c>
      <c r="R28" s="277">
        <v>0</v>
      </c>
      <c r="S28" s="277">
        <v>0</v>
      </c>
      <c r="T28" s="277"/>
      <c r="U28" s="264"/>
      <c r="V28" s="264"/>
      <c r="W28" s="264"/>
      <c r="X28" s="264"/>
      <c r="Y28" s="264"/>
      <c r="Z28" s="264"/>
      <c r="AA28" s="264"/>
      <c r="AB28" s="122"/>
      <c r="AC28" s="122"/>
      <c r="AD28" s="122"/>
      <c r="AE28" s="122"/>
      <c r="AF28" s="122"/>
      <c r="AG28" s="122"/>
      <c r="AH28" s="122"/>
      <c r="AI28" s="122"/>
      <c r="AJ28" s="122"/>
      <c r="AK28" s="122"/>
      <c r="AL28" s="122"/>
      <c r="AM28" s="122"/>
      <c r="AN28" s="122"/>
      <c r="AO28" s="122"/>
      <c r="AP28" s="122"/>
      <c r="AQ28" s="122"/>
      <c r="AR28" s="122"/>
      <c r="AS28" s="122"/>
      <c r="AT28" s="122"/>
      <c r="AU28" s="122"/>
      <c r="AV28" s="122"/>
      <c r="AW28" s="122"/>
      <c r="AX28" s="122"/>
      <c r="AY28" s="122"/>
      <c r="AZ28" s="122"/>
      <c r="BA28" s="122"/>
      <c r="BB28" s="122"/>
      <c r="BC28" s="122"/>
      <c r="BD28" s="122"/>
      <c r="BE28" s="122"/>
      <c r="BF28" s="122"/>
      <c r="BG28" s="122"/>
      <c r="BH28" s="122"/>
      <c r="BI28" s="122"/>
      <c r="BJ28" s="122"/>
      <c r="BK28" s="122"/>
      <c r="BL28" s="122"/>
      <c r="BM28" s="122"/>
      <c r="BN28" s="122"/>
      <c r="BO28" s="122"/>
      <c r="BP28" s="122"/>
      <c r="BQ28" s="122"/>
      <c r="BR28" s="122"/>
      <c r="BS28" s="122"/>
      <c r="BT28" s="122"/>
      <c r="BU28" s="122"/>
      <c r="BV28" s="122"/>
      <c r="BW28" s="122"/>
      <c r="BX28" s="122"/>
      <c r="BY28" s="122"/>
      <c r="BZ28" s="122"/>
      <c r="CA28" s="122"/>
      <c r="CB28" s="122"/>
      <c r="CC28" s="122"/>
      <c r="CD28" s="122"/>
      <c r="CE28" s="123"/>
      <c r="CF28" s="123"/>
      <c r="CG28" s="123"/>
      <c r="CH28" s="120"/>
      <c r="CI28" s="121"/>
      <c r="CJ28" s="92"/>
      <c r="CK28" s="92"/>
      <c r="CL28" s="92"/>
      <c r="CM28" s="92"/>
      <c r="CN28" s="92"/>
      <c r="CO28" s="92"/>
    </row>
    <row r="29" spans="2:93" ht="15.75" customHeight="1" x14ac:dyDescent="0.3">
      <c r="B29" s="117" t="s">
        <v>64</v>
      </c>
      <c r="C29" s="107" t="s">
        <v>57</v>
      </c>
      <c r="D29" s="102">
        <f t="shared" si="2"/>
        <v>8.629989212513485E-2</v>
      </c>
      <c r="E29" s="103">
        <f>IFERROR(AVERAGE(F29:CG29),"")</f>
        <v>0.5844155844155845</v>
      </c>
      <c r="F29" s="276">
        <v>0</v>
      </c>
      <c r="G29" s="277">
        <v>0</v>
      </c>
      <c r="H29" s="277">
        <v>0</v>
      </c>
      <c r="I29" s="277">
        <v>0</v>
      </c>
      <c r="J29" s="277">
        <v>0</v>
      </c>
      <c r="K29" s="277">
        <v>0</v>
      </c>
      <c r="L29" s="277">
        <v>0.38636363636363635</v>
      </c>
      <c r="M29" s="277">
        <v>1.5681818181818181</v>
      </c>
      <c r="N29" s="277">
        <v>2</v>
      </c>
      <c r="O29" s="277">
        <v>2</v>
      </c>
      <c r="P29" s="277">
        <v>1.3863636363636365</v>
      </c>
      <c r="Q29" s="277">
        <v>0.84090909090909094</v>
      </c>
      <c r="R29" s="277">
        <v>0</v>
      </c>
      <c r="S29" s="277">
        <v>0</v>
      </c>
      <c r="T29" s="277"/>
      <c r="U29" s="264"/>
      <c r="V29" s="264"/>
      <c r="W29" s="264"/>
      <c r="X29" s="264"/>
      <c r="Y29" s="264"/>
      <c r="Z29" s="264"/>
      <c r="AA29" s="264"/>
      <c r="AB29" s="122"/>
      <c r="AC29" s="122"/>
      <c r="AD29" s="122"/>
      <c r="AE29" s="122"/>
      <c r="AF29" s="122"/>
      <c r="AG29" s="122"/>
      <c r="AH29" s="122"/>
      <c r="AI29" s="122"/>
      <c r="AJ29" s="122"/>
      <c r="AK29" s="122"/>
      <c r="AL29" s="122"/>
      <c r="AM29" s="122"/>
      <c r="AN29" s="122"/>
      <c r="AO29" s="122"/>
      <c r="AP29" s="122"/>
      <c r="AQ29" s="122"/>
      <c r="AR29" s="122"/>
      <c r="AS29" s="122"/>
      <c r="AT29" s="122"/>
      <c r="AU29" s="122"/>
      <c r="AV29" s="122"/>
      <c r="AW29" s="122"/>
      <c r="AX29" s="122"/>
      <c r="AY29" s="122"/>
      <c r="AZ29" s="122"/>
      <c r="BA29" s="122"/>
      <c r="BB29" s="122"/>
      <c r="BC29" s="122"/>
      <c r="BD29" s="122"/>
      <c r="BE29" s="122"/>
      <c r="BF29" s="122"/>
      <c r="BG29" s="122"/>
      <c r="BH29" s="122"/>
      <c r="BI29" s="122"/>
      <c r="BJ29" s="122"/>
      <c r="BK29" s="122"/>
      <c r="BL29" s="122"/>
      <c r="BM29" s="122"/>
      <c r="BN29" s="122"/>
      <c r="BO29" s="122"/>
      <c r="BP29" s="122"/>
      <c r="BQ29" s="122"/>
      <c r="BR29" s="122"/>
      <c r="BS29" s="122"/>
      <c r="BT29" s="122"/>
      <c r="BU29" s="122"/>
      <c r="BV29" s="122"/>
      <c r="BW29" s="122"/>
      <c r="BX29" s="122"/>
      <c r="BY29" s="122"/>
      <c r="BZ29" s="122"/>
      <c r="CA29" s="122"/>
      <c r="CB29" s="122"/>
      <c r="CC29" s="122"/>
      <c r="CD29" s="122"/>
      <c r="CE29" s="123"/>
      <c r="CF29" s="123"/>
      <c r="CG29" s="123"/>
      <c r="CH29" s="120"/>
      <c r="CI29" s="121"/>
      <c r="CJ29" s="92"/>
      <c r="CK29" s="92"/>
      <c r="CL29" s="92"/>
      <c r="CM29" s="92"/>
      <c r="CN29" s="92"/>
      <c r="CO29" s="92"/>
    </row>
    <row r="30" spans="2:93" ht="15.75" customHeight="1" x14ac:dyDescent="0.3">
      <c r="B30" s="117" t="s">
        <v>63</v>
      </c>
      <c r="C30" s="107" t="s">
        <v>156</v>
      </c>
      <c r="D30" s="102">
        <f t="shared" si="2"/>
        <v>0.10895361380798271</v>
      </c>
      <c r="E30" s="103">
        <f>IFERROR(AVERAGE(F30:CG30),"")</f>
        <v>0.73782467532467522</v>
      </c>
      <c r="F30" s="276">
        <v>0</v>
      </c>
      <c r="G30" s="277">
        <v>0</v>
      </c>
      <c r="H30" s="277">
        <v>0</v>
      </c>
      <c r="I30" s="277">
        <v>0</v>
      </c>
      <c r="J30" s="277">
        <v>0</v>
      </c>
      <c r="K30" s="277">
        <v>1.125</v>
      </c>
      <c r="L30" s="277">
        <v>1.3068181818181819</v>
      </c>
      <c r="M30" s="277">
        <v>1.8181818181818181</v>
      </c>
      <c r="N30" s="277">
        <v>2.125</v>
      </c>
      <c r="O30" s="277">
        <v>3.4659090909090908</v>
      </c>
      <c r="P30" s="277">
        <v>0.48863636363636365</v>
      </c>
      <c r="Q30" s="277">
        <v>0</v>
      </c>
      <c r="R30" s="277">
        <v>0</v>
      </c>
      <c r="S30" s="277">
        <v>0</v>
      </c>
      <c r="T30" s="277"/>
      <c r="U30" s="264"/>
      <c r="V30" s="264"/>
      <c r="W30" s="264"/>
      <c r="X30" s="264"/>
      <c r="Y30" s="264"/>
      <c r="Z30" s="264"/>
      <c r="AA30" s="264"/>
      <c r="AB30" s="122"/>
      <c r="AC30" s="122"/>
      <c r="AD30" s="122"/>
      <c r="AE30" s="122"/>
      <c r="AF30" s="122"/>
      <c r="AG30" s="122"/>
      <c r="AH30" s="122"/>
      <c r="AI30" s="122"/>
      <c r="AJ30" s="122"/>
      <c r="AK30" s="122"/>
      <c r="AL30" s="122"/>
      <c r="AM30" s="122"/>
      <c r="AN30" s="122"/>
      <c r="AO30" s="122"/>
      <c r="AP30" s="122"/>
      <c r="AQ30" s="122"/>
      <c r="AR30" s="122"/>
      <c r="AS30" s="122"/>
      <c r="AT30" s="122"/>
      <c r="AU30" s="122"/>
      <c r="AV30" s="122"/>
      <c r="AW30" s="122"/>
      <c r="AX30" s="122"/>
      <c r="AY30" s="122"/>
      <c r="AZ30" s="122"/>
      <c r="BA30" s="122"/>
      <c r="BB30" s="122"/>
      <c r="BC30" s="122"/>
      <c r="BD30" s="122"/>
      <c r="BE30" s="122"/>
      <c r="BF30" s="122"/>
      <c r="BG30" s="122"/>
      <c r="BH30" s="122"/>
      <c r="BI30" s="122"/>
      <c r="BJ30" s="122"/>
      <c r="BK30" s="122"/>
      <c r="BL30" s="122"/>
      <c r="BM30" s="122"/>
      <c r="BN30" s="122"/>
      <c r="BO30" s="122"/>
      <c r="BP30" s="122"/>
      <c r="BQ30" s="122"/>
      <c r="BR30" s="122"/>
      <c r="BS30" s="122"/>
      <c r="BT30" s="122"/>
      <c r="BU30" s="122"/>
      <c r="BV30" s="122"/>
      <c r="BW30" s="122"/>
      <c r="BX30" s="122"/>
      <c r="BY30" s="122"/>
      <c r="BZ30" s="122"/>
      <c r="CA30" s="122"/>
      <c r="CB30" s="122"/>
      <c r="CC30" s="122"/>
      <c r="CD30" s="122"/>
      <c r="CE30" s="123"/>
      <c r="CF30" s="123"/>
      <c r="CG30" s="123"/>
      <c r="CH30" s="120"/>
      <c r="CI30" s="121"/>
      <c r="CJ30" s="92"/>
      <c r="CK30" s="92"/>
      <c r="CL30" s="92"/>
      <c r="CM30" s="92"/>
      <c r="CN30" s="92"/>
      <c r="CO30" s="92"/>
    </row>
    <row r="31" spans="2:93" ht="15.75" customHeight="1" x14ac:dyDescent="0.3">
      <c r="B31" s="117" t="s">
        <v>62</v>
      </c>
      <c r="C31" s="107" t="s">
        <v>155</v>
      </c>
      <c r="D31" s="102">
        <f t="shared" si="2"/>
        <v>0.11003236245954691</v>
      </c>
      <c r="E31" s="103">
        <f>IFERROR(AVERAGE(F31:CG31),"")</f>
        <v>0.74512987012987009</v>
      </c>
      <c r="F31" s="276">
        <v>0</v>
      </c>
      <c r="G31" s="277">
        <v>0</v>
      </c>
      <c r="H31" s="277">
        <v>0</v>
      </c>
      <c r="I31" s="277">
        <v>0</v>
      </c>
      <c r="J31" s="277">
        <v>0</v>
      </c>
      <c r="K31" s="277">
        <v>1.125</v>
      </c>
      <c r="L31" s="277">
        <v>1.3068181818181819</v>
      </c>
      <c r="M31" s="277">
        <v>1.8181818181818181</v>
      </c>
      <c r="N31" s="277">
        <v>2.125</v>
      </c>
      <c r="O31" s="277">
        <v>3.6704545454545454</v>
      </c>
      <c r="P31" s="277">
        <v>0.38636363636363635</v>
      </c>
      <c r="Q31" s="277">
        <v>0</v>
      </c>
      <c r="R31" s="277">
        <v>0</v>
      </c>
      <c r="S31" s="277">
        <v>0</v>
      </c>
      <c r="T31" s="277"/>
      <c r="U31" s="264"/>
      <c r="V31" s="264"/>
      <c r="W31" s="264"/>
      <c r="X31" s="264"/>
      <c r="Y31" s="264"/>
      <c r="Z31" s="264"/>
      <c r="AA31" s="264"/>
      <c r="AB31" s="122"/>
      <c r="AC31" s="122"/>
      <c r="AD31" s="122"/>
      <c r="AE31" s="122"/>
      <c r="AF31" s="122"/>
      <c r="AG31" s="122"/>
      <c r="AH31" s="122"/>
      <c r="AI31" s="122"/>
      <c r="AJ31" s="122"/>
      <c r="AK31" s="122"/>
      <c r="AL31" s="122"/>
      <c r="AM31" s="122"/>
      <c r="AN31" s="122"/>
      <c r="AO31" s="122"/>
      <c r="AP31" s="122"/>
      <c r="AQ31" s="122"/>
      <c r="AR31" s="122"/>
      <c r="AS31" s="122"/>
      <c r="AT31" s="122"/>
      <c r="AU31" s="122"/>
      <c r="AV31" s="122"/>
      <c r="AW31" s="122"/>
      <c r="AX31" s="122"/>
      <c r="AY31" s="122"/>
      <c r="AZ31" s="122"/>
      <c r="BA31" s="122"/>
      <c r="BB31" s="122"/>
      <c r="BC31" s="122"/>
      <c r="BD31" s="122"/>
      <c r="BE31" s="122"/>
      <c r="BF31" s="122"/>
      <c r="BG31" s="122"/>
      <c r="BH31" s="122"/>
      <c r="BI31" s="122"/>
      <c r="BJ31" s="122"/>
      <c r="BK31" s="122"/>
      <c r="BL31" s="122"/>
      <c r="BM31" s="122"/>
      <c r="BN31" s="122"/>
      <c r="BO31" s="122"/>
      <c r="BP31" s="122"/>
      <c r="BQ31" s="122"/>
      <c r="BR31" s="122"/>
      <c r="BS31" s="122"/>
      <c r="BT31" s="122"/>
      <c r="BU31" s="122"/>
      <c r="BV31" s="122"/>
      <c r="BW31" s="122"/>
      <c r="BX31" s="122"/>
      <c r="BY31" s="122"/>
      <c r="BZ31" s="122"/>
      <c r="CA31" s="122"/>
      <c r="CB31" s="122"/>
      <c r="CC31" s="122"/>
      <c r="CD31" s="122"/>
      <c r="CE31" s="123"/>
      <c r="CF31" s="123"/>
      <c r="CG31" s="123"/>
      <c r="CH31" s="120"/>
      <c r="CI31" s="121"/>
      <c r="CJ31" s="92"/>
      <c r="CK31" s="92"/>
      <c r="CL31" s="92"/>
      <c r="CM31" s="92"/>
      <c r="CN31" s="92"/>
      <c r="CO31" s="92"/>
    </row>
    <row r="32" spans="2:93" ht="15.75" customHeight="1" x14ac:dyDescent="0.3">
      <c r="B32" s="117" t="s">
        <v>61</v>
      </c>
      <c r="C32" s="107" t="s">
        <v>177</v>
      </c>
      <c r="D32" s="102">
        <f t="shared" si="2"/>
        <v>4.8543689320388349E-2</v>
      </c>
      <c r="E32" s="103">
        <f>IFERROR(AVERAGE(F32:CG32),"")</f>
        <v>0.32873376623376627</v>
      </c>
      <c r="F32" s="276">
        <v>0</v>
      </c>
      <c r="G32" s="277">
        <v>0</v>
      </c>
      <c r="H32" s="277">
        <v>0</v>
      </c>
      <c r="I32" s="277">
        <v>0</v>
      </c>
      <c r="J32" s="277">
        <v>2.3977272727272729</v>
      </c>
      <c r="K32" s="277">
        <v>0.875</v>
      </c>
      <c r="L32" s="277">
        <v>0</v>
      </c>
      <c r="M32" s="277">
        <v>0</v>
      </c>
      <c r="N32" s="277">
        <v>0</v>
      </c>
      <c r="O32" s="277">
        <v>0</v>
      </c>
      <c r="P32" s="277">
        <v>0</v>
      </c>
      <c r="Q32" s="277">
        <v>0.64772727272727271</v>
      </c>
      <c r="R32" s="277">
        <v>0.68181818181818177</v>
      </c>
      <c r="S32" s="277">
        <v>0</v>
      </c>
      <c r="T32" s="277"/>
      <c r="U32" s="264"/>
      <c r="V32" s="264"/>
      <c r="W32" s="264"/>
      <c r="X32" s="264"/>
      <c r="Y32" s="264"/>
      <c r="Z32" s="264"/>
      <c r="AA32" s="264"/>
      <c r="AB32" s="122"/>
      <c r="AC32" s="122"/>
      <c r="AD32" s="122"/>
      <c r="AE32" s="122"/>
      <c r="AF32" s="122"/>
      <c r="AG32" s="122"/>
      <c r="AH32" s="122"/>
      <c r="AI32" s="122"/>
      <c r="AJ32" s="122"/>
      <c r="AK32" s="122"/>
      <c r="AL32" s="122"/>
      <c r="AM32" s="122"/>
      <c r="AN32" s="122"/>
      <c r="AO32" s="122"/>
      <c r="AP32" s="122"/>
      <c r="AQ32" s="122"/>
      <c r="AR32" s="122"/>
      <c r="AS32" s="122"/>
      <c r="AT32" s="122"/>
      <c r="AU32" s="122"/>
      <c r="AV32" s="122"/>
      <c r="AW32" s="122"/>
      <c r="AX32" s="122"/>
      <c r="AY32" s="122"/>
      <c r="AZ32" s="122"/>
      <c r="BA32" s="122"/>
      <c r="BB32" s="122"/>
      <c r="BC32" s="122"/>
      <c r="BD32" s="122"/>
      <c r="BE32" s="122"/>
      <c r="BF32" s="122"/>
      <c r="BG32" s="122"/>
      <c r="BH32" s="122"/>
      <c r="BI32" s="122"/>
      <c r="BJ32" s="122"/>
      <c r="BK32" s="122"/>
      <c r="BL32" s="122"/>
      <c r="BM32" s="122"/>
      <c r="BN32" s="122"/>
      <c r="BO32" s="122"/>
      <c r="BP32" s="122"/>
      <c r="BQ32" s="122"/>
      <c r="BR32" s="122"/>
      <c r="BS32" s="122"/>
      <c r="BT32" s="122"/>
      <c r="BU32" s="122"/>
      <c r="BV32" s="122"/>
      <c r="BW32" s="122"/>
      <c r="BX32" s="122"/>
      <c r="BY32" s="122"/>
      <c r="BZ32" s="122"/>
      <c r="CA32" s="122"/>
      <c r="CB32" s="122"/>
      <c r="CC32" s="122"/>
      <c r="CD32" s="122"/>
      <c r="CE32" s="123"/>
      <c r="CF32" s="123"/>
      <c r="CG32" s="123"/>
      <c r="CH32" s="120"/>
      <c r="CI32" s="121"/>
      <c r="CJ32" s="92"/>
      <c r="CK32" s="92"/>
      <c r="CL32" s="92"/>
      <c r="CM32" s="92"/>
      <c r="CN32" s="92"/>
      <c r="CO32" s="92"/>
    </row>
    <row r="33" spans="2:93" ht="15.75" customHeight="1" x14ac:dyDescent="0.3">
      <c r="B33" s="117" t="s">
        <v>60</v>
      </c>
      <c r="C33" s="107" t="s">
        <v>178</v>
      </c>
      <c r="D33" s="102">
        <f t="shared" si="2"/>
        <v>4.8543689320388342E-2</v>
      </c>
      <c r="E33" s="103">
        <f t="shared" si="3"/>
        <v>0.32873376623376621</v>
      </c>
      <c r="F33" s="276">
        <v>0</v>
      </c>
      <c r="G33" s="277">
        <v>0</v>
      </c>
      <c r="H33" s="277">
        <v>0</v>
      </c>
      <c r="I33" s="277">
        <v>0</v>
      </c>
      <c r="J33" s="277">
        <v>2.0909090909090908</v>
      </c>
      <c r="K33" s="277">
        <v>0.875</v>
      </c>
      <c r="L33" s="277">
        <v>0</v>
      </c>
      <c r="M33" s="277">
        <v>0</v>
      </c>
      <c r="N33" s="277">
        <v>0</v>
      </c>
      <c r="O33" s="277">
        <v>0</v>
      </c>
      <c r="P33" s="277">
        <v>0</v>
      </c>
      <c r="Q33" s="277">
        <v>0.71590909090909094</v>
      </c>
      <c r="R33" s="277">
        <v>0.92045454545454541</v>
      </c>
      <c r="S33" s="277">
        <v>0</v>
      </c>
      <c r="T33" s="277"/>
      <c r="U33" s="264"/>
      <c r="V33" s="264"/>
      <c r="W33" s="264"/>
      <c r="X33" s="264"/>
      <c r="Y33" s="264"/>
      <c r="Z33" s="264"/>
      <c r="AA33" s="264"/>
      <c r="AB33" s="122"/>
      <c r="AC33" s="122"/>
      <c r="AD33" s="122"/>
      <c r="AE33" s="122"/>
      <c r="AF33" s="122"/>
      <c r="AG33" s="122"/>
      <c r="AH33" s="122"/>
      <c r="AI33" s="122"/>
      <c r="AJ33" s="122"/>
      <c r="AK33" s="122"/>
      <c r="AL33" s="122"/>
      <c r="AM33" s="122"/>
      <c r="AN33" s="122"/>
      <c r="AO33" s="122"/>
      <c r="AP33" s="122"/>
      <c r="AQ33" s="122"/>
      <c r="AR33" s="122"/>
      <c r="AS33" s="122"/>
      <c r="AT33" s="122"/>
      <c r="AU33" s="122"/>
      <c r="AV33" s="122"/>
      <c r="AW33" s="122"/>
      <c r="AX33" s="122"/>
      <c r="AY33" s="122"/>
      <c r="AZ33" s="122"/>
      <c r="BA33" s="122"/>
      <c r="BB33" s="122"/>
      <c r="BC33" s="122"/>
      <c r="BD33" s="122"/>
      <c r="BE33" s="122"/>
      <c r="BF33" s="122"/>
      <c r="BG33" s="122"/>
      <c r="BH33" s="122"/>
      <c r="BI33" s="122"/>
      <c r="BJ33" s="122"/>
      <c r="BK33" s="122"/>
      <c r="BL33" s="122"/>
      <c r="BM33" s="122"/>
      <c r="BN33" s="122"/>
      <c r="BO33" s="122"/>
      <c r="BP33" s="122"/>
      <c r="BQ33" s="122"/>
      <c r="BR33" s="122"/>
      <c r="BS33" s="122"/>
      <c r="BT33" s="122"/>
      <c r="BU33" s="122"/>
      <c r="BV33" s="122"/>
      <c r="BW33" s="122"/>
      <c r="BX33" s="122"/>
      <c r="BY33" s="122"/>
      <c r="BZ33" s="122"/>
      <c r="CA33" s="122"/>
      <c r="CB33" s="122"/>
      <c r="CC33" s="122"/>
      <c r="CD33" s="122"/>
      <c r="CE33" s="123"/>
      <c r="CF33" s="123"/>
      <c r="CG33" s="123"/>
      <c r="CH33" s="120"/>
      <c r="CI33" s="121"/>
      <c r="CJ33" s="92"/>
      <c r="CK33" s="92"/>
      <c r="CL33" s="92"/>
      <c r="CM33" s="92"/>
      <c r="CN33" s="92"/>
      <c r="CO33" s="92"/>
    </row>
    <row r="34" spans="2:93" ht="15.75" customHeight="1" x14ac:dyDescent="0.3">
      <c r="B34" s="117" t="s">
        <v>58</v>
      </c>
      <c r="C34" s="107" t="s">
        <v>179</v>
      </c>
      <c r="D34" s="102">
        <f t="shared" si="2"/>
        <v>2.1574973031283709E-3</v>
      </c>
      <c r="E34" s="103">
        <f t="shared" si="3"/>
        <v>1.4610389610389612E-2</v>
      </c>
      <c r="F34" s="276">
        <v>0</v>
      </c>
      <c r="G34" s="277">
        <v>0</v>
      </c>
      <c r="H34" s="277">
        <v>0</v>
      </c>
      <c r="I34" s="277">
        <v>0</v>
      </c>
      <c r="J34" s="277">
        <v>0</v>
      </c>
      <c r="K34" s="277">
        <v>0.20454545454545456</v>
      </c>
      <c r="L34" s="277">
        <v>0</v>
      </c>
      <c r="M34" s="277">
        <v>0</v>
      </c>
      <c r="N34" s="277">
        <v>0</v>
      </c>
      <c r="O34" s="277">
        <v>0</v>
      </c>
      <c r="P34" s="277">
        <v>0</v>
      </c>
      <c r="Q34" s="277">
        <v>0</v>
      </c>
      <c r="R34" s="277">
        <v>0</v>
      </c>
      <c r="S34" s="277">
        <v>0</v>
      </c>
      <c r="T34" s="277"/>
      <c r="U34" s="264"/>
      <c r="V34" s="264"/>
      <c r="W34" s="264"/>
      <c r="X34" s="264"/>
      <c r="Y34" s="264"/>
      <c r="Z34" s="264"/>
      <c r="AA34" s="264"/>
      <c r="AB34" s="122"/>
      <c r="AC34" s="122"/>
      <c r="AD34" s="122"/>
      <c r="AE34" s="122"/>
      <c r="AF34" s="122"/>
      <c r="AG34" s="122"/>
      <c r="AH34" s="122"/>
      <c r="AI34" s="122"/>
      <c r="AJ34" s="122"/>
      <c r="AK34" s="122"/>
      <c r="AL34" s="122"/>
      <c r="AM34" s="122"/>
      <c r="AN34" s="122"/>
      <c r="AO34" s="122"/>
      <c r="AP34" s="122"/>
      <c r="AQ34" s="122"/>
      <c r="AR34" s="122"/>
      <c r="AS34" s="122"/>
      <c r="AT34" s="122"/>
      <c r="AU34" s="122"/>
      <c r="AV34" s="122"/>
      <c r="AW34" s="122"/>
      <c r="AX34" s="122"/>
      <c r="AY34" s="122"/>
      <c r="AZ34" s="122"/>
      <c r="BA34" s="122"/>
      <c r="BB34" s="122"/>
      <c r="BC34" s="122"/>
      <c r="BD34" s="122"/>
      <c r="BE34" s="122"/>
      <c r="BF34" s="122"/>
      <c r="BG34" s="122"/>
      <c r="BH34" s="122"/>
      <c r="BI34" s="122"/>
      <c r="BJ34" s="122"/>
      <c r="BK34" s="122"/>
      <c r="BL34" s="122"/>
      <c r="BM34" s="122"/>
      <c r="BN34" s="122"/>
      <c r="BO34" s="122"/>
      <c r="BP34" s="122"/>
      <c r="BQ34" s="122"/>
      <c r="BR34" s="122"/>
      <c r="BS34" s="122"/>
      <c r="BT34" s="122"/>
      <c r="BU34" s="122"/>
      <c r="BV34" s="122"/>
      <c r="BW34" s="122"/>
      <c r="BX34" s="122"/>
      <c r="BY34" s="122"/>
      <c r="BZ34" s="122"/>
      <c r="CA34" s="122"/>
      <c r="CB34" s="122"/>
      <c r="CC34" s="122"/>
      <c r="CD34" s="122"/>
      <c r="CE34" s="123"/>
      <c r="CF34" s="123"/>
      <c r="CG34" s="123"/>
      <c r="CH34" s="120"/>
      <c r="CI34" s="121"/>
      <c r="CJ34" s="92"/>
      <c r="CK34" s="92"/>
      <c r="CL34" s="92"/>
      <c r="CM34" s="92"/>
      <c r="CN34" s="92"/>
      <c r="CO34" s="92"/>
    </row>
    <row r="35" spans="2:93" ht="15.75" customHeight="1" x14ac:dyDescent="0.3">
      <c r="B35" s="117" t="s">
        <v>56</v>
      </c>
      <c r="C35" s="107" t="s">
        <v>180</v>
      </c>
      <c r="D35" s="102">
        <f t="shared" si="2"/>
        <v>2.1574973031283709E-3</v>
      </c>
      <c r="E35" s="103">
        <f t="shared" si="3"/>
        <v>1.4610389610389612E-2</v>
      </c>
      <c r="F35" s="276">
        <v>0</v>
      </c>
      <c r="G35" s="277">
        <v>0</v>
      </c>
      <c r="H35" s="277">
        <v>0</v>
      </c>
      <c r="I35" s="277">
        <v>0</v>
      </c>
      <c r="J35" s="277">
        <v>0</v>
      </c>
      <c r="K35" s="277">
        <v>0.20454545454545456</v>
      </c>
      <c r="L35" s="277">
        <v>0</v>
      </c>
      <c r="M35" s="277">
        <v>0</v>
      </c>
      <c r="N35" s="277">
        <v>0</v>
      </c>
      <c r="O35" s="277">
        <v>0</v>
      </c>
      <c r="P35" s="277">
        <v>0</v>
      </c>
      <c r="Q35" s="277">
        <v>0</v>
      </c>
      <c r="R35" s="277">
        <v>0</v>
      </c>
      <c r="S35" s="277">
        <v>0</v>
      </c>
      <c r="T35" s="277"/>
      <c r="U35" s="264"/>
      <c r="V35" s="264"/>
      <c r="W35" s="264"/>
      <c r="X35" s="264"/>
      <c r="Y35" s="264"/>
      <c r="Z35" s="264"/>
      <c r="AA35" s="264"/>
      <c r="AB35" s="122"/>
      <c r="AC35" s="122"/>
      <c r="AD35" s="122"/>
      <c r="AE35" s="122"/>
      <c r="AF35" s="122"/>
      <c r="AG35" s="122"/>
      <c r="AH35" s="122"/>
      <c r="AI35" s="122"/>
      <c r="AJ35" s="122"/>
      <c r="AK35" s="122"/>
      <c r="AL35" s="122"/>
      <c r="AM35" s="122"/>
      <c r="AN35" s="122"/>
      <c r="AO35" s="122"/>
      <c r="AP35" s="122"/>
      <c r="AQ35" s="122"/>
      <c r="AR35" s="122"/>
      <c r="AS35" s="122"/>
      <c r="AT35" s="122"/>
      <c r="AU35" s="122"/>
      <c r="AV35" s="122"/>
      <c r="AW35" s="122"/>
      <c r="AX35" s="122"/>
      <c r="AY35" s="122"/>
      <c r="AZ35" s="122"/>
      <c r="BA35" s="122"/>
      <c r="BB35" s="122"/>
      <c r="BC35" s="122"/>
      <c r="BD35" s="122"/>
      <c r="BE35" s="122"/>
      <c r="BF35" s="122"/>
      <c r="BG35" s="122"/>
      <c r="BH35" s="122"/>
      <c r="BI35" s="122"/>
      <c r="BJ35" s="122"/>
      <c r="BK35" s="122"/>
      <c r="BL35" s="122"/>
      <c r="BM35" s="122"/>
      <c r="BN35" s="122"/>
      <c r="BO35" s="122"/>
      <c r="BP35" s="122"/>
      <c r="BQ35" s="122"/>
      <c r="BR35" s="122"/>
      <c r="BS35" s="122"/>
      <c r="BT35" s="122"/>
      <c r="BU35" s="122"/>
      <c r="BV35" s="122"/>
      <c r="BW35" s="122"/>
      <c r="BX35" s="122"/>
      <c r="BY35" s="122"/>
      <c r="BZ35" s="122"/>
      <c r="CA35" s="122"/>
      <c r="CB35" s="122"/>
      <c r="CC35" s="122"/>
      <c r="CD35" s="122"/>
      <c r="CE35" s="123"/>
      <c r="CF35" s="123"/>
      <c r="CG35" s="123"/>
      <c r="CH35" s="120"/>
      <c r="CI35" s="121"/>
      <c r="CJ35" s="92"/>
      <c r="CK35" s="92"/>
      <c r="CL35" s="92"/>
      <c r="CM35" s="92"/>
      <c r="CN35" s="92"/>
      <c r="CO35" s="92"/>
    </row>
    <row r="36" spans="2:93" ht="15.75" customHeight="1" x14ac:dyDescent="0.3">
      <c r="B36" s="117" t="s">
        <v>55</v>
      </c>
      <c r="C36" s="107" t="s">
        <v>181</v>
      </c>
      <c r="D36" s="102">
        <f t="shared" si="2"/>
        <v>7.5512405609492982E-3</v>
      </c>
      <c r="E36" s="103">
        <f t="shared" si="3"/>
        <v>5.113636363636364E-2</v>
      </c>
      <c r="F36" s="276">
        <v>0</v>
      </c>
      <c r="G36" s="277">
        <v>0</v>
      </c>
      <c r="H36" s="277">
        <v>0</v>
      </c>
      <c r="I36" s="277">
        <v>0</v>
      </c>
      <c r="J36" s="277">
        <v>0</v>
      </c>
      <c r="K36" s="277">
        <v>0.51136363636363635</v>
      </c>
      <c r="L36" s="277">
        <v>0.20454545454545456</v>
      </c>
      <c r="M36" s="277">
        <v>0</v>
      </c>
      <c r="N36" s="277">
        <v>0</v>
      </c>
      <c r="O36" s="277">
        <v>0</v>
      </c>
      <c r="P36" s="277">
        <v>0</v>
      </c>
      <c r="Q36" s="277">
        <v>0</v>
      </c>
      <c r="R36" s="277">
        <v>0</v>
      </c>
      <c r="S36" s="277">
        <v>0</v>
      </c>
      <c r="T36" s="277"/>
      <c r="U36" s="264"/>
      <c r="V36" s="264"/>
      <c r="W36" s="264"/>
      <c r="X36" s="264"/>
      <c r="Y36" s="264"/>
      <c r="Z36" s="264"/>
      <c r="AA36" s="264"/>
      <c r="AB36" s="122"/>
      <c r="AC36" s="122"/>
      <c r="AD36" s="122"/>
      <c r="AE36" s="122"/>
      <c r="AF36" s="122"/>
      <c r="AG36" s="122"/>
      <c r="AH36" s="122"/>
      <c r="AI36" s="122"/>
      <c r="AJ36" s="122"/>
      <c r="AK36" s="122"/>
      <c r="AL36" s="122"/>
      <c r="AM36" s="122"/>
      <c r="AN36" s="122"/>
      <c r="AO36" s="122"/>
      <c r="AP36" s="122"/>
      <c r="AQ36" s="122"/>
      <c r="AR36" s="122"/>
      <c r="AS36" s="122"/>
      <c r="AT36" s="122"/>
      <c r="AU36" s="122"/>
      <c r="AV36" s="122"/>
      <c r="AW36" s="122"/>
      <c r="AX36" s="122"/>
      <c r="AY36" s="122"/>
      <c r="AZ36" s="122"/>
      <c r="BA36" s="122"/>
      <c r="BB36" s="122"/>
      <c r="BC36" s="122"/>
      <c r="BD36" s="122"/>
      <c r="BE36" s="122"/>
      <c r="BF36" s="122"/>
      <c r="BG36" s="122"/>
      <c r="BH36" s="122"/>
      <c r="BI36" s="122"/>
      <c r="BJ36" s="122"/>
      <c r="BK36" s="122"/>
      <c r="BL36" s="122"/>
      <c r="BM36" s="122"/>
      <c r="BN36" s="122"/>
      <c r="BO36" s="122"/>
      <c r="BP36" s="122"/>
      <c r="BQ36" s="122"/>
      <c r="BR36" s="122"/>
      <c r="BS36" s="122"/>
      <c r="BT36" s="122"/>
      <c r="BU36" s="122"/>
      <c r="BV36" s="122"/>
      <c r="BW36" s="122"/>
      <c r="BX36" s="122"/>
      <c r="BY36" s="122"/>
      <c r="BZ36" s="122"/>
      <c r="CA36" s="122"/>
      <c r="CB36" s="122"/>
      <c r="CC36" s="122"/>
      <c r="CD36" s="122"/>
      <c r="CE36" s="123"/>
      <c r="CF36" s="123"/>
      <c r="CG36" s="123"/>
      <c r="CH36" s="120"/>
      <c r="CI36" s="121"/>
      <c r="CJ36" s="92"/>
      <c r="CK36" s="92"/>
      <c r="CL36" s="92"/>
      <c r="CM36" s="92"/>
      <c r="CN36" s="92"/>
      <c r="CO36" s="92"/>
    </row>
    <row r="37" spans="2:93" ht="15.75" customHeight="1" x14ac:dyDescent="0.3">
      <c r="B37" s="117" t="s">
        <v>54</v>
      </c>
      <c r="C37" s="107" t="s">
        <v>182</v>
      </c>
      <c r="D37" s="102">
        <f t="shared" si="2"/>
        <v>3.2362459546925564E-2</v>
      </c>
      <c r="E37" s="103">
        <f t="shared" si="3"/>
        <v>0.21915584415584416</v>
      </c>
      <c r="F37" s="276">
        <v>0</v>
      </c>
      <c r="G37" s="277">
        <v>0</v>
      </c>
      <c r="H37" s="277">
        <v>0</v>
      </c>
      <c r="I37" s="277">
        <v>0</v>
      </c>
      <c r="J37" s="277">
        <v>0.86363636363636365</v>
      </c>
      <c r="K37" s="277">
        <v>0.67045454545454541</v>
      </c>
      <c r="L37" s="277">
        <v>0</v>
      </c>
      <c r="M37" s="277">
        <v>0.40909090909090912</v>
      </c>
      <c r="N37" s="277">
        <v>0</v>
      </c>
      <c r="O37" s="277">
        <v>0</v>
      </c>
      <c r="P37" s="277">
        <v>9.0909090909090912E-2</v>
      </c>
      <c r="Q37" s="277">
        <v>1</v>
      </c>
      <c r="R37" s="277">
        <v>3.4090909090909088E-2</v>
      </c>
      <c r="S37" s="277">
        <v>0</v>
      </c>
      <c r="T37" s="277"/>
      <c r="U37" s="265"/>
      <c r="V37" s="265"/>
      <c r="W37" s="265"/>
      <c r="X37" s="265"/>
      <c r="Y37" s="265"/>
      <c r="Z37" s="265"/>
      <c r="AA37" s="265"/>
      <c r="AB37" s="122"/>
      <c r="AC37" s="122"/>
      <c r="AD37" s="122"/>
      <c r="AE37" s="122"/>
      <c r="AF37" s="122"/>
      <c r="AG37" s="122"/>
      <c r="AH37" s="122"/>
      <c r="AI37" s="122"/>
      <c r="AJ37" s="122"/>
      <c r="AK37" s="122"/>
      <c r="AL37" s="122"/>
      <c r="AM37" s="122"/>
      <c r="AN37" s="122"/>
      <c r="AO37" s="122"/>
      <c r="AP37" s="122"/>
      <c r="AQ37" s="122"/>
      <c r="AR37" s="122"/>
      <c r="AS37" s="122"/>
      <c r="AT37" s="122"/>
      <c r="AU37" s="122"/>
      <c r="AV37" s="122"/>
      <c r="AW37" s="122"/>
      <c r="AX37" s="122"/>
      <c r="AY37" s="122"/>
      <c r="AZ37" s="122"/>
      <c r="BA37" s="122"/>
      <c r="BB37" s="122"/>
      <c r="BC37" s="122"/>
      <c r="BD37" s="122"/>
      <c r="BE37" s="122"/>
      <c r="BF37" s="122"/>
      <c r="BG37" s="122"/>
      <c r="BH37" s="122"/>
      <c r="BI37" s="122"/>
      <c r="BJ37" s="122"/>
      <c r="BK37" s="122"/>
      <c r="BL37" s="122"/>
      <c r="BM37" s="122"/>
      <c r="BN37" s="122"/>
      <c r="BO37" s="122"/>
      <c r="BP37" s="122"/>
      <c r="BQ37" s="122"/>
      <c r="BR37" s="122"/>
      <c r="BS37" s="122"/>
      <c r="BT37" s="122"/>
      <c r="BU37" s="122"/>
      <c r="BV37" s="122"/>
      <c r="BW37" s="122"/>
      <c r="BX37" s="122"/>
      <c r="BY37" s="122"/>
      <c r="BZ37" s="122"/>
      <c r="CA37" s="122"/>
      <c r="CB37" s="122"/>
      <c r="CC37" s="122"/>
      <c r="CD37" s="122"/>
      <c r="CE37" s="123"/>
      <c r="CF37" s="123"/>
      <c r="CG37" s="123"/>
      <c r="CH37" s="120"/>
      <c r="CI37" s="121"/>
      <c r="CJ37" s="92"/>
      <c r="CK37" s="92"/>
      <c r="CL37" s="92"/>
      <c r="CM37" s="92"/>
      <c r="CN37" s="92"/>
      <c r="CO37" s="92"/>
    </row>
    <row r="38" spans="2:93" ht="15.75" customHeight="1" x14ac:dyDescent="0.3">
      <c r="B38" s="117" t="s">
        <v>53</v>
      </c>
      <c r="C38" s="107" t="s">
        <v>183</v>
      </c>
      <c r="D38" s="102">
        <f t="shared" si="2"/>
        <v>3.2362459546925564E-2</v>
      </c>
      <c r="E38" s="103">
        <f t="shared" si="3"/>
        <v>0.21915584415584416</v>
      </c>
      <c r="F38" s="276">
        <v>0</v>
      </c>
      <c r="G38" s="277">
        <v>0</v>
      </c>
      <c r="H38" s="277">
        <v>0</v>
      </c>
      <c r="I38" s="277">
        <v>0</v>
      </c>
      <c r="J38" s="277">
        <v>0.86363636363636365</v>
      </c>
      <c r="K38" s="277">
        <v>0.67045454545454541</v>
      </c>
      <c r="L38" s="277">
        <v>0</v>
      </c>
      <c r="M38" s="277">
        <v>0.40909090909090912</v>
      </c>
      <c r="N38" s="277">
        <v>0</v>
      </c>
      <c r="O38" s="277">
        <v>0</v>
      </c>
      <c r="P38" s="277">
        <v>9.0909090909090912E-2</v>
      </c>
      <c r="Q38" s="277">
        <v>1</v>
      </c>
      <c r="R38" s="277">
        <v>3.4090909090909088E-2</v>
      </c>
      <c r="S38" s="277">
        <v>0</v>
      </c>
      <c r="T38" s="277"/>
      <c r="U38" s="265"/>
      <c r="V38" s="265"/>
      <c r="W38" s="265"/>
      <c r="X38" s="265"/>
      <c r="Y38" s="265"/>
      <c r="Z38" s="265"/>
      <c r="AA38" s="265"/>
      <c r="AB38" s="122"/>
      <c r="AC38" s="122"/>
      <c r="AD38" s="122"/>
      <c r="AE38" s="122"/>
      <c r="AF38" s="122"/>
      <c r="AG38" s="122"/>
      <c r="AH38" s="122"/>
      <c r="AI38" s="122"/>
      <c r="AJ38" s="122"/>
      <c r="AK38" s="122"/>
      <c r="AL38" s="122"/>
      <c r="AM38" s="122"/>
      <c r="AN38" s="122"/>
      <c r="AO38" s="122"/>
      <c r="AP38" s="122"/>
      <c r="AQ38" s="122"/>
      <c r="AR38" s="122"/>
      <c r="AS38" s="122"/>
      <c r="AT38" s="122"/>
      <c r="AU38" s="122"/>
      <c r="AV38" s="122"/>
      <c r="AW38" s="122"/>
      <c r="AX38" s="122"/>
      <c r="AY38" s="122"/>
      <c r="AZ38" s="122"/>
      <c r="BA38" s="122"/>
      <c r="BB38" s="122"/>
      <c r="BC38" s="122"/>
      <c r="BD38" s="122"/>
      <c r="BE38" s="122"/>
      <c r="BF38" s="122"/>
      <c r="BG38" s="122"/>
      <c r="BH38" s="122"/>
      <c r="BI38" s="122"/>
      <c r="BJ38" s="122"/>
      <c r="BK38" s="122"/>
      <c r="BL38" s="122"/>
      <c r="BM38" s="122"/>
      <c r="BN38" s="122"/>
      <c r="BO38" s="122"/>
      <c r="BP38" s="122"/>
      <c r="BQ38" s="122"/>
      <c r="BR38" s="122"/>
      <c r="BS38" s="122"/>
      <c r="BT38" s="122"/>
      <c r="BU38" s="122"/>
      <c r="BV38" s="122"/>
      <c r="BW38" s="122"/>
      <c r="BX38" s="122"/>
      <c r="BY38" s="122"/>
      <c r="BZ38" s="122"/>
      <c r="CA38" s="122"/>
      <c r="CB38" s="122"/>
      <c r="CC38" s="122"/>
      <c r="CD38" s="122"/>
      <c r="CE38" s="123"/>
      <c r="CF38" s="123"/>
      <c r="CG38" s="123"/>
      <c r="CH38" s="120"/>
      <c r="CI38" s="121"/>
      <c r="CJ38" s="92"/>
      <c r="CK38" s="92"/>
      <c r="CL38" s="92"/>
      <c r="CM38" s="92"/>
      <c r="CN38" s="92"/>
      <c r="CO38" s="92"/>
    </row>
    <row r="39" spans="2:93" ht="15.75" customHeight="1" x14ac:dyDescent="0.3">
      <c r="B39" s="117" t="s">
        <v>52</v>
      </c>
      <c r="C39" s="107" t="s">
        <v>184</v>
      </c>
      <c r="D39" s="102">
        <f t="shared" si="2"/>
        <v>0</v>
      </c>
      <c r="E39" s="103">
        <f t="shared" si="3"/>
        <v>0</v>
      </c>
      <c r="F39" s="276">
        <v>0</v>
      </c>
      <c r="G39" s="277">
        <v>0</v>
      </c>
      <c r="H39" s="277">
        <v>0</v>
      </c>
      <c r="I39" s="277">
        <v>0</v>
      </c>
      <c r="J39" s="277">
        <v>0</v>
      </c>
      <c r="K39" s="277">
        <v>0</v>
      </c>
      <c r="L39" s="277">
        <v>0</v>
      </c>
      <c r="M39" s="277">
        <v>0</v>
      </c>
      <c r="N39" s="277">
        <v>0</v>
      </c>
      <c r="O39" s="277">
        <v>0</v>
      </c>
      <c r="P39" s="277">
        <v>0</v>
      </c>
      <c r="Q39" s="277">
        <v>0</v>
      </c>
      <c r="R39" s="277">
        <v>0</v>
      </c>
      <c r="S39" s="277">
        <v>0</v>
      </c>
      <c r="T39" s="277"/>
      <c r="U39" s="122"/>
      <c r="V39" s="122"/>
      <c r="W39" s="122"/>
      <c r="X39" s="122"/>
      <c r="Y39" s="122"/>
      <c r="Z39" s="122"/>
      <c r="AA39" s="122"/>
      <c r="AB39" s="122"/>
      <c r="AC39" s="122"/>
      <c r="AD39" s="122"/>
      <c r="AE39" s="122"/>
      <c r="AF39" s="122"/>
      <c r="AG39" s="122"/>
      <c r="AH39" s="122"/>
      <c r="AI39" s="122"/>
      <c r="AJ39" s="122"/>
      <c r="AK39" s="122"/>
      <c r="AL39" s="122"/>
      <c r="AM39" s="122"/>
      <c r="AN39" s="122"/>
      <c r="AO39" s="122"/>
      <c r="AP39" s="122"/>
      <c r="AQ39" s="122"/>
      <c r="AR39" s="122"/>
      <c r="AS39" s="122"/>
      <c r="AT39" s="122"/>
      <c r="AU39" s="122"/>
      <c r="AV39" s="122"/>
      <c r="AW39" s="122"/>
      <c r="AX39" s="122"/>
      <c r="AY39" s="122"/>
      <c r="AZ39" s="122"/>
      <c r="BA39" s="122"/>
      <c r="BB39" s="122"/>
      <c r="BC39" s="122"/>
      <c r="BD39" s="122"/>
      <c r="BE39" s="122"/>
      <c r="BF39" s="122"/>
      <c r="BG39" s="122"/>
      <c r="BH39" s="122"/>
      <c r="BI39" s="122"/>
      <c r="BJ39" s="122"/>
      <c r="BK39" s="122"/>
      <c r="BL39" s="122"/>
      <c r="BM39" s="122"/>
      <c r="BN39" s="122"/>
      <c r="BO39" s="122"/>
      <c r="BP39" s="122"/>
      <c r="BQ39" s="122"/>
      <c r="BR39" s="122"/>
      <c r="BS39" s="122"/>
      <c r="BT39" s="122"/>
      <c r="BU39" s="122"/>
      <c r="BV39" s="122"/>
      <c r="BW39" s="122"/>
      <c r="BX39" s="122"/>
      <c r="BY39" s="122"/>
      <c r="BZ39" s="122"/>
      <c r="CA39" s="122"/>
      <c r="CB39" s="122"/>
      <c r="CC39" s="122"/>
      <c r="CD39" s="122"/>
      <c r="CE39" s="123"/>
      <c r="CF39" s="123"/>
      <c r="CG39" s="123"/>
      <c r="CH39" s="120"/>
      <c r="CI39" s="121"/>
      <c r="CJ39" s="92"/>
      <c r="CK39" s="92"/>
      <c r="CL39" s="92"/>
      <c r="CM39" s="92"/>
      <c r="CN39" s="92"/>
      <c r="CO39" s="92"/>
    </row>
    <row r="40" spans="2:93" ht="15.75" customHeight="1" x14ac:dyDescent="0.3">
      <c r="B40" s="117" t="s">
        <v>51</v>
      </c>
      <c r="C40" s="107" t="s">
        <v>185</v>
      </c>
      <c r="D40" s="102">
        <f t="shared" si="2"/>
        <v>0</v>
      </c>
      <c r="E40" s="103">
        <f t="shared" si="3"/>
        <v>0</v>
      </c>
      <c r="F40" s="276">
        <v>0</v>
      </c>
      <c r="G40" s="277">
        <v>0</v>
      </c>
      <c r="H40" s="277">
        <v>0</v>
      </c>
      <c r="I40" s="277">
        <v>0</v>
      </c>
      <c r="J40" s="277">
        <v>0</v>
      </c>
      <c r="K40" s="277">
        <v>0</v>
      </c>
      <c r="L40" s="277">
        <v>0</v>
      </c>
      <c r="M40" s="277">
        <v>0</v>
      </c>
      <c r="N40" s="277">
        <v>0</v>
      </c>
      <c r="O40" s="277">
        <v>0</v>
      </c>
      <c r="P40" s="277">
        <v>0</v>
      </c>
      <c r="Q40" s="277">
        <v>0</v>
      </c>
      <c r="R40" s="277">
        <v>0</v>
      </c>
      <c r="S40" s="277">
        <v>0</v>
      </c>
      <c r="T40" s="277"/>
      <c r="U40" s="122"/>
      <c r="V40" s="122"/>
      <c r="W40" s="122"/>
      <c r="X40" s="122"/>
      <c r="Y40" s="122"/>
      <c r="Z40" s="122"/>
      <c r="AA40" s="122"/>
      <c r="AB40" s="122"/>
      <c r="AC40" s="122"/>
      <c r="AD40" s="122"/>
      <c r="AE40" s="122"/>
      <c r="AF40" s="122"/>
      <c r="AG40" s="122"/>
      <c r="AH40" s="122"/>
      <c r="AI40" s="122"/>
      <c r="AJ40" s="122"/>
      <c r="AK40" s="122"/>
      <c r="AL40" s="122"/>
      <c r="AM40" s="122"/>
      <c r="AN40" s="122"/>
      <c r="AO40" s="122"/>
      <c r="AP40" s="122"/>
      <c r="AQ40" s="122"/>
      <c r="AR40" s="122"/>
      <c r="AS40" s="122"/>
      <c r="AT40" s="122"/>
      <c r="AU40" s="122"/>
      <c r="AV40" s="122"/>
      <c r="AW40" s="122"/>
      <c r="AX40" s="122"/>
      <c r="AY40" s="122"/>
      <c r="AZ40" s="122"/>
      <c r="BA40" s="122"/>
      <c r="BB40" s="122"/>
      <c r="BC40" s="122"/>
      <c r="BD40" s="122"/>
      <c r="BE40" s="122"/>
      <c r="BF40" s="122"/>
      <c r="BG40" s="122"/>
      <c r="BH40" s="122"/>
      <c r="BI40" s="122"/>
      <c r="BJ40" s="122"/>
      <c r="BK40" s="122"/>
      <c r="BL40" s="122"/>
      <c r="BM40" s="122"/>
      <c r="BN40" s="122"/>
      <c r="BO40" s="122"/>
      <c r="BP40" s="122"/>
      <c r="BQ40" s="122"/>
      <c r="BR40" s="122"/>
      <c r="BS40" s="122"/>
      <c r="BT40" s="122"/>
      <c r="BU40" s="122"/>
      <c r="BV40" s="122"/>
      <c r="BW40" s="122"/>
      <c r="BX40" s="122"/>
      <c r="BY40" s="122"/>
      <c r="BZ40" s="122"/>
      <c r="CA40" s="122"/>
      <c r="CB40" s="122"/>
      <c r="CC40" s="122"/>
      <c r="CD40" s="122"/>
      <c r="CE40" s="123"/>
      <c r="CF40" s="123"/>
      <c r="CG40" s="123"/>
      <c r="CH40" s="120"/>
      <c r="CI40" s="121"/>
      <c r="CJ40" s="92"/>
      <c r="CK40" s="92"/>
      <c r="CL40" s="92"/>
      <c r="CM40" s="92"/>
      <c r="CN40" s="92"/>
      <c r="CO40" s="92"/>
    </row>
    <row r="41" spans="2:93" ht="15.75" customHeight="1" x14ac:dyDescent="0.3">
      <c r="B41" s="117" t="s">
        <v>50</v>
      </c>
      <c r="C41" s="107" t="s">
        <v>181</v>
      </c>
      <c r="D41" s="102">
        <f t="shared" si="2"/>
        <v>7.5512405609492982E-3</v>
      </c>
      <c r="E41" s="103">
        <f t="shared" si="3"/>
        <v>5.113636363636364E-2</v>
      </c>
      <c r="F41" s="276">
        <v>0</v>
      </c>
      <c r="G41" s="277">
        <v>0</v>
      </c>
      <c r="H41" s="277">
        <v>0</v>
      </c>
      <c r="I41" s="277">
        <v>0</v>
      </c>
      <c r="J41" s="277">
        <v>0</v>
      </c>
      <c r="K41" s="277">
        <v>0.51136363636363635</v>
      </c>
      <c r="L41" s="277">
        <v>0.20454545454545456</v>
      </c>
      <c r="M41" s="277">
        <v>0</v>
      </c>
      <c r="N41" s="277">
        <v>0</v>
      </c>
      <c r="O41" s="277">
        <v>0</v>
      </c>
      <c r="P41" s="277">
        <v>0</v>
      </c>
      <c r="Q41" s="277">
        <v>0</v>
      </c>
      <c r="R41" s="277">
        <v>0</v>
      </c>
      <c r="S41" s="277">
        <v>0</v>
      </c>
      <c r="T41" s="277"/>
      <c r="U41" s="122"/>
      <c r="V41" s="122"/>
      <c r="W41" s="122"/>
      <c r="X41" s="122"/>
      <c r="Y41" s="122"/>
      <c r="Z41" s="122"/>
      <c r="AA41" s="122"/>
      <c r="AB41" s="122"/>
      <c r="AC41" s="122"/>
      <c r="AD41" s="122"/>
      <c r="AE41" s="122"/>
      <c r="AF41" s="122"/>
      <c r="AG41" s="122"/>
      <c r="AH41" s="122"/>
      <c r="AI41" s="122"/>
      <c r="AJ41" s="122"/>
      <c r="AK41" s="122"/>
      <c r="AL41" s="122"/>
      <c r="AM41" s="122"/>
      <c r="AN41" s="122"/>
      <c r="AO41" s="122"/>
      <c r="AP41" s="122"/>
      <c r="AQ41" s="122"/>
      <c r="AR41" s="122"/>
      <c r="AS41" s="122"/>
      <c r="AT41" s="122"/>
      <c r="AU41" s="122"/>
      <c r="AV41" s="122"/>
      <c r="AW41" s="122"/>
      <c r="AX41" s="122"/>
      <c r="AY41" s="122"/>
      <c r="AZ41" s="122"/>
      <c r="BA41" s="122"/>
      <c r="BB41" s="122"/>
      <c r="BC41" s="122"/>
      <c r="BD41" s="122"/>
      <c r="BE41" s="122"/>
      <c r="BF41" s="122"/>
      <c r="BG41" s="122"/>
      <c r="BH41" s="122"/>
      <c r="BI41" s="122"/>
      <c r="BJ41" s="122"/>
      <c r="BK41" s="122"/>
      <c r="BL41" s="122"/>
      <c r="BM41" s="122"/>
      <c r="BN41" s="122"/>
      <c r="BO41" s="122"/>
      <c r="BP41" s="122"/>
      <c r="BQ41" s="122"/>
      <c r="BR41" s="122"/>
      <c r="BS41" s="122"/>
      <c r="BT41" s="122"/>
      <c r="BU41" s="122"/>
      <c r="BV41" s="122"/>
      <c r="BW41" s="122"/>
      <c r="BX41" s="122"/>
      <c r="BY41" s="122"/>
      <c r="BZ41" s="122"/>
      <c r="CA41" s="122"/>
      <c r="CB41" s="122"/>
      <c r="CC41" s="122"/>
      <c r="CD41" s="122"/>
      <c r="CE41" s="123"/>
      <c r="CF41" s="123"/>
      <c r="CG41" s="123"/>
      <c r="CH41" s="120"/>
      <c r="CI41" s="121"/>
      <c r="CJ41" s="92"/>
      <c r="CK41" s="92"/>
      <c r="CL41" s="92"/>
      <c r="CM41" s="92"/>
      <c r="CN41" s="92"/>
      <c r="CO41" s="92"/>
    </row>
    <row r="42" spans="2:93" ht="15.75" customHeight="1" x14ac:dyDescent="0.3">
      <c r="B42" s="117" t="s">
        <v>49</v>
      </c>
      <c r="C42" s="107" t="s">
        <v>160</v>
      </c>
      <c r="D42" s="102">
        <f t="shared" si="2"/>
        <v>0</v>
      </c>
      <c r="E42" s="103">
        <f t="shared" si="3"/>
        <v>0</v>
      </c>
      <c r="F42" s="276">
        <v>0</v>
      </c>
      <c r="G42" s="277">
        <v>0</v>
      </c>
      <c r="H42" s="277">
        <v>0</v>
      </c>
      <c r="I42" s="277">
        <v>0</v>
      </c>
      <c r="J42" s="277">
        <v>0</v>
      </c>
      <c r="K42" s="277">
        <v>0</v>
      </c>
      <c r="L42" s="277">
        <v>0</v>
      </c>
      <c r="M42" s="277">
        <v>0</v>
      </c>
      <c r="N42" s="277">
        <v>0</v>
      </c>
      <c r="O42" s="277">
        <v>0</v>
      </c>
      <c r="P42" s="277">
        <v>0</v>
      </c>
      <c r="Q42" s="277">
        <v>0</v>
      </c>
      <c r="R42" s="277">
        <v>0</v>
      </c>
      <c r="S42" s="277">
        <v>0</v>
      </c>
      <c r="T42" s="277"/>
      <c r="U42" s="122"/>
      <c r="V42" s="122"/>
      <c r="W42" s="122"/>
      <c r="X42" s="122"/>
      <c r="Y42" s="122"/>
      <c r="Z42" s="122"/>
      <c r="AA42" s="122"/>
      <c r="AB42" s="122"/>
      <c r="AC42" s="122"/>
      <c r="AD42" s="122"/>
      <c r="AE42" s="122"/>
      <c r="AF42" s="122"/>
      <c r="AG42" s="122"/>
      <c r="AH42" s="122"/>
      <c r="AI42" s="122"/>
      <c r="AJ42" s="122"/>
      <c r="AK42" s="122"/>
      <c r="AL42" s="122"/>
      <c r="AM42" s="122"/>
      <c r="AN42" s="122"/>
      <c r="AO42" s="122"/>
      <c r="AP42" s="122"/>
      <c r="AQ42" s="122"/>
      <c r="AR42" s="122"/>
      <c r="AS42" s="122"/>
      <c r="AT42" s="122"/>
      <c r="AU42" s="122"/>
      <c r="AV42" s="122"/>
      <c r="AW42" s="122"/>
      <c r="AX42" s="122"/>
      <c r="AY42" s="122"/>
      <c r="AZ42" s="122"/>
      <c r="BA42" s="122"/>
      <c r="BB42" s="122"/>
      <c r="BC42" s="122"/>
      <c r="BD42" s="122"/>
      <c r="BE42" s="122"/>
      <c r="BF42" s="122"/>
      <c r="BG42" s="122"/>
      <c r="BH42" s="122"/>
      <c r="BI42" s="122"/>
      <c r="BJ42" s="122"/>
      <c r="BK42" s="122"/>
      <c r="BL42" s="122"/>
      <c r="BM42" s="122"/>
      <c r="BN42" s="122"/>
      <c r="BO42" s="122"/>
      <c r="BP42" s="122"/>
      <c r="BQ42" s="122"/>
      <c r="BR42" s="122"/>
      <c r="BS42" s="122"/>
      <c r="BT42" s="122"/>
      <c r="BU42" s="122"/>
      <c r="BV42" s="122"/>
      <c r="BW42" s="122"/>
      <c r="BX42" s="122"/>
      <c r="BY42" s="122"/>
      <c r="BZ42" s="122"/>
      <c r="CA42" s="122"/>
      <c r="CB42" s="122"/>
      <c r="CC42" s="122"/>
      <c r="CD42" s="122"/>
      <c r="CE42" s="123"/>
      <c r="CF42" s="123"/>
      <c r="CG42" s="123"/>
      <c r="CH42" s="120"/>
      <c r="CI42" s="121"/>
      <c r="CJ42" s="92"/>
      <c r="CK42" s="92"/>
      <c r="CL42" s="92"/>
      <c r="CM42" s="92"/>
      <c r="CN42" s="92"/>
      <c r="CO42" s="92"/>
    </row>
    <row r="43" spans="2:93" ht="15.75" customHeight="1" x14ac:dyDescent="0.3">
      <c r="B43" s="117" t="s">
        <v>48</v>
      </c>
      <c r="C43" s="107" t="s">
        <v>186</v>
      </c>
      <c r="D43" s="102">
        <f t="shared" si="2"/>
        <v>0</v>
      </c>
      <c r="E43" s="103">
        <f t="shared" si="3"/>
        <v>0</v>
      </c>
      <c r="F43" s="276">
        <v>0</v>
      </c>
      <c r="G43" s="277">
        <v>0</v>
      </c>
      <c r="H43" s="277">
        <v>0</v>
      </c>
      <c r="I43" s="277">
        <v>0</v>
      </c>
      <c r="J43" s="277">
        <v>0</v>
      </c>
      <c r="K43" s="277">
        <v>0</v>
      </c>
      <c r="L43" s="277">
        <v>0</v>
      </c>
      <c r="M43" s="277">
        <v>0</v>
      </c>
      <c r="N43" s="277">
        <v>0</v>
      </c>
      <c r="O43" s="277">
        <v>0</v>
      </c>
      <c r="P43" s="277">
        <v>0</v>
      </c>
      <c r="Q43" s="277">
        <v>0</v>
      </c>
      <c r="R43" s="277">
        <v>0</v>
      </c>
      <c r="S43" s="277">
        <v>0</v>
      </c>
      <c r="T43" s="277"/>
      <c r="U43" s="122"/>
      <c r="V43" s="122"/>
      <c r="W43" s="122"/>
      <c r="X43" s="122"/>
      <c r="Y43" s="122"/>
      <c r="Z43" s="122"/>
      <c r="AA43" s="122"/>
      <c r="AB43" s="122"/>
      <c r="AC43" s="122"/>
      <c r="AD43" s="122"/>
      <c r="AE43" s="122"/>
      <c r="AF43" s="122"/>
      <c r="AG43" s="122"/>
      <c r="AH43" s="122"/>
      <c r="AI43" s="122"/>
      <c r="AJ43" s="122"/>
      <c r="AK43" s="122"/>
      <c r="AL43" s="122"/>
      <c r="AM43" s="122"/>
      <c r="AN43" s="122"/>
      <c r="AO43" s="122"/>
      <c r="AP43" s="122"/>
      <c r="AQ43" s="122"/>
      <c r="AR43" s="122"/>
      <c r="AS43" s="122"/>
      <c r="AT43" s="122"/>
      <c r="AU43" s="122"/>
      <c r="AV43" s="122"/>
      <c r="AW43" s="122"/>
      <c r="AX43" s="122"/>
      <c r="AY43" s="122"/>
      <c r="AZ43" s="122"/>
      <c r="BA43" s="122"/>
      <c r="BB43" s="122"/>
      <c r="BC43" s="122"/>
      <c r="BD43" s="122"/>
      <c r="BE43" s="122"/>
      <c r="BF43" s="122"/>
      <c r="BG43" s="122"/>
      <c r="BH43" s="122"/>
      <c r="BI43" s="122"/>
      <c r="BJ43" s="122"/>
      <c r="BK43" s="122"/>
      <c r="BL43" s="122"/>
      <c r="BM43" s="122"/>
      <c r="BN43" s="122"/>
      <c r="BO43" s="122"/>
      <c r="BP43" s="122"/>
      <c r="BQ43" s="122"/>
      <c r="BR43" s="122"/>
      <c r="BS43" s="122"/>
      <c r="BT43" s="122"/>
      <c r="BU43" s="122"/>
      <c r="BV43" s="122"/>
      <c r="BW43" s="122"/>
      <c r="BX43" s="122"/>
      <c r="BY43" s="122"/>
      <c r="BZ43" s="122"/>
      <c r="CA43" s="122"/>
      <c r="CB43" s="122"/>
      <c r="CC43" s="122"/>
      <c r="CD43" s="122"/>
      <c r="CE43" s="123"/>
      <c r="CF43" s="123"/>
      <c r="CG43" s="123"/>
      <c r="CH43" s="120"/>
      <c r="CI43" s="121"/>
      <c r="CJ43" s="92"/>
      <c r="CK43" s="92"/>
      <c r="CL43" s="92"/>
      <c r="CM43" s="92"/>
      <c r="CN43" s="92"/>
      <c r="CO43" s="92"/>
    </row>
    <row r="44" spans="2:93" ht="15.75" customHeight="1" x14ac:dyDescent="0.3">
      <c r="B44" s="117" t="s">
        <v>47</v>
      </c>
      <c r="C44" s="124"/>
      <c r="D44" s="102" t="str">
        <f t="shared" si="2"/>
        <v/>
      </c>
      <c r="E44" s="103" t="str">
        <f t="shared" si="3"/>
        <v/>
      </c>
      <c r="F44" s="276"/>
      <c r="G44" s="277"/>
      <c r="H44" s="277"/>
      <c r="I44" s="277"/>
      <c r="J44" s="277"/>
      <c r="K44" s="277"/>
      <c r="L44" s="277"/>
      <c r="M44" s="277"/>
      <c r="N44" s="277"/>
      <c r="O44" s="277"/>
      <c r="P44" s="277"/>
      <c r="Q44" s="277"/>
      <c r="R44" s="277"/>
      <c r="S44" s="277"/>
      <c r="T44" s="277"/>
      <c r="U44" s="122"/>
      <c r="V44" s="122"/>
      <c r="W44" s="122"/>
      <c r="X44" s="122"/>
      <c r="Y44" s="122"/>
      <c r="Z44" s="122"/>
      <c r="AA44" s="122"/>
      <c r="AB44" s="122"/>
      <c r="AC44" s="122"/>
      <c r="AD44" s="122"/>
      <c r="AE44" s="122"/>
      <c r="AF44" s="122"/>
      <c r="AG44" s="122"/>
      <c r="AH44" s="122"/>
      <c r="AI44" s="122"/>
      <c r="AJ44" s="122"/>
      <c r="AK44" s="122"/>
      <c r="AL44" s="122"/>
      <c r="AM44" s="122"/>
      <c r="AN44" s="122"/>
      <c r="AO44" s="122"/>
      <c r="AP44" s="122"/>
      <c r="AQ44" s="122"/>
      <c r="AR44" s="122"/>
      <c r="AS44" s="122"/>
      <c r="AT44" s="122"/>
      <c r="AU44" s="122"/>
      <c r="AV44" s="122"/>
      <c r="AW44" s="122"/>
      <c r="AX44" s="122"/>
      <c r="AY44" s="122"/>
      <c r="AZ44" s="122"/>
      <c r="BA44" s="122"/>
      <c r="BB44" s="122"/>
      <c r="BC44" s="122"/>
      <c r="BD44" s="122"/>
      <c r="BE44" s="122"/>
      <c r="BF44" s="122"/>
      <c r="BG44" s="122"/>
      <c r="BH44" s="122"/>
      <c r="BI44" s="122"/>
      <c r="BJ44" s="122"/>
      <c r="BK44" s="122"/>
      <c r="BL44" s="122"/>
      <c r="BM44" s="122"/>
      <c r="BN44" s="122"/>
      <c r="BO44" s="122"/>
      <c r="BP44" s="122"/>
      <c r="BQ44" s="122"/>
      <c r="BR44" s="122"/>
      <c r="BS44" s="122"/>
      <c r="BT44" s="122"/>
      <c r="BU44" s="122"/>
      <c r="BV44" s="122"/>
      <c r="BW44" s="122"/>
      <c r="BX44" s="122"/>
      <c r="BY44" s="122"/>
      <c r="BZ44" s="122"/>
      <c r="CA44" s="122"/>
      <c r="CB44" s="122"/>
      <c r="CC44" s="122"/>
      <c r="CD44" s="122"/>
      <c r="CE44" s="123"/>
      <c r="CF44" s="123"/>
      <c r="CG44" s="123"/>
      <c r="CH44" s="120"/>
      <c r="CI44" s="121"/>
      <c r="CJ44" s="92"/>
      <c r="CK44" s="92"/>
      <c r="CL44" s="92"/>
      <c r="CM44" s="92"/>
      <c r="CN44" s="92"/>
      <c r="CO44" s="92"/>
    </row>
    <row r="45" spans="2:93" ht="15.75" customHeight="1" x14ac:dyDescent="0.3">
      <c r="B45" s="117" t="s">
        <v>46</v>
      </c>
      <c r="C45" s="124"/>
      <c r="D45" s="102" t="str">
        <f t="shared" si="2"/>
        <v/>
      </c>
      <c r="E45" s="103" t="str">
        <f t="shared" si="3"/>
        <v/>
      </c>
      <c r="F45" s="276"/>
      <c r="G45" s="277"/>
      <c r="H45" s="277"/>
      <c r="I45" s="277"/>
      <c r="J45" s="277"/>
      <c r="K45" s="277"/>
      <c r="L45" s="277"/>
      <c r="M45" s="277"/>
      <c r="N45" s="277"/>
      <c r="O45" s="277"/>
      <c r="P45" s="277"/>
      <c r="Q45" s="277"/>
      <c r="R45" s="277"/>
      <c r="S45" s="277"/>
      <c r="T45" s="277"/>
      <c r="U45" s="122"/>
      <c r="V45" s="122"/>
      <c r="W45" s="122"/>
      <c r="X45" s="122"/>
      <c r="Y45" s="122"/>
      <c r="Z45" s="122"/>
      <c r="AA45" s="122"/>
      <c r="AB45" s="122"/>
      <c r="AC45" s="122"/>
      <c r="AD45" s="122"/>
      <c r="AE45" s="122"/>
      <c r="AF45" s="122"/>
      <c r="AG45" s="122"/>
      <c r="AH45" s="122"/>
      <c r="AI45" s="122"/>
      <c r="AJ45" s="122"/>
      <c r="AK45" s="122"/>
      <c r="AL45" s="122"/>
      <c r="AM45" s="122"/>
      <c r="AN45" s="122"/>
      <c r="AO45" s="122"/>
      <c r="AP45" s="122"/>
      <c r="AQ45" s="122"/>
      <c r="AR45" s="122"/>
      <c r="AS45" s="122"/>
      <c r="AT45" s="122"/>
      <c r="AU45" s="122"/>
      <c r="AV45" s="122"/>
      <c r="AW45" s="122"/>
      <c r="AX45" s="122"/>
      <c r="AY45" s="122"/>
      <c r="AZ45" s="122"/>
      <c r="BA45" s="122"/>
      <c r="BB45" s="122"/>
      <c r="BC45" s="122"/>
      <c r="BD45" s="122"/>
      <c r="BE45" s="122"/>
      <c r="BF45" s="122"/>
      <c r="BG45" s="122"/>
      <c r="BH45" s="122"/>
      <c r="BI45" s="122"/>
      <c r="BJ45" s="122"/>
      <c r="BK45" s="122"/>
      <c r="BL45" s="122"/>
      <c r="BM45" s="122"/>
      <c r="BN45" s="122"/>
      <c r="BO45" s="122"/>
      <c r="BP45" s="122"/>
      <c r="BQ45" s="122"/>
      <c r="BR45" s="122"/>
      <c r="BS45" s="122"/>
      <c r="BT45" s="122"/>
      <c r="BU45" s="122"/>
      <c r="BV45" s="122"/>
      <c r="BW45" s="122"/>
      <c r="BX45" s="122"/>
      <c r="BY45" s="122"/>
      <c r="BZ45" s="122"/>
      <c r="CA45" s="122"/>
      <c r="CB45" s="122"/>
      <c r="CC45" s="122"/>
      <c r="CD45" s="122"/>
      <c r="CE45" s="123"/>
      <c r="CF45" s="123"/>
      <c r="CG45" s="123"/>
      <c r="CH45" s="120"/>
      <c r="CI45" s="121"/>
      <c r="CJ45" s="92"/>
      <c r="CK45" s="92"/>
      <c r="CL45" s="92"/>
      <c r="CM45" s="92"/>
      <c r="CN45" s="92"/>
      <c r="CO45" s="92"/>
    </row>
    <row r="46" spans="2:93" ht="15.75" customHeight="1" x14ac:dyDescent="0.3">
      <c r="B46" s="117" t="s">
        <v>45</v>
      </c>
      <c r="C46" s="124"/>
      <c r="D46" s="102" t="str">
        <f t="shared" si="2"/>
        <v/>
      </c>
      <c r="E46" s="103" t="str">
        <f t="shared" si="3"/>
        <v/>
      </c>
      <c r="F46" s="276"/>
      <c r="G46" s="277"/>
      <c r="H46" s="277"/>
      <c r="I46" s="277"/>
      <c r="J46" s="277"/>
      <c r="K46" s="277"/>
      <c r="L46" s="277"/>
      <c r="M46" s="277"/>
      <c r="N46" s="277"/>
      <c r="O46" s="277"/>
      <c r="P46" s="277"/>
      <c r="Q46" s="277"/>
      <c r="R46" s="277"/>
      <c r="S46" s="277"/>
      <c r="T46" s="277"/>
      <c r="U46" s="122"/>
      <c r="V46" s="122"/>
      <c r="W46" s="122"/>
      <c r="X46" s="122"/>
      <c r="Y46" s="122"/>
      <c r="Z46" s="122"/>
      <c r="AA46" s="122"/>
      <c r="AB46" s="122"/>
      <c r="AC46" s="122"/>
      <c r="AD46" s="122"/>
      <c r="AE46" s="122"/>
      <c r="AF46" s="122"/>
      <c r="AG46" s="122"/>
      <c r="AH46" s="122"/>
      <c r="AI46" s="122"/>
      <c r="AJ46" s="122"/>
      <c r="AK46" s="122"/>
      <c r="AL46" s="122"/>
      <c r="AM46" s="122"/>
      <c r="AN46" s="122"/>
      <c r="AO46" s="122"/>
      <c r="AP46" s="122"/>
      <c r="AQ46" s="122"/>
      <c r="AR46" s="122"/>
      <c r="AS46" s="122"/>
      <c r="AT46" s="122"/>
      <c r="AU46" s="122"/>
      <c r="AV46" s="122"/>
      <c r="AW46" s="122"/>
      <c r="AX46" s="122"/>
      <c r="AY46" s="122"/>
      <c r="AZ46" s="122"/>
      <c r="BA46" s="122"/>
      <c r="BB46" s="122"/>
      <c r="BC46" s="122"/>
      <c r="BD46" s="122"/>
      <c r="BE46" s="122"/>
      <c r="BF46" s="122"/>
      <c r="BG46" s="122"/>
      <c r="BH46" s="122"/>
      <c r="BI46" s="122"/>
      <c r="BJ46" s="122"/>
      <c r="BK46" s="122"/>
      <c r="BL46" s="122"/>
      <c r="BM46" s="122"/>
      <c r="BN46" s="122"/>
      <c r="BO46" s="122"/>
      <c r="BP46" s="122"/>
      <c r="BQ46" s="122"/>
      <c r="BR46" s="122"/>
      <c r="BS46" s="122"/>
      <c r="BT46" s="122"/>
      <c r="BU46" s="122"/>
      <c r="BV46" s="122"/>
      <c r="BW46" s="122"/>
      <c r="BX46" s="122"/>
      <c r="BY46" s="122"/>
      <c r="BZ46" s="122"/>
      <c r="CA46" s="122"/>
      <c r="CB46" s="122"/>
      <c r="CC46" s="122"/>
      <c r="CD46" s="122"/>
      <c r="CE46" s="123"/>
      <c r="CF46" s="123"/>
      <c r="CG46" s="123"/>
      <c r="CH46" s="120"/>
      <c r="CI46" s="121"/>
      <c r="CJ46" s="92"/>
      <c r="CK46" s="92"/>
      <c r="CL46" s="92"/>
      <c r="CM46" s="92"/>
      <c r="CN46" s="92"/>
      <c r="CO46" s="92"/>
    </row>
    <row r="47" spans="2:93" ht="15.75" customHeight="1" x14ac:dyDescent="0.3">
      <c r="B47" s="117" t="s">
        <v>44</v>
      </c>
      <c r="C47" s="124"/>
      <c r="D47" s="102" t="str">
        <f t="shared" si="2"/>
        <v/>
      </c>
      <c r="E47" s="103" t="str">
        <f t="shared" si="3"/>
        <v/>
      </c>
      <c r="F47" s="276"/>
      <c r="G47" s="277"/>
      <c r="H47" s="277"/>
      <c r="I47" s="277"/>
      <c r="J47" s="277"/>
      <c r="K47" s="277"/>
      <c r="L47" s="277"/>
      <c r="M47" s="277"/>
      <c r="N47" s="277"/>
      <c r="O47" s="277"/>
      <c r="P47" s="277"/>
      <c r="Q47" s="277"/>
      <c r="R47" s="277"/>
      <c r="S47" s="277"/>
      <c r="T47" s="277"/>
      <c r="U47" s="122"/>
      <c r="V47" s="122"/>
      <c r="W47" s="122"/>
      <c r="X47" s="122"/>
      <c r="Y47" s="122"/>
      <c r="Z47" s="122"/>
      <c r="AA47" s="122"/>
      <c r="AB47" s="122"/>
      <c r="AC47" s="122"/>
      <c r="AD47" s="122"/>
      <c r="AE47" s="122"/>
      <c r="AF47" s="122"/>
      <c r="AG47" s="122"/>
      <c r="AH47" s="122"/>
      <c r="AI47" s="122"/>
      <c r="AJ47" s="122"/>
      <c r="AK47" s="122"/>
      <c r="AL47" s="122"/>
      <c r="AM47" s="122"/>
      <c r="AN47" s="122"/>
      <c r="AO47" s="122"/>
      <c r="AP47" s="122"/>
      <c r="AQ47" s="122"/>
      <c r="AR47" s="122"/>
      <c r="AS47" s="122"/>
      <c r="AT47" s="122"/>
      <c r="AU47" s="122"/>
      <c r="AV47" s="122"/>
      <c r="AW47" s="122"/>
      <c r="AX47" s="122"/>
      <c r="AY47" s="122"/>
      <c r="AZ47" s="122"/>
      <c r="BA47" s="122"/>
      <c r="BB47" s="122"/>
      <c r="BC47" s="122"/>
      <c r="BD47" s="122"/>
      <c r="BE47" s="122"/>
      <c r="BF47" s="122"/>
      <c r="BG47" s="122"/>
      <c r="BH47" s="122"/>
      <c r="BI47" s="122"/>
      <c r="BJ47" s="122"/>
      <c r="BK47" s="122"/>
      <c r="BL47" s="122"/>
      <c r="BM47" s="122"/>
      <c r="BN47" s="122"/>
      <c r="BO47" s="122"/>
      <c r="BP47" s="122"/>
      <c r="BQ47" s="122"/>
      <c r="BR47" s="122"/>
      <c r="BS47" s="122"/>
      <c r="BT47" s="122"/>
      <c r="BU47" s="122"/>
      <c r="BV47" s="122"/>
      <c r="BW47" s="122"/>
      <c r="BX47" s="122"/>
      <c r="BY47" s="122"/>
      <c r="BZ47" s="122"/>
      <c r="CA47" s="122"/>
      <c r="CB47" s="122"/>
      <c r="CC47" s="122"/>
      <c r="CD47" s="122"/>
      <c r="CE47" s="123"/>
      <c r="CF47" s="123"/>
      <c r="CG47" s="123"/>
      <c r="CH47" s="120"/>
      <c r="CI47" s="121"/>
      <c r="CJ47" s="92"/>
      <c r="CK47" s="92"/>
      <c r="CL47" s="92"/>
      <c r="CM47" s="92"/>
      <c r="CN47" s="92"/>
      <c r="CO47" s="92"/>
    </row>
    <row r="48" spans="2:93" ht="15.75" customHeight="1" x14ac:dyDescent="0.3">
      <c r="B48" s="117" t="s">
        <v>43</v>
      </c>
      <c r="C48" s="124"/>
      <c r="D48" s="102" t="str">
        <f t="shared" si="2"/>
        <v/>
      </c>
      <c r="E48" s="103" t="str">
        <f t="shared" si="3"/>
        <v/>
      </c>
      <c r="F48" s="125"/>
      <c r="G48" s="122"/>
      <c r="H48" s="122"/>
      <c r="I48" s="122"/>
      <c r="J48" s="122"/>
      <c r="K48" s="122"/>
      <c r="L48" s="122"/>
      <c r="M48" s="122"/>
      <c r="N48" s="122"/>
      <c r="O48" s="122"/>
      <c r="P48" s="122"/>
      <c r="Q48" s="122"/>
      <c r="R48" s="122"/>
      <c r="S48" s="122"/>
      <c r="T48" s="122"/>
      <c r="U48" s="122"/>
      <c r="V48" s="122"/>
      <c r="W48" s="122"/>
      <c r="X48" s="122"/>
      <c r="Y48" s="122"/>
      <c r="Z48" s="122"/>
      <c r="AA48" s="122"/>
      <c r="AB48" s="122"/>
      <c r="AC48" s="122"/>
      <c r="AD48" s="122"/>
      <c r="AE48" s="122"/>
      <c r="AF48" s="122"/>
      <c r="AG48" s="122"/>
      <c r="AH48" s="122"/>
      <c r="AI48" s="122"/>
      <c r="AJ48" s="122"/>
      <c r="AK48" s="122"/>
      <c r="AL48" s="122"/>
      <c r="AM48" s="122"/>
      <c r="AN48" s="122"/>
      <c r="AO48" s="122"/>
      <c r="AP48" s="122"/>
      <c r="AQ48" s="122"/>
      <c r="AR48" s="122"/>
      <c r="AS48" s="122"/>
      <c r="AT48" s="122"/>
      <c r="AU48" s="122"/>
      <c r="AV48" s="122"/>
      <c r="AW48" s="122"/>
      <c r="AX48" s="122"/>
      <c r="AY48" s="122"/>
      <c r="AZ48" s="122"/>
      <c r="BA48" s="122"/>
      <c r="BB48" s="122"/>
      <c r="BC48" s="122"/>
      <c r="BD48" s="122"/>
      <c r="BE48" s="122"/>
      <c r="BF48" s="122"/>
      <c r="BG48" s="122"/>
      <c r="BH48" s="122"/>
      <c r="BI48" s="122"/>
      <c r="BJ48" s="122"/>
      <c r="BK48" s="122"/>
      <c r="BL48" s="122"/>
      <c r="BM48" s="122"/>
      <c r="BN48" s="122"/>
      <c r="BO48" s="122"/>
      <c r="BP48" s="122"/>
      <c r="BQ48" s="122"/>
      <c r="BR48" s="122"/>
      <c r="BS48" s="122"/>
      <c r="BT48" s="122"/>
      <c r="BU48" s="122"/>
      <c r="BV48" s="122"/>
      <c r="BW48" s="122"/>
      <c r="BX48" s="122"/>
      <c r="BY48" s="122"/>
      <c r="BZ48" s="122"/>
      <c r="CA48" s="122"/>
      <c r="CB48" s="122"/>
      <c r="CC48" s="122"/>
      <c r="CD48" s="122"/>
      <c r="CE48" s="123"/>
      <c r="CF48" s="123"/>
      <c r="CG48" s="123"/>
      <c r="CH48" s="120"/>
      <c r="CI48" s="121"/>
      <c r="CJ48" s="92"/>
      <c r="CK48" s="92"/>
      <c r="CL48" s="92"/>
      <c r="CM48" s="92"/>
      <c r="CN48" s="92"/>
      <c r="CO48" s="92"/>
    </row>
    <row r="49" spans="2:95" ht="15.75" customHeight="1" x14ac:dyDescent="0.3">
      <c r="B49" s="117" t="s">
        <v>42</v>
      </c>
      <c r="C49" s="124"/>
      <c r="D49" s="102" t="str">
        <f t="shared" si="2"/>
        <v/>
      </c>
      <c r="E49" s="103" t="str">
        <f t="shared" si="3"/>
        <v/>
      </c>
      <c r="F49" s="125"/>
      <c r="G49" s="122"/>
      <c r="H49" s="122"/>
      <c r="I49" s="122"/>
      <c r="J49" s="122"/>
      <c r="K49" s="122"/>
      <c r="L49" s="122"/>
      <c r="M49" s="122"/>
      <c r="N49" s="122"/>
      <c r="O49" s="122"/>
      <c r="P49" s="122"/>
      <c r="Q49" s="122"/>
      <c r="R49" s="122"/>
      <c r="S49" s="122"/>
      <c r="T49" s="122"/>
      <c r="U49" s="122"/>
      <c r="V49" s="122"/>
      <c r="W49" s="122"/>
      <c r="X49" s="122"/>
      <c r="Y49" s="122"/>
      <c r="Z49" s="122"/>
      <c r="AA49" s="122"/>
      <c r="AB49" s="122"/>
      <c r="AC49" s="122"/>
      <c r="AD49" s="122"/>
      <c r="AE49" s="122"/>
      <c r="AF49" s="122"/>
      <c r="AG49" s="122"/>
      <c r="AH49" s="122"/>
      <c r="AI49" s="122"/>
      <c r="AJ49" s="122"/>
      <c r="AK49" s="122"/>
      <c r="AL49" s="122"/>
      <c r="AM49" s="122"/>
      <c r="AN49" s="122"/>
      <c r="AO49" s="122"/>
      <c r="AP49" s="122"/>
      <c r="AQ49" s="122"/>
      <c r="AR49" s="122"/>
      <c r="AS49" s="122"/>
      <c r="AT49" s="122"/>
      <c r="AU49" s="122"/>
      <c r="AV49" s="122"/>
      <c r="AW49" s="122"/>
      <c r="AX49" s="122"/>
      <c r="AY49" s="122"/>
      <c r="AZ49" s="122"/>
      <c r="BA49" s="122"/>
      <c r="BB49" s="122"/>
      <c r="BC49" s="122"/>
      <c r="BD49" s="122"/>
      <c r="BE49" s="122"/>
      <c r="BF49" s="122"/>
      <c r="BG49" s="122"/>
      <c r="BH49" s="122"/>
      <c r="BI49" s="122"/>
      <c r="BJ49" s="122"/>
      <c r="BK49" s="122"/>
      <c r="BL49" s="122"/>
      <c r="BM49" s="122"/>
      <c r="BN49" s="122"/>
      <c r="BO49" s="122"/>
      <c r="BP49" s="122"/>
      <c r="BQ49" s="122"/>
      <c r="BR49" s="122"/>
      <c r="BS49" s="122"/>
      <c r="BT49" s="122"/>
      <c r="BU49" s="122"/>
      <c r="BV49" s="122"/>
      <c r="BW49" s="122"/>
      <c r="BX49" s="122"/>
      <c r="BY49" s="122"/>
      <c r="BZ49" s="122"/>
      <c r="CA49" s="122"/>
      <c r="CB49" s="122"/>
      <c r="CC49" s="122"/>
      <c r="CD49" s="122"/>
      <c r="CE49" s="123"/>
      <c r="CF49" s="123"/>
      <c r="CG49" s="123"/>
      <c r="CH49" s="120"/>
      <c r="CI49" s="121"/>
      <c r="CJ49" s="92"/>
      <c r="CK49" s="92"/>
      <c r="CL49" s="92"/>
      <c r="CM49" s="92"/>
      <c r="CN49" s="92"/>
      <c r="CO49" s="92"/>
    </row>
    <row r="50" spans="2:95" ht="18" customHeight="1" x14ac:dyDescent="0.3">
      <c r="B50" s="126" t="s">
        <v>38</v>
      </c>
      <c r="C50" s="127" t="s">
        <v>40</v>
      </c>
      <c r="D50" s="128">
        <f>IFERROR(E50/$E$52,"")</f>
        <v>0.73524804177545688</v>
      </c>
      <c r="E50" s="129">
        <f>AVERAGE(F50:CG50)</f>
        <v>1</v>
      </c>
      <c r="F50" s="130">
        <f t="shared" ref="F50:AK50" si="4">IF(SUM(F13:F18)=0,"",SUM(F13:F18))</f>
        <v>1</v>
      </c>
      <c r="G50" s="130">
        <f t="shared" si="4"/>
        <v>1</v>
      </c>
      <c r="H50" s="130">
        <f t="shared" si="4"/>
        <v>1</v>
      </c>
      <c r="I50" s="130">
        <f t="shared" si="4"/>
        <v>1</v>
      </c>
      <c r="J50" s="130">
        <f t="shared" si="4"/>
        <v>1</v>
      </c>
      <c r="K50" s="130">
        <f t="shared" si="4"/>
        <v>1</v>
      </c>
      <c r="L50" s="130">
        <f t="shared" si="4"/>
        <v>1</v>
      </c>
      <c r="M50" s="130">
        <f t="shared" si="4"/>
        <v>1</v>
      </c>
      <c r="N50" s="130">
        <f t="shared" si="4"/>
        <v>1</v>
      </c>
      <c r="O50" s="130">
        <f t="shared" si="4"/>
        <v>1</v>
      </c>
      <c r="P50" s="130">
        <f t="shared" si="4"/>
        <v>1</v>
      </c>
      <c r="Q50" s="130">
        <f t="shared" si="4"/>
        <v>1</v>
      </c>
      <c r="R50" s="130">
        <f t="shared" si="4"/>
        <v>1</v>
      </c>
      <c r="S50" s="130">
        <f t="shared" si="4"/>
        <v>1</v>
      </c>
      <c r="T50" s="130" t="str">
        <f t="shared" si="4"/>
        <v/>
      </c>
      <c r="U50" s="130" t="str">
        <f t="shared" si="4"/>
        <v/>
      </c>
      <c r="V50" s="130" t="str">
        <f t="shared" si="4"/>
        <v/>
      </c>
      <c r="W50" s="130" t="str">
        <f t="shared" si="4"/>
        <v/>
      </c>
      <c r="X50" s="130" t="str">
        <f t="shared" si="4"/>
        <v/>
      </c>
      <c r="Y50" s="130" t="str">
        <f t="shared" si="4"/>
        <v/>
      </c>
      <c r="Z50" s="130" t="str">
        <f t="shared" si="4"/>
        <v/>
      </c>
      <c r="AA50" s="130" t="str">
        <f t="shared" si="4"/>
        <v/>
      </c>
      <c r="AB50" s="130" t="str">
        <f t="shared" si="4"/>
        <v/>
      </c>
      <c r="AC50" s="130" t="str">
        <f t="shared" si="4"/>
        <v/>
      </c>
      <c r="AD50" s="130" t="str">
        <f t="shared" si="4"/>
        <v/>
      </c>
      <c r="AE50" s="130" t="str">
        <f t="shared" si="4"/>
        <v/>
      </c>
      <c r="AF50" s="130" t="str">
        <f t="shared" si="4"/>
        <v/>
      </c>
      <c r="AG50" s="130" t="str">
        <f t="shared" si="4"/>
        <v/>
      </c>
      <c r="AH50" s="130" t="str">
        <f t="shared" si="4"/>
        <v/>
      </c>
      <c r="AI50" s="130" t="str">
        <f t="shared" si="4"/>
        <v/>
      </c>
      <c r="AJ50" s="130" t="str">
        <f t="shared" si="4"/>
        <v/>
      </c>
      <c r="AK50" s="130" t="str">
        <f t="shared" si="4"/>
        <v/>
      </c>
      <c r="AL50" s="130" t="str">
        <f t="shared" ref="AL50:BQ50" si="5">IF(SUM(AL13:AL18)=0,"",SUM(AL13:AL18))</f>
        <v/>
      </c>
      <c r="AM50" s="130" t="str">
        <f t="shared" si="5"/>
        <v/>
      </c>
      <c r="AN50" s="130" t="str">
        <f t="shared" si="5"/>
        <v/>
      </c>
      <c r="AO50" s="130" t="str">
        <f t="shared" si="5"/>
        <v/>
      </c>
      <c r="AP50" s="130" t="str">
        <f t="shared" si="5"/>
        <v/>
      </c>
      <c r="AQ50" s="130" t="str">
        <f t="shared" si="5"/>
        <v/>
      </c>
      <c r="AR50" s="130" t="str">
        <f t="shared" si="5"/>
        <v/>
      </c>
      <c r="AS50" s="130" t="str">
        <f t="shared" si="5"/>
        <v/>
      </c>
      <c r="AT50" s="130" t="str">
        <f t="shared" si="5"/>
        <v/>
      </c>
      <c r="AU50" s="130" t="str">
        <f t="shared" si="5"/>
        <v/>
      </c>
      <c r="AV50" s="130" t="str">
        <f t="shared" si="5"/>
        <v/>
      </c>
      <c r="AW50" s="130" t="str">
        <f t="shared" si="5"/>
        <v/>
      </c>
      <c r="AX50" s="130" t="str">
        <f t="shared" si="5"/>
        <v/>
      </c>
      <c r="AY50" s="130" t="str">
        <f t="shared" si="5"/>
        <v/>
      </c>
      <c r="AZ50" s="130" t="str">
        <f t="shared" si="5"/>
        <v/>
      </c>
      <c r="BA50" s="130" t="str">
        <f t="shared" si="5"/>
        <v/>
      </c>
      <c r="BB50" s="130" t="str">
        <f t="shared" si="5"/>
        <v/>
      </c>
      <c r="BC50" s="130" t="str">
        <f t="shared" si="5"/>
        <v/>
      </c>
      <c r="BD50" s="130" t="str">
        <f t="shared" si="5"/>
        <v/>
      </c>
      <c r="BE50" s="130" t="str">
        <f t="shared" si="5"/>
        <v/>
      </c>
      <c r="BF50" s="130" t="str">
        <f t="shared" si="5"/>
        <v/>
      </c>
      <c r="BG50" s="130" t="str">
        <f t="shared" si="5"/>
        <v/>
      </c>
      <c r="BH50" s="130" t="str">
        <f t="shared" si="5"/>
        <v/>
      </c>
      <c r="BI50" s="130" t="str">
        <f t="shared" si="5"/>
        <v/>
      </c>
      <c r="BJ50" s="130" t="str">
        <f t="shared" si="5"/>
        <v/>
      </c>
      <c r="BK50" s="130" t="str">
        <f t="shared" si="5"/>
        <v/>
      </c>
      <c r="BL50" s="130" t="str">
        <f t="shared" si="5"/>
        <v/>
      </c>
      <c r="BM50" s="130" t="str">
        <f t="shared" si="5"/>
        <v/>
      </c>
      <c r="BN50" s="130" t="str">
        <f t="shared" si="5"/>
        <v/>
      </c>
      <c r="BO50" s="130" t="str">
        <f t="shared" si="5"/>
        <v/>
      </c>
      <c r="BP50" s="130" t="str">
        <f t="shared" si="5"/>
        <v/>
      </c>
      <c r="BQ50" s="130" t="str">
        <f t="shared" si="5"/>
        <v/>
      </c>
      <c r="BR50" s="130" t="str">
        <f t="shared" ref="BR50:CG50" si="6">IF(SUM(BR13:BR18)=0,"",SUM(BR13:BR18))</f>
        <v/>
      </c>
      <c r="BS50" s="130" t="str">
        <f t="shared" si="6"/>
        <v/>
      </c>
      <c r="BT50" s="130" t="str">
        <f t="shared" si="6"/>
        <v/>
      </c>
      <c r="BU50" s="130" t="str">
        <f t="shared" si="6"/>
        <v/>
      </c>
      <c r="BV50" s="130" t="str">
        <f t="shared" si="6"/>
        <v/>
      </c>
      <c r="BW50" s="130" t="str">
        <f t="shared" si="6"/>
        <v/>
      </c>
      <c r="BX50" s="130" t="str">
        <f t="shared" si="6"/>
        <v/>
      </c>
      <c r="BY50" s="130" t="str">
        <f t="shared" si="6"/>
        <v/>
      </c>
      <c r="BZ50" s="130" t="str">
        <f t="shared" si="6"/>
        <v/>
      </c>
      <c r="CA50" s="130" t="str">
        <f t="shared" si="6"/>
        <v/>
      </c>
      <c r="CB50" s="130" t="str">
        <f t="shared" si="6"/>
        <v/>
      </c>
      <c r="CC50" s="130" t="str">
        <f t="shared" si="6"/>
        <v/>
      </c>
      <c r="CD50" s="130" t="str">
        <f t="shared" si="6"/>
        <v/>
      </c>
      <c r="CE50" s="130" t="str">
        <f t="shared" si="6"/>
        <v/>
      </c>
      <c r="CF50" s="130" t="str">
        <f t="shared" si="6"/>
        <v/>
      </c>
      <c r="CG50" s="130" t="str">
        <f t="shared" si="6"/>
        <v/>
      </c>
      <c r="CH50" s="120"/>
      <c r="CI50" s="121"/>
      <c r="CJ50" s="92"/>
      <c r="CK50" s="92"/>
      <c r="CL50" s="92"/>
      <c r="CM50" s="92"/>
      <c r="CN50" s="92"/>
      <c r="CO50" s="92"/>
    </row>
    <row r="51" spans="2:95" ht="18" customHeight="1" x14ac:dyDescent="0.3">
      <c r="B51" s="126" t="s">
        <v>38</v>
      </c>
      <c r="C51" s="127" t="s">
        <v>39</v>
      </c>
      <c r="D51" s="128">
        <f>IFERROR(E51/$E$52,"")</f>
        <v>4.9790376725102581</v>
      </c>
      <c r="E51" s="129">
        <f>AVERAGE(F51:CG51)</f>
        <v>6.7719155844155852</v>
      </c>
      <c r="F51" s="130">
        <f t="shared" ref="F51:AK51" si="7">IF(SUM(F20:F49)=0,"",SUM(F20:F49))</f>
        <v>2.1818181818181817</v>
      </c>
      <c r="G51" s="130">
        <f t="shared" si="7"/>
        <v>1.5909090909090911</v>
      </c>
      <c r="H51" s="130">
        <f t="shared" si="7"/>
        <v>1</v>
      </c>
      <c r="I51" s="130">
        <f t="shared" si="7"/>
        <v>5.7500000000000009</v>
      </c>
      <c r="J51" s="130">
        <f t="shared" si="7"/>
        <v>10.03409090909091</v>
      </c>
      <c r="K51" s="130">
        <f t="shared" si="7"/>
        <v>12.068181818181818</v>
      </c>
      <c r="L51" s="130">
        <f t="shared" si="7"/>
        <v>8.0795454545454533</v>
      </c>
      <c r="M51" s="130">
        <f t="shared" si="7"/>
        <v>9.9090909090909083</v>
      </c>
      <c r="N51" s="130">
        <f t="shared" si="7"/>
        <v>9.25</v>
      </c>
      <c r="O51" s="130">
        <f t="shared" si="7"/>
        <v>12.545454545454545</v>
      </c>
      <c r="P51" s="130">
        <f t="shared" si="7"/>
        <v>10.670454545454547</v>
      </c>
      <c r="Q51" s="130">
        <f t="shared" si="7"/>
        <v>7.7045454545454541</v>
      </c>
      <c r="R51" s="130">
        <f t="shared" si="7"/>
        <v>3.3409090909090908</v>
      </c>
      <c r="S51" s="130">
        <f t="shared" si="7"/>
        <v>0.68181818181818188</v>
      </c>
      <c r="T51" s="130" t="str">
        <f t="shared" si="7"/>
        <v/>
      </c>
      <c r="U51" s="130" t="str">
        <f t="shared" si="7"/>
        <v/>
      </c>
      <c r="V51" s="130" t="str">
        <f t="shared" si="7"/>
        <v/>
      </c>
      <c r="W51" s="130" t="str">
        <f t="shared" si="7"/>
        <v/>
      </c>
      <c r="X51" s="130" t="str">
        <f t="shared" si="7"/>
        <v/>
      </c>
      <c r="Y51" s="130" t="str">
        <f t="shared" si="7"/>
        <v/>
      </c>
      <c r="Z51" s="130" t="str">
        <f t="shared" si="7"/>
        <v/>
      </c>
      <c r="AA51" s="130" t="str">
        <f t="shared" si="7"/>
        <v/>
      </c>
      <c r="AB51" s="130" t="str">
        <f t="shared" si="7"/>
        <v/>
      </c>
      <c r="AC51" s="130" t="str">
        <f t="shared" si="7"/>
        <v/>
      </c>
      <c r="AD51" s="130" t="str">
        <f t="shared" si="7"/>
        <v/>
      </c>
      <c r="AE51" s="130" t="str">
        <f t="shared" si="7"/>
        <v/>
      </c>
      <c r="AF51" s="130" t="str">
        <f t="shared" si="7"/>
        <v/>
      </c>
      <c r="AG51" s="130" t="str">
        <f t="shared" si="7"/>
        <v/>
      </c>
      <c r="AH51" s="130" t="str">
        <f t="shared" si="7"/>
        <v/>
      </c>
      <c r="AI51" s="130" t="str">
        <f t="shared" si="7"/>
        <v/>
      </c>
      <c r="AJ51" s="130" t="str">
        <f t="shared" si="7"/>
        <v/>
      </c>
      <c r="AK51" s="130" t="str">
        <f t="shared" si="7"/>
        <v/>
      </c>
      <c r="AL51" s="130" t="str">
        <f t="shared" ref="AL51:BQ51" si="8">IF(SUM(AL20:AL49)=0,"",SUM(AL20:AL49))</f>
        <v/>
      </c>
      <c r="AM51" s="130" t="str">
        <f t="shared" si="8"/>
        <v/>
      </c>
      <c r="AN51" s="130" t="str">
        <f t="shared" si="8"/>
        <v/>
      </c>
      <c r="AO51" s="130" t="str">
        <f t="shared" si="8"/>
        <v/>
      </c>
      <c r="AP51" s="130" t="str">
        <f t="shared" si="8"/>
        <v/>
      </c>
      <c r="AQ51" s="130" t="str">
        <f t="shared" si="8"/>
        <v/>
      </c>
      <c r="AR51" s="130" t="str">
        <f t="shared" si="8"/>
        <v/>
      </c>
      <c r="AS51" s="130" t="str">
        <f t="shared" si="8"/>
        <v/>
      </c>
      <c r="AT51" s="130" t="str">
        <f t="shared" si="8"/>
        <v/>
      </c>
      <c r="AU51" s="130" t="str">
        <f t="shared" si="8"/>
        <v/>
      </c>
      <c r="AV51" s="130" t="str">
        <f t="shared" si="8"/>
        <v/>
      </c>
      <c r="AW51" s="130" t="str">
        <f t="shared" si="8"/>
        <v/>
      </c>
      <c r="AX51" s="130" t="str">
        <f t="shared" si="8"/>
        <v/>
      </c>
      <c r="AY51" s="130" t="str">
        <f t="shared" si="8"/>
        <v/>
      </c>
      <c r="AZ51" s="130" t="str">
        <f t="shared" si="8"/>
        <v/>
      </c>
      <c r="BA51" s="130" t="str">
        <f t="shared" si="8"/>
        <v/>
      </c>
      <c r="BB51" s="130" t="str">
        <f t="shared" si="8"/>
        <v/>
      </c>
      <c r="BC51" s="130" t="str">
        <f t="shared" si="8"/>
        <v/>
      </c>
      <c r="BD51" s="130" t="str">
        <f t="shared" si="8"/>
        <v/>
      </c>
      <c r="BE51" s="130" t="str">
        <f t="shared" si="8"/>
        <v/>
      </c>
      <c r="BF51" s="130" t="str">
        <f t="shared" si="8"/>
        <v/>
      </c>
      <c r="BG51" s="130" t="str">
        <f t="shared" si="8"/>
        <v/>
      </c>
      <c r="BH51" s="130" t="str">
        <f t="shared" si="8"/>
        <v/>
      </c>
      <c r="BI51" s="130" t="str">
        <f t="shared" si="8"/>
        <v/>
      </c>
      <c r="BJ51" s="130" t="str">
        <f t="shared" si="8"/>
        <v/>
      </c>
      <c r="BK51" s="130" t="str">
        <f t="shared" si="8"/>
        <v/>
      </c>
      <c r="BL51" s="130" t="str">
        <f t="shared" si="8"/>
        <v/>
      </c>
      <c r="BM51" s="130" t="str">
        <f t="shared" si="8"/>
        <v/>
      </c>
      <c r="BN51" s="130" t="str">
        <f t="shared" si="8"/>
        <v/>
      </c>
      <c r="BO51" s="130" t="str">
        <f t="shared" si="8"/>
        <v/>
      </c>
      <c r="BP51" s="130" t="str">
        <f t="shared" si="8"/>
        <v/>
      </c>
      <c r="BQ51" s="130" t="str">
        <f t="shared" si="8"/>
        <v/>
      </c>
      <c r="BR51" s="130" t="str">
        <f t="shared" ref="BR51:CG51" si="9">IF(SUM(BR20:BR49)=0,"",SUM(BR20:BR49))</f>
        <v/>
      </c>
      <c r="BS51" s="130" t="str">
        <f t="shared" si="9"/>
        <v/>
      </c>
      <c r="BT51" s="130" t="str">
        <f t="shared" si="9"/>
        <v/>
      </c>
      <c r="BU51" s="130" t="str">
        <f t="shared" si="9"/>
        <v/>
      </c>
      <c r="BV51" s="130" t="str">
        <f t="shared" si="9"/>
        <v/>
      </c>
      <c r="BW51" s="130" t="str">
        <f t="shared" si="9"/>
        <v/>
      </c>
      <c r="BX51" s="130" t="str">
        <f t="shared" si="9"/>
        <v/>
      </c>
      <c r="BY51" s="130" t="str">
        <f t="shared" si="9"/>
        <v/>
      </c>
      <c r="BZ51" s="130" t="str">
        <f t="shared" si="9"/>
        <v/>
      </c>
      <c r="CA51" s="130" t="str">
        <f t="shared" si="9"/>
        <v/>
      </c>
      <c r="CB51" s="130" t="str">
        <f t="shared" si="9"/>
        <v/>
      </c>
      <c r="CC51" s="130" t="str">
        <f t="shared" si="9"/>
        <v/>
      </c>
      <c r="CD51" s="130" t="str">
        <f t="shared" si="9"/>
        <v/>
      </c>
      <c r="CE51" s="130" t="str">
        <f t="shared" si="9"/>
        <v/>
      </c>
      <c r="CF51" s="130" t="str">
        <f t="shared" si="9"/>
        <v/>
      </c>
      <c r="CG51" s="130" t="str">
        <f t="shared" si="9"/>
        <v/>
      </c>
      <c r="CH51" s="120"/>
      <c r="CI51" s="121"/>
      <c r="CJ51" s="92"/>
      <c r="CK51" s="92"/>
      <c r="CL51" s="92"/>
      <c r="CM51" s="92"/>
      <c r="CN51" s="92"/>
      <c r="CO51" s="92"/>
    </row>
    <row r="52" spans="2:95" ht="18" customHeight="1" thickBot="1" x14ac:dyDescent="0.35">
      <c r="B52" s="131" t="s">
        <v>38</v>
      </c>
      <c r="C52" s="132" t="s">
        <v>93</v>
      </c>
      <c r="D52" s="133">
        <f>SUM(D50:D51)</f>
        <v>5.7142857142857153</v>
      </c>
      <c r="E52" s="134">
        <f>AVERAGE(F52:CG52)</f>
        <v>1.3600852272727273</v>
      </c>
      <c r="F52" s="135">
        <f t="shared" ref="F52:AK52" si="10">SUM(F50:F51)</f>
        <v>3.1818181818181817</v>
      </c>
      <c r="G52" s="136">
        <f t="shared" si="10"/>
        <v>2.5909090909090908</v>
      </c>
      <c r="H52" s="136">
        <f t="shared" si="10"/>
        <v>2</v>
      </c>
      <c r="I52" s="137">
        <f t="shared" si="10"/>
        <v>6.7500000000000009</v>
      </c>
      <c r="J52" s="137">
        <f t="shared" si="10"/>
        <v>11.03409090909091</v>
      </c>
      <c r="K52" s="137">
        <f t="shared" si="10"/>
        <v>13.068181818181818</v>
      </c>
      <c r="L52" s="137">
        <f t="shared" si="10"/>
        <v>9.0795454545454533</v>
      </c>
      <c r="M52" s="137">
        <f t="shared" si="10"/>
        <v>10.909090909090908</v>
      </c>
      <c r="N52" s="137">
        <f t="shared" si="10"/>
        <v>10.25</v>
      </c>
      <c r="O52" s="137">
        <f t="shared" si="10"/>
        <v>13.545454545454545</v>
      </c>
      <c r="P52" s="137">
        <f t="shared" si="10"/>
        <v>11.670454545454547</v>
      </c>
      <c r="Q52" s="137">
        <f t="shared" si="10"/>
        <v>8.7045454545454533</v>
      </c>
      <c r="R52" s="137">
        <f t="shared" si="10"/>
        <v>4.3409090909090908</v>
      </c>
      <c r="S52" s="137">
        <f t="shared" si="10"/>
        <v>1.6818181818181819</v>
      </c>
      <c r="T52" s="137">
        <f t="shared" si="10"/>
        <v>0</v>
      </c>
      <c r="U52" s="137">
        <f t="shared" si="10"/>
        <v>0</v>
      </c>
      <c r="V52" s="137">
        <f t="shared" si="10"/>
        <v>0</v>
      </c>
      <c r="W52" s="137">
        <f t="shared" si="10"/>
        <v>0</v>
      </c>
      <c r="X52" s="137">
        <f t="shared" si="10"/>
        <v>0</v>
      </c>
      <c r="Y52" s="137">
        <f t="shared" si="10"/>
        <v>0</v>
      </c>
      <c r="Z52" s="137">
        <f t="shared" si="10"/>
        <v>0</v>
      </c>
      <c r="AA52" s="137">
        <f t="shared" si="10"/>
        <v>0</v>
      </c>
      <c r="AB52" s="137">
        <f t="shared" si="10"/>
        <v>0</v>
      </c>
      <c r="AC52" s="137">
        <f t="shared" si="10"/>
        <v>0</v>
      </c>
      <c r="AD52" s="137">
        <f t="shared" si="10"/>
        <v>0</v>
      </c>
      <c r="AE52" s="137">
        <f t="shared" si="10"/>
        <v>0</v>
      </c>
      <c r="AF52" s="137">
        <f t="shared" si="10"/>
        <v>0</v>
      </c>
      <c r="AG52" s="137">
        <f t="shared" si="10"/>
        <v>0</v>
      </c>
      <c r="AH52" s="137">
        <f t="shared" si="10"/>
        <v>0</v>
      </c>
      <c r="AI52" s="137">
        <f t="shared" si="10"/>
        <v>0</v>
      </c>
      <c r="AJ52" s="137">
        <f t="shared" si="10"/>
        <v>0</v>
      </c>
      <c r="AK52" s="137">
        <f t="shared" si="10"/>
        <v>0</v>
      </c>
      <c r="AL52" s="137">
        <f t="shared" ref="AL52:BQ52" si="11">SUM(AL50:AL51)</f>
        <v>0</v>
      </c>
      <c r="AM52" s="137">
        <f t="shared" si="11"/>
        <v>0</v>
      </c>
      <c r="AN52" s="137">
        <f t="shared" si="11"/>
        <v>0</v>
      </c>
      <c r="AO52" s="137">
        <f t="shared" si="11"/>
        <v>0</v>
      </c>
      <c r="AP52" s="137">
        <f t="shared" si="11"/>
        <v>0</v>
      </c>
      <c r="AQ52" s="137">
        <f t="shared" si="11"/>
        <v>0</v>
      </c>
      <c r="AR52" s="137">
        <f t="shared" si="11"/>
        <v>0</v>
      </c>
      <c r="AS52" s="137">
        <f t="shared" si="11"/>
        <v>0</v>
      </c>
      <c r="AT52" s="137">
        <f t="shared" si="11"/>
        <v>0</v>
      </c>
      <c r="AU52" s="137">
        <f t="shared" si="11"/>
        <v>0</v>
      </c>
      <c r="AV52" s="137">
        <f t="shared" si="11"/>
        <v>0</v>
      </c>
      <c r="AW52" s="137">
        <f t="shared" si="11"/>
        <v>0</v>
      </c>
      <c r="AX52" s="137">
        <f t="shared" si="11"/>
        <v>0</v>
      </c>
      <c r="AY52" s="137">
        <f t="shared" si="11"/>
        <v>0</v>
      </c>
      <c r="AZ52" s="137">
        <f t="shared" si="11"/>
        <v>0</v>
      </c>
      <c r="BA52" s="137">
        <f t="shared" si="11"/>
        <v>0</v>
      </c>
      <c r="BB52" s="137">
        <f t="shared" si="11"/>
        <v>0</v>
      </c>
      <c r="BC52" s="137">
        <f t="shared" si="11"/>
        <v>0</v>
      </c>
      <c r="BD52" s="137">
        <f t="shared" si="11"/>
        <v>0</v>
      </c>
      <c r="BE52" s="137">
        <f t="shared" si="11"/>
        <v>0</v>
      </c>
      <c r="BF52" s="137">
        <f t="shared" si="11"/>
        <v>0</v>
      </c>
      <c r="BG52" s="137">
        <f t="shared" si="11"/>
        <v>0</v>
      </c>
      <c r="BH52" s="137">
        <f t="shared" si="11"/>
        <v>0</v>
      </c>
      <c r="BI52" s="137">
        <f t="shared" si="11"/>
        <v>0</v>
      </c>
      <c r="BJ52" s="137">
        <f t="shared" si="11"/>
        <v>0</v>
      </c>
      <c r="BK52" s="137">
        <f t="shared" si="11"/>
        <v>0</v>
      </c>
      <c r="BL52" s="137">
        <f t="shared" si="11"/>
        <v>0</v>
      </c>
      <c r="BM52" s="137">
        <f t="shared" si="11"/>
        <v>0</v>
      </c>
      <c r="BN52" s="137">
        <f t="shared" si="11"/>
        <v>0</v>
      </c>
      <c r="BO52" s="137">
        <f t="shared" si="11"/>
        <v>0</v>
      </c>
      <c r="BP52" s="137">
        <f t="shared" si="11"/>
        <v>0</v>
      </c>
      <c r="BQ52" s="137">
        <f t="shared" si="11"/>
        <v>0</v>
      </c>
      <c r="BR52" s="137">
        <f t="shared" ref="BR52:CG52" si="12">SUM(BR50:BR51)</f>
        <v>0</v>
      </c>
      <c r="BS52" s="136">
        <f t="shared" si="12"/>
        <v>0</v>
      </c>
      <c r="BT52" s="136">
        <f t="shared" si="12"/>
        <v>0</v>
      </c>
      <c r="BU52" s="136">
        <f t="shared" si="12"/>
        <v>0</v>
      </c>
      <c r="BV52" s="136">
        <f t="shared" si="12"/>
        <v>0</v>
      </c>
      <c r="BW52" s="136">
        <f t="shared" si="12"/>
        <v>0</v>
      </c>
      <c r="BX52" s="136">
        <f t="shared" si="12"/>
        <v>0</v>
      </c>
      <c r="BY52" s="136">
        <f t="shared" si="12"/>
        <v>0</v>
      </c>
      <c r="BZ52" s="136">
        <f t="shared" si="12"/>
        <v>0</v>
      </c>
      <c r="CA52" s="136">
        <f t="shared" si="12"/>
        <v>0</v>
      </c>
      <c r="CB52" s="136">
        <f t="shared" si="12"/>
        <v>0</v>
      </c>
      <c r="CC52" s="136">
        <f t="shared" si="12"/>
        <v>0</v>
      </c>
      <c r="CD52" s="136">
        <f t="shared" si="12"/>
        <v>0</v>
      </c>
      <c r="CE52" s="138">
        <f t="shared" si="12"/>
        <v>0</v>
      </c>
      <c r="CF52" s="138">
        <f t="shared" si="12"/>
        <v>0</v>
      </c>
      <c r="CG52" s="138">
        <f t="shared" si="12"/>
        <v>0</v>
      </c>
      <c r="CH52" s="120"/>
      <c r="CI52" s="121"/>
      <c r="CJ52" s="92"/>
      <c r="CK52" s="92"/>
      <c r="CL52" s="92"/>
      <c r="CM52" s="92"/>
      <c r="CN52" s="92"/>
      <c r="CO52" s="92"/>
      <c r="CQ52" s="139"/>
    </row>
    <row r="53" spans="2:95" s="90" customFormat="1" x14ac:dyDescent="0.3">
      <c r="B53" s="140"/>
      <c r="E53" s="141">
        <v>20</v>
      </c>
      <c r="F53" s="141">
        <f t="shared" ref="F53:AK53" si="13">F51/$E$53</f>
        <v>0.10909090909090909</v>
      </c>
      <c r="G53" s="141">
        <f t="shared" si="13"/>
        <v>7.9545454545454558E-2</v>
      </c>
      <c r="H53" s="141">
        <f t="shared" si="13"/>
        <v>0.05</v>
      </c>
      <c r="I53" s="141">
        <f t="shared" si="13"/>
        <v>0.28750000000000003</v>
      </c>
      <c r="J53" s="141">
        <f t="shared" si="13"/>
        <v>0.50170454545454546</v>
      </c>
      <c r="K53" s="141">
        <f t="shared" si="13"/>
        <v>0.60340909090909089</v>
      </c>
      <c r="L53" s="141">
        <f t="shared" si="13"/>
        <v>0.40397727272727268</v>
      </c>
      <c r="M53" s="141">
        <f t="shared" si="13"/>
        <v>0.49545454545454543</v>
      </c>
      <c r="N53" s="141">
        <f t="shared" si="13"/>
        <v>0.46250000000000002</v>
      </c>
      <c r="O53" s="141">
        <f t="shared" si="13"/>
        <v>0.6272727272727272</v>
      </c>
      <c r="P53" s="141">
        <f t="shared" si="13"/>
        <v>0.53352272727272732</v>
      </c>
      <c r="Q53" s="141">
        <f t="shared" si="13"/>
        <v>0.3852272727272727</v>
      </c>
      <c r="R53" s="141">
        <f t="shared" si="13"/>
        <v>0.16704545454545455</v>
      </c>
      <c r="S53" s="141">
        <f t="shared" si="13"/>
        <v>3.4090909090909095E-2</v>
      </c>
      <c r="T53" s="141" t="e">
        <f t="shared" si="13"/>
        <v>#VALUE!</v>
      </c>
      <c r="U53" s="141" t="e">
        <f t="shared" si="13"/>
        <v>#VALUE!</v>
      </c>
      <c r="V53" s="141" t="e">
        <f t="shared" si="13"/>
        <v>#VALUE!</v>
      </c>
      <c r="W53" s="141" t="e">
        <f t="shared" si="13"/>
        <v>#VALUE!</v>
      </c>
      <c r="X53" s="141" t="e">
        <f t="shared" si="13"/>
        <v>#VALUE!</v>
      </c>
      <c r="Y53" s="141" t="e">
        <f t="shared" si="13"/>
        <v>#VALUE!</v>
      </c>
      <c r="Z53" s="141" t="e">
        <f t="shared" si="13"/>
        <v>#VALUE!</v>
      </c>
      <c r="AA53" s="141" t="e">
        <f t="shared" si="13"/>
        <v>#VALUE!</v>
      </c>
      <c r="AB53" s="141" t="e">
        <f t="shared" si="13"/>
        <v>#VALUE!</v>
      </c>
      <c r="AC53" s="141" t="e">
        <f t="shared" si="13"/>
        <v>#VALUE!</v>
      </c>
      <c r="AD53" s="141" t="e">
        <f t="shared" si="13"/>
        <v>#VALUE!</v>
      </c>
      <c r="AE53" s="141" t="e">
        <f t="shared" si="13"/>
        <v>#VALUE!</v>
      </c>
      <c r="AF53" s="141" t="e">
        <f t="shared" si="13"/>
        <v>#VALUE!</v>
      </c>
      <c r="AG53" s="141" t="e">
        <f t="shared" si="13"/>
        <v>#VALUE!</v>
      </c>
      <c r="AH53" s="141" t="e">
        <f t="shared" si="13"/>
        <v>#VALUE!</v>
      </c>
      <c r="AI53" s="141" t="e">
        <f t="shared" si="13"/>
        <v>#VALUE!</v>
      </c>
      <c r="AJ53" s="141" t="e">
        <f t="shared" si="13"/>
        <v>#VALUE!</v>
      </c>
      <c r="AK53" s="141" t="e">
        <f t="shared" si="13"/>
        <v>#VALUE!</v>
      </c>
      <c r="AL53" s="141" t="e">
        <f t="shared" ref="AL53:BQ53" si="14">AL51/$E$53</f>
        <v>#VALUE!</v>
      </c>
      <c r="AM53" s="141" t="e">
        <f t="shared" si="14"/>
        <v>#VALUE!</v>
      </c>
      <c r="AN53" s="141" t="e">
        <f t="shared" si="14"/>
        <v>#VALUE!</v>
      </c>
      <c r="AO53" s="141" t="e">
        <f t="shared" si="14"/>
        <v>#VALUE!</v>
      </c>
      <c r="AP53" s="141" t="e">
        <f t="shared" si="14"/>
        <v>#VALUE!</v>
      </c>
      <c r="AQ53" s="141" t="e">
        <f t="shared" si="14"/>
        <v>#VALUE!</v>
      </c>
      <c r="AR53" s="141" t="e">
        <f t="shared" si="14"/>
        <v>#VALUE!</v>
      </c>
      <c r="AS53" s="141" t="e">
        <f t="shared" si="14"/>
        <v>#VALUE!</v>
      </c>
      <c r="AT53" s="141" t="e">
        <f t="shared" si="14"/>
        <v>#VALUE!</v>
      </c>
      <c r="AU53" s="141" t="e">
        <f t="shared" si="14"/>
        <v>#VALUE!</v>
      </c>
      <c r="AV53" s="141" t="e">
        <f t="shared" si="14"/>
        <v>#VALUE!</v>
      </c>
      <c r="AW53" s="141" t="e">
        <f t="shared" si="14"/>
        <v>#VALUE!</v>
      </c>
      <c r="AX53" s="141" t="e">
        <f t="shared" si="14"/>
        <v>#VALUE!</v>
      </c>
      <c r="AY53" s="141" t="e">
        <f t="shared" si="14"/>
        <v>#VALUE!</v>
      </c>
      <c r="AZ53" s="141" t="e">
        <f t="shared" si="14"/>
        <v>#VALUE!</v>
      </c>
      <c r="BA53" s="141" t="e">
        <f t="shared" si="14"/>
        <v>#VALUE!</v>
      </c>
      <c r="BB53" s="141" t="e">
        <f t="shared" si="14"/>
        <v>#VALUE!</v>
      </c>
      <c r="BC53" s="141" t="e">
        <f t="shared" si="14"/>
        <v>#VALUE!</v>
      </c>
      <c r="BD53" s="141" t="e">
        <f t="shared" si="14"/>
        <v>#VALUE!</v>
      </c>
      <c r="BE53" s="141" t="e">
        <f t="shared" si="14"/>
        <v>#VALUE!</v>
      </c>
      <c r="BF53" s="141" t="e">
        <f t="shared" si="14"/>
        <v>#VALUE!</v>
      </c>
      <c r="BG53" s="141" t="e">
        <f t="shared" si="14"/>
        <v>#VALUE!</v>
      </c>
      <c r="BH53" s="141" t="e">
        <f t="shared" si="14"/>
        <v>#VALUE!</v>
      </c>
      <c r="BI53" s="141" t="e">
        <f t="shared" si="14"/>
        <v>#VALUE!</v>
      </c>
      <c r="BJ53" s="141" t="e">
        <f t="shared" si="14"/>
        <v>#VALUE!</v>
      </c>
      <c r="BK53" s="141" t="e">
        <f t="shared" si="14"/>
        <v>#VALUE!</v>
      </c>
      <c r="BL53" s="141" t="e">
        <f t="shared" si="14"/>
        <v>#VALUE!</v>
      </c>
      <c r="BM53" s="141" t="e">
        <f t="shared" si="14"/>
        <v>#VALUE!</v>
      </c>
      <c r="BN53" s="141" t="e">
        <f t="shared" si="14"/>
        <v>#VALUE!</v>
      </c>
      <c r="BO53" s="141" t="e">
        <f t="shared" si="14"/>
        <v>#VALUE!</v>
      </c>
      <c r="BP53" s="141" t="e">
        <f t="shared" si="14"/>
        <v>#VALUE!</v>
      </c>
      <c r="BQ53" s="141" t="e">
        <f t="shared" si="14"/>
        <v>#VALUE!</v>
      </c>
      <c r="BR53" s="141" t="e">
        <f t="shared" ref="BR53:CG53" si="15">BR51/$E$53</f>
        <v>#VALUE!</v>
      </c>
      <c r="BS53" s="141" t="e">
        <f t="shared" si="15"/>
        <v>#VALUE!</v>
      </c>
      <c r="BT53" s="141" t="e">
        <f t="shared" si="15"/>
        <v>#VALUE!</v>
      </c>
      <c r="BU53" s="141" t="e">
        <f t="shared" si="15"/>
        <v>#VALUE!</v>
      </c>
      <c r="BV53" s="141" t="e">
        <f t="shared" si="15"/>
        <v>#VALUE!</v>
      </c>
      <c r="BW53" s="141" t="e">
        <f t="shared" si="15"/>
        <v>#VALUE!</v>
      </c>
      <c r="BX53" s="141" t="e">
        <f t="shared" si="15"/>
        <v>#VALUE!</v>
      </c>
      <c r="BY53" s="141" t="e">
        <f t="shared" si="15"/>
        <v>#VALUE!</v>
      </c>
      <c r="BZ53" s="141" t="e">
        <f t="shared" si="15"/>
        <v>#VALUE!</v>
      </c>
      <c r="CA53" s="141" t="e">
        <f t="shared" si="15"/>
        <v>#VALUE!</v>
      </c>
      <c r="CB53" s="141" t="e">
        <f t="shared" si="15"/>
        <v>#VALUE!</v>
      </c>
      <c r="CC53" s="141" t="e">
        <f t="shared" si="15"/>
        <v>#VALUE!</v>
      </c>
      <c r="CD53" s="141" t="e">
        <f t="shared" si="15"/>
        <v>#VALUE!</v>
      </c>
      <c r="CE53" s="141" t="e">
        <f t="shared" si="15"/>
        <v>#VALUE!</v>
      </c>
      <c r="CF53" s="141" t="e">
        <f t="shared" si="15"/>
        <v>#VALUE!</v>
      </c>
      <c r="CG53" s="141" t="e">
        <f t="shared" si="15"/>
        <v>#VALUE!</v>
      </c>
      <c r="CI53" s="142"/>
    </row>
    <row r="54" spans="2:95" x14ac:dyDescent="0.3">
      <c r="F54" s="143"/>
      <c r="G54" s="143"/>
      <c r="H54" s="143"/>
      <c r="I54" s="143"/>
      <c r="J54" s="143"/>
      <c r="K54" s="143"/>
      <c r="L54" s="143"/>
      <c r="M54" s="143"/>
      <c r="N54" s="143"/>
      <c r="O54" s="143"/>
      <c r="P54" s="143"/>
      <c r="Q54" s="144"/>
      <c r="R54" s="143"/>
      <c r="S54" s="144"/>
      <c r="T54" s="144"/>
      <c r="U54" s="144"/>
      <c r="V54" s="143"/>
      <c r="W54" s="144"/>
      <c r="X54" s="144"/>
      <c r="Y54" s="144"/>
      <c r="Z54" s="143"/>
      <c r="AA54" s="144"/>
      <c r="AB54" s="144"/>
      <c r="AC54" s="144"/>
      <c r="AD54" s="143"/>
      <c r="AE54" s="144"/>
      <c r="AF54" s="144"/>
      <c r="AG54" s="144"/>
      <c r="AH54" s="143"/>
      <c r="AI54" s="144"/>
      <c r="AJ54" s="144"/>
      <c r="AK54" s="144"/>
      <c r="AL54" s="143"/>
      <c r="AM54" s="144"/>
      <c r="AN54" s="144"/>
      <c r="AO54" s="144"/>
      <c r="AP54" s="143"/>
      <c r="AQ54" s="144"/>
      <c r="AR54" s="144"/>
      <c r="AS54" s="144"/>
      <c r="AT54" s="143"/>
      <c r="AU54" s="144"/>
      <c r="AV54" s="144"/>
      <c r="AW54" s="144"/>
      <c r="AX54" s="143"/>
      <c r="AY54" s="144"/>
      <c r="AZ54" s="144"/>
      <c r="BA54" s="144"/>
      <c r="BB54" s="143"/>
      <c r="BC54" s="144"/>
      <c r="BD54" s="144"/>
      <c r="BE54" s="144"/>
      <c r="BF54" s="143"/>
      <c r="BG54" s="144"/>
      <c r="BH54" s="144"/>
      <c r="BI54" s="144"/>
      <c r="BJ54" s="143"/>
      <c r="BK54" s="144"/>
      <c r="BL54" s="144"/>
      <c r="BM54" s="144"/>
      <c r="BN54" s="143"/>
      <c r="BO54" s="144"/>
      <c r="BP54" s="144"/>
      <c r="BQ54" s="144"/>
      <c r="BR54" s="143"/>
      <c r="BS54" s="144"/>
      <c r="BT54" s="144"/>
      <c r="BU54" s="144"/>
      <c r="BV54" s="143"/>
      <c r="BW54" s="144"/>
      <c r="BX54" s="144"/>
      <c r="BY54" s="144"/>
      <c r="BZ54" s="143"/>
      <c r="CA54" s="144"/>
      <c r="CB54" s="144"/>
      <c r="CC54" s="144"/>
      <c r="CD54" s="144"/>
    </row>
    <row r="56" spans="2:95" ht="29.25" customHeight="1" x14ac:dyDescent="0.3">
      <c r="AT56" s="92"/>
      <c r="AU56" s="92"/>
      <c r="AV56" s="92"/>
      <c r="AW56" s="92"/>
      <c r="BJ56" s="92"/>
      <c r="BK56" s="92"/>
      <c r="BL56" s="92"/>
      <c r="BM56" s="92"/>
      <c r="CE56" s="92"/>
      <c r="CF56" s="92"/>
      <c r="CG56" s="92"/>
      <c r="CH56" s="92"/>
      <c r="CI56" s="92"/>
      <c r="CJ56" s="92"/>
      <c r="CK56" s="92"/>
      <c r="CL56" s="92"/>
      <c r="CM56" s="92"/>
      <c r="CN56" s="92"/>
      <c r="CO56" s="92"/>
    </row>
    <row r="57" spans="2:95" ht="20.25" customHeight="1" x14ac:dyDescent="0.3">
      <c r="AT57" s="92"/>
      <c r="AU57" s="92"/>
      <c r="AV57" s="92"/>
      <c r="AW57" s="92"/>
      <c r="BJ57" s="92"/>
      <c r="BK57" s="92"/>
      <c r="BL57" s="92"/>
      <c r="BM57" s="92"/>
      <c r="CE57" s="92"/>
      <c r="CF57" s="92"/>
      <c r="CG57" s="92"/>
      <c r="CH57" s="92"/>
      <c r="CI57" s="92"/>
      <c r="CJ57" s="92"/>
      <c r="CK57" s="92"/>
      <c r="CL57" s="92"/>
      <c r="CM57" s="92"/>
      <c r="CN57" s="92"/>
      <c r="CO57" s="92"/>
    </row>
    <row r="61" spans="2:95" ht="15" thickBot="1" x14ac:dyDescent="0.35"/>
    <row r="62" spans="2:95" ht="17.25" customHeight="1" x14ac:dyDescent="0.3">
      <c r="B62" s="339" t="s">
        <v>92</v>
      </c>
      <c r="C62" s="341" t="s">
        <v>91</v>
      </c>
      <c r="D62" s="341"/>
      <c r="E62" s="145" t="s">
        <v>90</v>
      </c>
      <c r="F62" s="334">
        <v>1</v>
      </c>
      <c r="G62" s="335"/>
      <c r="H62" s="335"/>
      <c r="I62" s="336"/>
      <c r="J62" s="334">
        <v>2</v>
      </c>
      <c r="K62" s="335"/>
      <c r="L62" s="335"/>
      <c r="M62" s="336"/>
      <c r="N62" s="334">
        <v>3</v>
      </c>
      <c r="O62" s="335"/>
      <c r="P62" s="335"/>
      <c r="Q62" s="336"/>
      <c r="R62" s="334">
        <v>4</v>
      </c>
      <c r="S62" s="335"/>
      <c r="T62" s="335"/>
      <c r="U62" s="336"/>
      <c r="V62" s="334">
        <v>5</v>
      </c>
      <c r="W62" s="335"/>
      <c r="X62" s="335"/>
      <c r="Y62" s="336"/>
      <c r="Z62" s="334">
        <v>6</v>
      </c>
      <c r="AA62" s="335"/>
      <c r="AB62" s="335"/>
      <c r="AC62" s="336"/>
      <c r="AD62" s="334">
        <v>7</v>
      </c>
      <c r="AE62" s="335"/>
      <c r="AF62" s="335"/>
      <c r="AG62" s="336"/>
      <c r="AH62" s="334">
        <v>8</v>
      </c>
      <c r="AI62" s="335"/>
      <c r="AJ62" s="335"/>
      <c r="AK62" s="336"/>
      <c r="AL62" s="334">
        <v>9</v>
      </c>
      <c r="AM62" s="335"/>
      <c r="AN62" s="335"/>
      <c r="AO62" s="336"/>
      <c r="AP62" s="334">
        <v>10</v>
      </c>
      <c r="AQ62" s="335"/>
      <c r="AR62" s="335"/>
      <c r="AS62" s="336"/>
      <c r="AT62" s="334">
        <v>11</v>
      </c>
      <c r="AU62" s="335"/>
      <c r="AV62" s="335"/>
      <c r="AW62" s="335"/>
      <c r="AX62" s="334">
        <v>12</v>
      </c>
      <c r="AY62" s="335"/>
      <c r="AZ62" s="335"/>
      <c r="BA62" s="335"/>
      <c r="BB62" s="334">
        <v>13</v>
      </c>
      <c r="BC62" s="335"/>
      <c r="BD62" s="335"/>
      <c r="BE62" s="335"/>
      <c r="BF62" s="334">
        <v>14</v>
      </c>
      <c r="BG62" s="335"/>
      <c r="BH62" s="335"/>
      <c r="BI62" s="335"/>
      <c r="BJ62" s="334">
        <v>15</v>
      </c>
      <c r="BK62" s="335"/>
      <c r="BL62" s="335"/>
      <c r="BM62" s="335"/>
      <c r="BN62" s="334">
        <v>16</v>
      </c>
      <c r="BO62" s="335"/>
      <c r="BP62" s="335"/>
      <c r="BQ62" s="335"/>
      <c r="BR62" s="334">
        <v>17</v>
      </c>
      <c r="BS62" s="335"/>
      <c r="BT62" s="335"/>
      <c r="BU62" s="335"/>
      <c r="BV62" s="334">
        <v>18</v>
      </c>
      <c r="BW62" s="335"/>
      <c r="BX62" s="335"/>
      <c r="BY62" s="335"/>
      <c r="BZ62" s="334">
        <v>19</v>
      </c>
      <c r="CA62" s="335"/>
      <c r="CB62" s="335"/>
      <c r="CC62" s="335"/>
      <c r="CD62" s="334">
        <v>19</v>
      </c>
      <c r="CE62" s="335"/>
      <c r="CF62" s="335"/>
      <c r="CG62" s="335"/>
      <c r="CH62" s="95"/>
      <c r="CI62" s="92"/>
      <c r="CJ62" s="92"/>
      <c r="CK62" s="92"/>
      <c r="CL62" s="92"/>
      <c r="CM62" s="92"/>
      <c r="CN62" s="92"/>
      <c r="CO62" s="92"/>
    </row>
    <row r="63" spans="2:95" ht="15" thickBot="1" x14ac:dyDescent="0.35">
      <c r="B63" s="340"/>
      <c r="C63" s="342"/>
      <c r="D63" s="342"/>
      <c r="E63" s="146" t="s">
        <v>89</v>
      </c>
      <c r="F63" s="147">
        <v>1</v>
      </c>
      <c r="G63" s="147">
        <v>2</v>
      </c>
      <c r="H63" s="147">
        <v>3</v>
      </c>
      <c r="I63" s="147">
        <v>4</v>
      </c>
      <c r="J63" s="147">
        <v>5</v>
      </c>
      <c r="K63" s="147">
        <v>6</v>
      </c>
      <c r="L63" s="147">
        <v>7</v>
      </c>
      <c r="M63" s="147">
        <v>8</v>
      </c>
      <c r="N63" s="147">
        <v>9</v>
      </c>
      <c r="O63" s="147">
        <v>10</v>
      </c>
      <c r="P63" s="147">
        <v>11</v>
      </c>
      <c r="Q63" s="147">
        <v>12</v>
      </c>
      <c r="R63" s="147">
        <v>13</v>
      </c>
      <c r="S63" s="147">
        <v>14</v>
      </c>
      <c r="T63" s="147">
        <v>15</v>
      </c>
      <c r="U63" s="147">
        <v>16</v>
      </c>
      <c r="V63" s="147">
        <v>17</v>
      </c>
      <c r="W63" s="147">
        <v>18</v>
      </c>
      <c r="X63" s="147">
        <v>19</v>
      </c>
      <c r="Y63" s="147">
        <v>20</v>
      </c>
      <c r="Z63" s="147">
        <v>21</v>
      </c>
      <c r="AA63" s="147">
        <v>22</v>
      </c>
      <c r="AB63" s="147">
        <v>23</v>
      </c>
      <c r="AC63" s="147">
        <v>24</v>
      </c>
      <c r="AD63" s="147">
        <v>25</v>
      </c>
      <c r="AE63" s="147">
        <v>26</v>
      </c>
      <c r="AF63" s="147">
        <v>27</v>
      </c>
      <c r="AG63" s="147">
        <v>28</v>
      </c>
      <c r="AH63" s="147">
        <v>29</v>
      </c>
      <c r="AI63" s="147">
        <v>30</v>
      </c>
      <c r="AJ63" s="147">
        <v>31</v>
      </c>
      <c r="AK63" s="147">
        <v>32</v>
      </c>
      <c r="AL63" s="147">
        <v>33</v>
      </c>
      <c r="AM63" s="147">
        <v>34</v>
      </c>
      <c r="AN63" s="147">
        <v>35</v>
      </c>
      <c r="AO63" s="147">
        <v>36</v>
      </c>
      <c r="AP63" s="147">
        <v>37</v>
      </c>
      <c r="AQ63" s="147">
        <v>38</v>
      </c>
      <c r="AR63" s="147">
        <v>39</v>
      </c>
      <c r="AS63" s="147">
        <v>40</v>
      </c>
      <c r="AT63" s="147">
        <v>41</v>
      </c>
      <c r="AU63" s="147">
        <v>42</v>
      </c>
      <c r="AV63" s="147">
        <v>43</v>
      </c>
      <c r="AW63" s="147">
        <v>44</v>
      </c>
      <c r="AX63" s="147">
        <v>45</v>
      </c>
      <c r="AY63" s="147">
        <v>46</v>
      </c>
      <c r="AZ63" s="147">
        <v>47</v>
      </c>
      <c r="BA63" s="147">
        <v>48</v>
      </c>
      <c r="BB63" s="147">
        <v>49</v>
      </c>
      <c r="BC63" s="147">
        <v>50</v>
      </c>
      <c r="BD63" s="147">
        <v>51</v>
      </c>
      <c r="BE63" s="147">
        <v>52</v>
      </c>
      <c r="BF63" s="147">
        <v>53</v>
      </c>
      <c r="BG63" s="147">
        <v>54</v>
      </c>
      <c r="BH63" s="147">
        <v>55</v>
      </c>
      <c r="BI63" s="147">
        <v>56</v>
      </c>
      <c r="BJ63" s="147">
        <v>57</v>
      </c>
      <c r="BK63" s="147">
        <v>58</v>
      </c>
      <c r="BL63" s="147">
        <v>59</v>
      </c>
      <c r="BM63" s="147">
        <v>60</v>
      </c>
      <c r="BN63" s="147">
        <v>61</v>
      </c>
      <c r="BO63" s="147">
        <v>62</v>
      </c>
      <c r="BP63" s="147">
        <v>63</v>
      </c>
      <c r="BQ63" s="147">
        <v>64</v>
      </c>
      <c r="BR63" s="147">
        <v>65</v>
      </c>
      <c r="BS63" s="147">
        <v>66</v>
      </c>
      <c r="BT63" s="147">
        <v>67</v>
      </c>
      <c r="BU63" s="147">
        <v>68</v>
      </c>
      <c r="BV63" s="147">
        <v>69</v>
      </c>
      <c r="BW63" s="147">
        <v>70</v>
      </c>
      <c r="BX63" s="147">
        <v>71</v>
      </c>
      <c r="BY63" s="147">
        <v>72</v>
      </c>
      <c r="BZ63" s="147">
        <v>73</v>
      </c>
      <c r="CA63" s="147">
        <v>74</v>
      </c>
      <c r="CB63" s="147">
        <v>75</v>
      </c>
      <c r="CC63" s="147">
        <v>76</v>
      </c>
      <c r="CD63" s="147">
        <v>77</v>
      </c>
      <c r="CE63" s="148">
        <v>78</v>
      </c>
      <c r="CF63" s="148">
        <v>78</v>
      </c>
      <c r="CG63" s="148">
        <v>78</v>
      </c>
      <c r="CH63" s="95"/>
      <c r="CI63" s="92"/>
      <c r="CJ63" s="92"/>
      <c r="CK63" s="92"/>
      <c r="CL63" s="92"/>
      <c r="CM63" s="92"/>
      <c r="CN63" s="92"/>
      <c r="CO63" s="92"/>
    </row>
    <row r="64" spans="2:95" ht="18" customHeight="1" thickBot="1" x14ac:dyDescent="0.35">
      <c r="B64" s="149">
        <v>1</v>
      </c>
      <c r="C64" s="150" t="s">
        <v>88</v>
      </c>
      <c r="D64" s="150"/>
      <c r="E64" s="150"/>
      <c r="F64" s="343">
        <f ca="1">AVERAGE(F105:I105)</f>
        <v>0</v>
      </c>
      <c r="G64" s="343"/>
      <c r="H64" s="343"/>
      <c r="I64" s="343"/>
      <c r="J64" s="343">
        <f ca="1">AVERAGE(J105:M105)</f>
        <v>0</v>
      </c>
      <c r="K64" s="343"/>
      <c r="L64" s="343"/>
      <c r="M64" s="343"/>
      <c r="N64" s="343" t="e">
        <f>AVERAGE(N105:Q105)</f>
        <v>#DIV/0!</v>
      </c>
      <c r="O64" s="343"/>
      <c r="P64" s="343"/>
      <c r="Q64" s="343"/>
      <c r="R64" s="343" t="e">
        <f>AVERAGE(R105:U105)</f>
        <v>#DIV/0!</v>
      </c>
      <c r="S64" s="343"/>
      <c r="T64" s="343"/>
      <c r="U64" s="343"/>
      <c r="V64" s="343" t="e">
        <f>AVERAGE(V105:Y105)</f>
        <v>#DIV/0!</v>
      </c>
      <c r="W64" s="343"/>
      <c r="X64" s="343"/>
      <c r="Y64" s="343"/>
      <c r="Z64" s="343" t="e">
        <f>AVERAGE(Z105:AC105)</f>
        <v>#DIV/0!</v>
      </c>
      <c r="AA64" s="343"/>
      <c r="AB64" s="343"/>
      <c r="AC64" s="343"/>
      <c r="AD64" s="343" t="e">
        <f>AVERAGE(AD105:AG105)</f>
        <v>#DIV/0!</v>
      </c>
      <c r="AE64" s="343"/>
      <c r="AF64" s="343"/>
      <c r="AG64" s="343"/>
      <c r="AH64" s="343" t="e">
        <f>AVERAGE(AH105:AK105)</f>
        <v>#DIV/0!</v>
      </c>
      <c r="AI64" s="343"/>
      <c r="AJ64" s="343"/>
      <c r="AK64" s="343"/>
      <c r="AL64" s="343" t="e">
        <f>AVERAGE(AL105:AO105)</f>
        <v>#DIV/0!</v>
      </c>
      <c r="AM64" s="343"/>
      <c r="AN64" s="343"/>
      <c r="AO64" s="343"/>
      <c r="AP64" s="343" t="e">
        <f>AVERAGE(AP105:AS105)</f>
        <v>#DIV/0!</v>
      </c>
      <c r="AQ64" s="343"/>
      <c r="AR64" s="343"/>
      <c r="AS64" s="343"/>
      <c r="AT64" s="343" t="e">
        <f>AVERAGE(AT105:AW105)</f>
        <v>#DIV/0!</v>
      </c>
      <c r="AU64" s="343"/>
      <c r="AV64" s="343"/>
      <c r="AW64" s="343"/>
      <c r="AX64" s="343" t="e">
        <f>AVERAGE(AX105:BA105)</f>
        <v>#DIV/0!</v>
      </c>
      <c r="AY64" s="343"/>
      <c r="AZ64" s="343"/>
      <c r="BA64" s="343"/>
      <c r="BB64" s="343" t="e">
        <f>AVERAGE(BB105:BE105)</f>
        <v>#DIV/0!</v>
      </c>
      <c r="BC64" s="343"/>
      <c r="BD64" s="343"/>
      <c r="BE64" s="343"/>
      <c r="BF64" s="343" t="e">
        <f>AVERAGE(BF105:BI105)</f>
        <v>#DIV/0!</v>
      </c>
      <c r="BG64" s="343"/>
      <c r="BH64" s="343"/>
      <c r="BI64" s="343"/>
      <c r="BJ64" s="343" t="e">
        <f>AVERAGE(BJ105:BM105)</f>
        <v>#DIV/0!</v>
      </c>
      <c r="BK64" s="343"/>
      <c r="BL64" s="343"/>
      <c r="BM64" s="343"/>
      <c r="BN64" s="343" t="e">
        <f>AVERAGE(BN105:BQ105)</f>
        <v>#DIV/0!</v>
      </c>
      <c r="BO64" s="343"/>
      <c r="BP64" s="343"/>
      <c r="BQ64" s="343"/>
      <c r="BR64" s="343" t="e">
        <f>AVERAGE(BR105:BU105)</f>
        <v>#DIV/0!</v>
      </c>
      <c r="BS64" s="343"/>
      <c r="BT64" s="343"/>
      <c r="BU64" s="343"/>
      <c r="BV64" s="343" t="e">
        <f>AVERAGE(BV105:BY105)</f>
        <v>#DIV/0!</v>
      </c>
      <c r="BW64" s="343"/>
      <c r="BX64" s="343"/>
      <c r="BY64" s="343"/>
      <c r="BZ64" s="343" t="e">
        <f>AVERAGE(BZ105:CC105)</f>
        <v>#DIV/0!</v>
      </c>
      <c r="CA64" s="343"/>
      <c r="CB64" s="343"/>
      <c r="CC64" s="343"/>
      <c r="CD64" s="345" t="e">
        <f>AVERAGE(CD105:CG105)</f>
        <v>#DIV/0!</v>
      </c>
      <c r="CE64" s="346"/>
      <c r="CF64" s="346"/>
      <c r="CG64" s="347"/>
      <c r="CH64" s="95"/>
      <c r="CI64" s="92"/>
      <c r="CJ64" s="92"/>
      <c r="CK64" s="92"/>
      <c r="CL64" s="92"/>
      <c r="CM64" s="92"/>
      <c r="CN64" s="92"/>
      <c r="CO64" s="92"/>
    </row>
    <row r="65" spans="2:93" ht="15.75" customHeight="1" x14ac:dyDescent="0.3">
      <c r="B65" s="151" t="s">
        <v>87</v>
      </c>
      <c r="C65" s="101" t="s">
        <v>86</v>
      </c>
      <c r="D65" s="152" t="str">
        <f t="shared" ref="D65:D70" ca="1" si="16">IFERROR(E65/$E$51,"")</f>
        <v/>
      </c>
      <c r="E65" s="153" t="str">
        <f t="shared" ref="E65:E70" ca="1" si="17">IFERROR(AVERAGE(F65:CG65),"")</f>
        <v/>
      </c>
      <c r="F65" s="154" t="str">
        <f ca="1">IFERROR(AVERAGEIF('PMO REAL'!$F$12:$US$12,'PMO PREV'!F$63,'PMO REAL'!$F16:$UU16),"")</f>
        <v/>
      </c>
      <c r="G65" s="155" t="str">
        <f ca="1">IFERROR(AVERAGEIF('PMO REAL'!$F$12:$US$12,'PMO PREV'!G$63,'PMO REAL'!$F16:$UU16),"")</f>
        <v/>
      </c>
      <c r="H65" s="155" t="str">
        <f ca="1">IFERROR(AVERAGEIF('PMO REAL'!$F$12:$US$12,'PMO PREV'!H$63,'PMO REAL'!$F16:$UU16),"")</f>
        <v/>
      </c>
      <c r="I65" s="155" t="str">
        <f ca="1">IFERROR(AVERAGEIF('PMO REAL'!$F$12:$US$12,'PMO PREV'!I$63,'PMO REAL'!$F16:$UU16),"")</f>
        <v/>
      </c>
      <c r="J65" s="155" t="str">
        <f ca="1">IFERROR(AVERAGEIF('PMO REAL'!$F$12:$US$12,'PMO PREV'!J$63,'PMO REAL'!$F16:$UU16),"")</f>
        <v/>
      </c>
      <c r="K65" s="155" t="str">
        <f ca="1">IFERROR(AVERAGEIF('PMO REAL'!$F$12:$US$12,'PMO PREV'!K$63,'PMO REAL'!$F16:$UU16),"")</f>
        <v/>
      </c>
      <c r="L65" s="155" t="str">
        <f ca="1">IFERROR(AVERAGEIF('PMO REAL'!$F$12:$US$12,'PMO PREV'!L$63,'PMO REAL'!$F16:$UU16),"")</f>
        <v/>
      </c>
      <c r="M65" s="155" t="str">
        <f ca="1">IFERROR(AVERAGEIF('PMO REAL'!$F$12:$US$12,'PMO PREV'!M$63,'PMO REAL'!$F16:$UU16),"")</f>
        <v/>
      </c>
      <c r="N65" s="155" t="str">
        <f ca="1">IFERROR(AVERAGEIF('PMO REAL'!$F$12:$US$12,'PMO PREV'!N$63,'PMO REAL'!$F16:$UU16),"")</f>
        <v/>
      </c>
      <c r="O65" s="155" t="str">
        <f ca="1">IFERROR(AVERAGEIF('PMO REAL'!$F$12:$US$12,'PMO PREV'!O$63,'PMO REAL'!$F16:$UU16),"")</f>
        <v/>
      </c>
      <c r="P65" s="155" t="str">
        <f ca="1">IFERROR(AVERAGEIF('PMO REAL'!$F$12:$US$12,'PMO PREV'!P$63,'PMO REAL'!$F16:$UU16),"")</f>
        <v/>
      </c>
      <c r="Q65" s="155" t="str">
        <f ca="1">IFERROR(AVERAGEIF('PMO REAL'!$F$12:$US$12,'PMO PREV'!Q$63,'PMO REAL'!$F16:$UU16),"")</f>
        <v/>
      </c>
      <c r="R65" s="155" t="str">
        <f ca="1">IFERROR(AVERAGEIF('PMO REAL'!$F$12:$US$12,'PMO PREV'!R$63,'PMO REAL'!$F16:$UU16),"")</f>
        <v/>
      </c>
      <c r="S65" s="155" t="str">
        <f ca="1">IFERROR(AVERAGEIF('PMO REAL'!$F$12:$US$12,'PMO PREV'!S$63,'PMO REAL'!$F16:$UU16),"")</f>
        <v/>
      </c>
      <c r="T65" s="155" t="str">
        <f ca="1">IFERROR(AVERAGEIF('PMO REAL'!$F$12:$US$12,'PMO PREV'!T$63,'PMO REAL'!$F16:$UU16),"")</f>
        <v/>
      </c>
      <c r="U65" s="155" t="str">
        <f ca="1">IFERROR(AVERAGEIF('PMO REAL'!$F$12:$US$12,'PMO PREV'!U$63,'PMO REAL'!$F16:$UU16),"")</f>
        <v/>
      </c>
      <c r="V65" s="155" t="str">
        <f ca="1">IFERROR(AVERAGEIF('PMO REAL'!$F$12:$US$12,'PMO PREV'!V$63,'PMO REAL'!$F16:$UU16),"")</f>
        <v/>
      </c>
      <c r="W65" s="155" t="str">
        <f ca="1">IFERROR(AVERAGEIF('PMO REAL'!$F$12:$US$12,'PMO PREV'!W$63,'PMO REAL'!$F16:$UU16),"")</f>
        <v/>
      </c>
      <c r="X65" s="155" t="str">
        <f ca="1">IFERROR(AVERAGEIF('PMO REAL'!$F$12:$US$12,'PMO PREV'!X$63,'PMO REAL'!$F16:$UU16),"")</f>
        <v/>
      </c>
      <c r="Y65" s="155" t="str">
        <f ca="1">IFERROR(AVERAGEIF('PMO REAL'!$F$12:$US$12,'PMO PREV'!Y$63,'PMO REAL'!$F16:$UU16),"")</f>
        <v/>
      </c>
      <c r="Z65" s="155" t="str">
        <f ca="1">IFERROR(AVERAGEIF('PMO REAL'!$F$12:$US$12,'PMO PREV'!Z$63,'PMO REAL'!$F16:$UU16),"")</f>
        <v/>
      </c>
      <c r="AA65" s="155" t="str">
        <f ca="1">IFERROR(AVERAGEIF('PMO REAL'!$F$12:$US$12,'PMO PREV'!AA$63,'PMO REAL'!$F16:$UU16),"")</f>
        <v/>
      </c>
      <c r="AB65" s="155" t="str">
        <f ca="1">IFERROR(AVERAGEIF('PMO REAL'!$F$12:$US$12,'PMO PREV'!AB$63,'PMO REAL'!$F16:$UU16),"")</f>
        <v/>
      </c>
      <c r="AC65" s="155" t="str">
        <f ca="1">IFERROR(AVERAGEIF('PMO REAL'!$F$12:$US$12,'PMO PREV'!AC$63,'PMO REAL'!$F16:$UU16),"")</f>
        <v/>
      </c>
      <c r="AD65" s="155" t="str">
        <f ca="1">IFERROR(AVERAGEIF('PMO REAL'!$F$12:$US$12,'PMO PREV'!AD$63,'PMO REAL'!$F16:$UU16),"")</f>
        <v/>
      </c>
      <c r="AE65" s="155" t="str">
        <f ca="1">IFERROR(AVERAGEIF('PMO REAL'!$F$12:$US$12,'PMO PREV'!AE$63,'PMO REAL'!$F16:$UU16),"")</f>
        <v/>
      </c>
      <c r="AF65" s="155" t="str">
        <f ca="1">IFERROR(AVERAGEIF('PMO REAL'!$F$12:$US$12,'PMO PREV'!AF$63,'PMO REAL'!$F16:$UU16),"")</f>
        <v/>
      </c>
      <c r="AG65" s="155" t="str">
        <f ca="1">IFERROR(AVERAGEIF('PMO REAL'!$F$12:$US$12,'PMO PREV'!AG$63,'PMO REAL'!$F16:$UU16),"")</f>
        <v/>
      </c>
      <c r="AH65" s="155" t="str">
        <f ca="1">IFERROR(AVERAGEIF('PMO REAL'!$F$12:$US$12,'PMO PREV'!AH$63,'PMO REAL'!$F16:$UU16),"")</f>
        <v/>
      </c>
      <c r="AI65" s="155" t="str">
        <f ca="1">IFERROR(AVERAGEIF('PMO REAL'!$F$12:$US$12,'PMO PREV'!AI$63,'PMO REAL'!$F16:$UU16),"")</f>
        <v/>
      </c>
      <c r="AJ65" s="155" t="str">
        <f ca="1">IFERROR(AVERAGEIF('PMO REAL'!$F$12:$US$12,'PMO PREV'!AJ$63,'PMO REAL'!$F16:$UU16),"")</f>
        <v/>
      </c>
      <c r="AK65" s="155" t="str">
        <f ca="1">IFERROR(AVERAGEIF('PMO REAL'!$F$12:$US$12,'PMO PREV'!AK$63,'PMO REAL'!$F16:$UU16),"")</f>
        <v/>
      </c>
      <c r="AL65" s="155" t="str">
        <f ca="1">IFERROR(AVERAGEIF('PMO REAL'!$F$12:$US$12,'PMO PREV'!AL$63,'PMO REAL'!$F16:$UU16),"")</f>
        <v/>
      </c>
      <c r="AM65" s="155" t="str">
        <f ca="1">IFERROR(AVERAGEIF('PMO REAL'!$F$12:$US$12,'PMO PREV'!AM$63,'PMO REAL'!$F16:$UU16),"")</f>
        <v/>
      </c>
      <c r="AN65" s="155" t="str">
        <f ca="1">IFERROR(AVERAGEIF('PMO REAL'!$F$12:$US$12,'PMO PREV'!AN$63,'PMO REAL'!$F16:$UU16),"")</f>
        <v/>
      </c>
      <c r="AO65" s="155" t="str">
        <f ca="1">IFERROR(AVERAGEIF('PMO REAL'!$F$12:$US$12,'PMO PREV'!AO$63,'PMO REAL'!$F16:$UU16),"")</f>
        <v/>
      </c>
      <c r="AP65" s="155" t="str">
        <f ca="1">IFERROR(AVERAGEIF('PMO REAL'!$F$12:$US$12,'PMO PREV'!AP$63,'PMO REAL'!$F16:$UU16),"")</f>
        <v/>
      </c>
      <c r="AQ65" s="155" t="str">
        <f ca="1">IFERROR(AVERAGEIF('PMO REAL'!$F$12:$US$12,'PMO PREV'!AQ$63,'PMO REAL'!$F16:$UU16),"")</f>
        <v/>
      </c>
      <c r="AR65" s="155" t="str">
        <f ca="1">IFERROR(AVERAGEIF('PMO REAL'!$F$12:$US$12,'PMO PREV'!AR$63,'PMO REAL'!$F16:$UU16),"")</f>
        <v/>
      </c>
      <c r="AS65" s="155" t="str">
        <f ca="1">IFERROR(AVERAGEIF('PMO REAL'!$F$12:$US$12,'PMO PREV'!AS$63,'PMO REAL'!$F16:$UU16),"")</f>
        <v/>
      </c>
      <c r="AT65" s="155" t="str">
        <f ca="1">IFERROR(AVERAGEIF('PMO REAL'!$F$12:$US$12,'PMO PREV'!AT$63,'PMO REAL'!$F16:$UU16),"")</f>
        <v/>
      </c>
      <c r="AU65" s="155" t="str">
        <f ca="1">IFERROR(AVERAGEIF('PMO REAL'!$F$12:$US$12,'PMO PREV'!AU$63,'PMO REAL'!$F16:$UU16),"")</f>
        <v/>
      </c>
      <c r="AV65" s="155" t="str">
        <f ca="1">IFERROR(AVERAGEIF('PMO REAL'!$F$12:$US$12,'PMO PREV'!AV$63,'PMO REAL'!$F16:$UU16),"")</f>
        <v/>
      </c>
      <c r="AW65" s="155" t="str">
        <f ca="1">IFERROR(AVERAGEIF('PMO REAL'!$F$12:$US$12,'PMO PREV'!AW$63,'PMO REAL'!$F16:$UU16),"")</f>
        <v/>
      </c>
      <c r="AX65" s="155" t="str">
        <f ca="1">IFERROR(AVERAGEIF('PMO REAL'!$F$12:$US$12,'PMO PREV'!AX$63,'PMO REAL'!$F16:$UU16),"")</f>
        <v/>
      </c>
      <c r="AY65" s="155" t="str">
        <f ca="1">IFERROR(AVERAGEIF('PMO REAL'!$F$12:$US$12,'PMO PREV'!AY$63,'PMO REAL'!$F16:$UU16),"")</f>
        <v/>
      </c>
      <c r="AZ65" s="155" t="str">
        <f ca="1">IFERROR(AVERAGEIF('PMO REAL'!$F$12:$US$12,'PMO PREV'!AZ$63,'PMO REAL'!$F16:$UU16),"")</f>
        <v/>
      </c>
      <c r="BA65" s="155" t="str">
        <f ca="1">IFERROR(AVERAGEIF('PMO REAL'!$F$12:$US$12,'PMO PREV'!BA$63,'PMO REAL'!$F16:$UU16),"")</f>
        <v/>
      </c>
      <c r="BB65" s="155" t="str">
        <f ca="1">IFERROR(AVERAGEIF('PMO REAL'!$F$12:$US$12,'PMO PREV'!BB$63,'PMO REAL'!$F16:$UU16),"")</f>
        <v/>
      </c>
      <c r="BC65" s="155" t="str">
        <f ca="1">IFERROR(AVERAGEIF('PMO REAL'!$F$12:$US$12,'PMO PREV'!BC$63,'PMO REAL'!$F16:$UU16),"")</f>
        <v/>
      </c>
      <c r="BD65" s="155" t="str">
        <f ca="1">IFERROR(AVERAGEIF('PMO REAL'!$F$12:$US$12,'PMO PREV'!BD$63,'PMO REAL'!$F16:$UU16),"")</f>
        <v/>
      </c>
      <c r="BE65" s="155" t="str">
        <f ca="1">IFERROR(AVERAGEIF('PMO REAL'!$F$12:$US$12,'PMO PREV'!BE$63,'PMO REAL'!$F16:$UU16),"")</f>
        <v/>
      </c>
      <c r="BF65" s="155" t="str">
        <f ca="1">IFERROR(AVERAGEIF('PMO REAL'!$F$12:$US$12,'PMO PREV'!BF$63,'PMO REAL'!$F16:$UU16),"")</f>
        <v/>
      </c>
      <c r="BG65" s="155" t="str">
        <f ca="1">IFERROR(AVERAGEIF('PMO REAL'!$F$12:$US$12,'PMO PREV'!BG$63,'PMO REAL'!$F16:$UU16),"")</f>
        <v/>
      </c>
      <c r="BH65" s="155" t="str">
        <f ca="1">IFERROR(AVERAGEIF('PMO REAL'!$F$12:$US$12,'PMO PREV'!BH$63,'PMO REAL'!$F16:$UU16),"")</f>
        <v/>
      </c>
      <c r="BI65" s="155" t="str">
        <f ca="1">IFERROR(AVERAGEIF('PMO REAL'!$F$12:$US$12,'PMO PREV'!BI$63,'PMO REAL'!$F16:$UU16),"")</f>
        <v/>
      </c>
      <c r="BJ65" s="155" t="str">
        <f ca="1">IFERROR(AVERAGEIF('PMO REAL'!$F$12:$US$12,'PMO PREV'!BJ$63,'PMO REAL'!$F16:$UU16),"")</f>
        <v/>
      </c>
      <c r="BK65" s="155" t="str">
        <f ca="1">IFERROR(AVERAGEIF('PMO REAL'!$F$12:$US$12,'PMO PREV'!BK$63,'PMO REAL'!$F16:$UU16),"")</f>
        <v/>
      </c>
      <c r="BL65" s="155" t="str">
        <f ca="1">IFERROR(AVERAGEIF('PMO REAL'!$F$12:$US$12,'PMO PREV'!BL$63,'PMO REAL'!$F16:$UU16),"")</f>
        <v/>
      </c>
      <c r="BM65" s="155" t="str">
        <f ca="1">IFERROR(AVERAGEIF('PMO REAL'!$F$12:$US$12,'PMO PREV'!BM$63,'PMO REAL'!$F16:$UU16),"")</f>
        <v/>
      </c>
      <c r="BN65" s="155" t="str">
        <f ca="1">IFERROR(AVERAGEIF('PMO REAL'!$F$12:$US$12,'PMO PREV'!BN$63,'PMO REAL'!$F16:$UU16),"")</f>
        <v/>
      </c>
      <c r="BO65" s="155" t="str">
        <f ca="1">IFERROR(AVERAGEIF('PMO REAL'!$F$12:$US$12,'PMO PREV'!BO$63,'PMO REAL'!$F16:$UU16),"")</f>
        <v/>
      </c>
      <c r="BP65" s="155" t="str">
        <f ca="1">IFERROR(AVERAGEIF('PMO REAL'!$F$12:$US$12,'PMO PREV'!BP$63,'PMO REAL'!$F16:$UU16),"")</f>
        <v/>
      </c>
      <c r="BQ65" s="155" t="str">
        <f ca="1">IFERROR(AVERAGEIF('PMO REAL'!$F$12:$US$12,'PMO PREV'!BQ$63,'PMO REAL'!$F16:$UU16),"")</f>
        <v/>
      </c>
      <c r="BR65" s="155" t="str">
        <f ca="1">IFERROR(AVERAGEIF('PMO REAL'!$F$12:$US$12,'PMO PREV'!BR$63,'PMO REAL'!$F16:$UU16),"")</f>
        <v/>
      </c>
      <c r="BS65" s="155" t="str">
        <f ca="1">IFERROR(AVERAGEIF('PMO REAL'!$F$12:$US$12,'PMO PREV'!BS$63,'PMO REAL'!$F16:$UU16),"")</f>
        <v/>
      </c>
      <c r="BT65" s="155" t="str">
        <f ca="1">IFERROR(AVERAGEIF('PMO REAL'!$F$12:$US$12,'PMO PREV'!BT$63,'PMO REAL'!$F16:$UU16),"")</f>
        <v/>
      </c>
      <c r="BU65" s="155" t="str">
        <f ca="1">IFERROR(AVERAGEIF('PMO REAL'!$F$12:$US$12,'PMO PREV'!BU$63,'PMO REAL'!$F16:$UU16),"")</f>
        <v/>
      </c>
      <c r="BV65" s="155" t="str">
        <f ca="1">IFERROR(AVERAGEIF('PMO REAL'!$F$12:$US$12,'PMO PREV'!BV$63,'PMO REAL'!$F16:$UU16),"")</f>
        <v/>
      </c>
      <c r="BW65" s="155" t="str">
        <f ca="1">IFERROR(AVERAGEIF('PMO REAL'!$F$12:$US$12,'PMO PREV'!BW$63,'PMO REAL'!$F16:$UU16),"")</f>
        <v/>
      </c>
      <c r="BX65" s="155" t="str">
        <f ca="1">IFERROR(AVERAGEIF('PMO REAL'!$F$12:$US$12,'PMO PREV'!BX$63,'PMO REAL'!$F16:$UU16),"")</f>
        <v/>
      </c>
      <c r="BY65" s="155" t="str">
        <f ca="1">IFERROR(AVERAGEIF('PMO REAL'!$F$12:$US$12,'PMO PREV'!BY$63,'PMO REAL'!$F16:$UU16),"")</f>
        <v/>
      </c>
      <c r="BZ65" s="155" t="str">
        <f ca="1">IFERROR(AVERAGEIF('PMO REAL'!$F$12:$US$12,'PMO PREV'!BZ$63,'PMO REAL'!$F16:$UU16),"")</f>
        <v/>
      </c>
      <c r="CA65" s="155" t="str">
        <f ca="1">IFERROR(AVERAGEIF('PMO REAL'!$F$12:$US$12,'PMO PREV'!CA$63,'PMO REAL'!$F16:$UU16),"")</f>
        <v/>
      </c>
      <c r="CB65" s="155" t="str">
        <f ca="1">IFERROR(AVERAGEIF('PMO REAL'!$F$12:$US$12,'PMO PREV'!CB$63,'PMO REAL'!$F16:$UU16),"")</f>
        <v/>
      </c>
      <c r="CC65" s="155" t="str">
        <f ca="1">IFERROR(AVERAGEIF('PMO REAL'!$F$12:$US$12,'PMO PREV'!CC$63,'PMO REAL'!$F16:$UU16),"")</f>
        <v/>
      </c>
      <c r="CD65" s="156"/>
      <c r="CE65" s="157"/>
      <c r="CF65" s="157"/>
      <c r="CG65" s="157"/>
      <c r="CH65" s="95"/>
      <c r="CI65" s="92"/>
      <c r="CJ65" s="92"/>
      <c r="CK65" s="92"/>
      <c r="CL65" s="92"/>
      <c r="CM65" s="92"/>
      <c r="CN65" s="92"/>
      <c r="CO65" s="92"/>
    </row>
    <row r="66" spans="2:93" ht="15.75" customHeight="1" x14ac:dyDescent="0.3">
      <c r="B66" s="158" t="s">
        <v>85</v>
      </c>
      <c r="C66" s="107" t="s">
        <v>84</v>
      </c>
      <c r="D66" s="152" t="str">
        <f t="shared" ca="1" si="16"/>
        <v/>
      </c>
      <c r="E66" s="159" t="str">
        <f t="shared" ca="1" si="17"/>
        <v/>
      </c>
      <c r="F66" s="155" t="str">
        <f ca="1">IFERROR(AVERAGEIF('PMO REAL'!$F$12:$US$12,'PMO PREV'!F$63,'PMO REAL'!$F17:$US17),"")</f>
        <v/>
      </c>
      <c r="G66" s="155" t="str">
        <f ca="1">IFERROR(AVERAGEIF('PMO REAL'!$F$12:$US$12,'PMO PREV'!G$63,'PMO REAL'!$F17:$US17),"")</f>
        <v/>
      </c>
      <c r="H66" s="155" t="str">
        <f ca="1">IFERROR(AVERAGEIF('PMO REAL'!$F$12:$US$12,'PMO PREV'!H$63,'PMO REAL'!$F17:$US17),"")</f>
        <v/>
      </c>
      <c r="I66" s="155" t="str">
        <f ca="1">IFERROR(AVERAGEIF('PMO REAL'!$F$12:$US$12,'PMO PREV'!I$63,'PMO REAL'!$F17:$US17),"")</f>
        <v/>
      </c>
      <c r="J66" s="155" t="str">
        <f ca="1">IFERROR(AVERAGEIF('PMO REAL'!$F$12:$US$12,'PMO PREV'!J$63,'PMO REAL'!$F17:$US17),"")</f>
        <v/>
      </c>
      <c r="K66" s="155" t="str">
        <f ca="1">IFERROR(AVERAGEIF('PMO REAL'!$F$12:$US$12,'PMO PREV'!K$63,'PMO REAL'!$F17:$US17),"")</f>
        <v/>
      </c>
      <c r="L66" s="155" t="str">
        <f ca="1">IFERROR(AVERAGEIF('PMO REAL'!$F$12:$US$12,'PMO PREV'!L$63,'PMO REAL'!$F17:$US17),"")</f>
        <v/>
      </c>
      <c r="M66" s="155" t="str">
        <f ca="1">IFERROR(AVERAGEIF('PMO REAL'!$F$12:$US$12,'PMO PREV'!M$63,'PMO REAL'!$F17:$US17),"")</f>
        <v/>
      </c>
      <c r="N66" s="155" t="str">
        <f ca="1">IFERROR(AVERAGEIF('PMO REAL'!$F$12:$US$12,'PMO PREV'!N$63,'PMO REAL'!$F17:$US17),"")</f>
        <v/>
      </c>
      <c r="O66" s="155" t="str">
        <f ca="1">IFERROR(AVERAGEIF('PMO REAL'!$F$12:$US$12,'PMO PREV'!O$63,'PMO REAL'!$F17:$US17),"")</f>
        <v/>
      </c>
      <c r="P66" s="155" t="str">
        <f ca="1">IFERROR(AVERAGEIF('PMO REAL'!$F$12:$US$12,'PMO PREV'!P$63,'PMO REAL'!$F17:$US17),"")</f>
        <v/>
      </c>
      <c r="Q66" s="155" t="str">
        <f ca="1">IFERROR(AVERAGEIF('PMO REAL'!$F$12:$US$12,'PMO PREV'!Q$63,'PMO REAL'!$F17:$US17),"")</f>
        <v/>
      </c>
      <c r="R66" s="155" t="str">
        <f ca="1">IFERROR(AVERAGEIF('PMO REAL'!$F$12:$US$12,'PMO PREV'!R$63,'PMO REAL'!$F17:$US17),"")</f>
        <v/>
      </c>
      <c r="S66" s="155" t="str">
        <f ca="1">IFERROR(AVERAGEIF('PMO REAL'!$F$12:$US$12,'PMO PREV'!S$63,'PMO REAL'!$F17:$US17),"")</f>
        <v/>
      </c>
      <c r="T66" s="155" t="str">
        <f ca="1">IFERROR(AVERAGEIF('PMO REAL'!$F$12:$US$12,'PMO PREV'!T$63,'PMO REAL'!$F17:$US17),"")</f>
        <v/>
      </c>
      <c r="U66" s="155" t="str">
        <f ca="1">IFERROR(AVERAGEIF('PMO REAL'!$F$12:$US$12,'PMO PREV'!U$63,'PMO REAL'!$F17:$US17),"")</f>
        <v/>
      </c>
      <c r="V66" s="155" t="str">
        <f ca="1">IFERROR(AVERAGEIF('PMO REAL'!$F$12:$US$12,'PMO PREV'!V$63,'PMO REAL'!$F17:$US17),"")</f>
        <v/>
      </c>
      <c r="W66" s="155" t="str">
        <f ca="1">IFERROR(AVERAGEIF('PMO REAL'!$F$12:$US$12,'PMO PREV'!W$63,'PMO REAL'!$F17:$US17),"")</f>
        <v/>
      </c>
      <c r="X66" s="155" t="str">
        <f ca="1">IFERROR(AVERAGEIF('PMO REAL'!$F$12:$US$12,'PMO PREV'!X$63,'PMO REAL'!$F17:$US17),"")</f>
        <v/>
      </c>
      <c r="Y66" s="155" t="str">
        <f ca="1">IFERROR(AVERAGEIF('PMO REAL'!$F$12:$US$12,'PMO PREV'!Y$63,'PMO REAL'!$F17:$US17),"")</f>
        <v/>
      </c>
      <c r="Z66" s="155" t="str">
        <f ca="1">IFERROR(AVERAGEIF('PMO REAL'!$F$12:$US$12,'PMO PREV'!Z$63,'PMO REAL'!$F17:$US17),"")</f>
        <v/>
      </c>
      <c r="AA66" s="155" t="str">
        <f ca="1">IFERROR(AVERAGEIF('PMO REAL'!$F$12:$US$12,'PMO PREV'!AA$63,'PMO REAL'!$F17:$US17),"")</f>
        <v/>
      </c>
      <c r="AB66" s="155" t="str">
        <f ca="1">IFERROR(AVERAGEIF('PMO REAL'!$F$12:$US$12,'PMO PREV'!AB$63,'PMO REAL'!$F17:$US17),"")</f>
        <v/>
      </c>
      <c r="AC66" s="155" t="str">
        <f ca="1">IFERROR(AVERAGEIF('PMO REAL'!$F$12:$US$12,'PMO PREV'!AC$63,'PMO REAL'!$F17:$US17),"")</f>
        <v/>
      </c>
      <c r="AD66" s="155" t="str">
        <f ca="1">IFERROR(AVERAGEIF('PMO REAL'!$F$12:$US$12,'PMO PREV'!AD$63,'PMO REAL'!$F17:$US17),"")</f>
        <v/>
      </c>
      <c r="AE66" s="155" t="str">
        <f ca="1">IFERROR(AVERAGEIF('PMO REAL'!$F$12:$US$12,'PMO PREV'!AE$63,'PMO REAL'!$F17:$US17),"")</f>
        <v/>
      </c>
      <c r="AF66" s="155" t="str">
        <f ca="1">IFERROR(AVERAGEIF('PMO REAL'!$F$12:$US$12,'PMO PREV'!AF$63,'PMO REAL'!$F17:$US17),"")</f>
        <v/>
      </c>
      <c r="AG66" s="155" t="str">
        <f ca="1">IFERROR(AVERAGEIF('PMO REAL'!$F$12:$US$12,'PMO PREV'!AG$63,'PMO REAL'!$F17:$US17),"")</f>
        <v/>
      </c>
      <c r="AH66" s="155" t="str">
        <f ca="1">IFERROR(AVERAGEIF('PMO REAL'!$F$12:$US$12,'PMO PREV'!AH$63,'PMO REAL'!$F17:$US17),"")</f>
        <v/>
      </c>
      <c r="AI66" s="155" t="str">
        <f ca="1">IFERROR(AVERAGEIF('PMO REAL'!$F$12:$US$12,'PMO PREV'!AI$63,'PMO REAL'!$F17:$US17),"")</f>
        <v/>
      </c>
      <c r="AJ66" s="155" t="str">
        <f ca="1">IFERROR(AVERAGEIF('PMO REAL'!$F$12:$US$12,'PMO PREV'!AJ$63,'PMO REAL'!$F17:$US17),"")</f>
        <v/>
      </c>
      <c r="AK66" s="155" t="str">
        <f ca="1">IFERROR(AVERAGEIF('PMO REAL'!$F$12:$US$12,'PMO PREV'!AK$63,'PMO REAL'!$F17:$US17),"")</f>
        <v/>
      </c>
      <c r="AL66" s="155" t="str">
        <f ca="1">IFERROR(AVERAGEIF('PMO REAL'!$F$12:$US$12,'PMO PREV'!AL$63,'PMO REAL'!$F17:$US17),"")</f>
        <v/>
      </c>
      <c r="AM66" s="155" t="str">
        <f ca="1">IFERROR(AVERAGEIF('PMO REAL'!$F$12:$US$12,'PMO PREV'!AM$63,'PMO REAL'!$F17:$US17),"")</f>
        <v/>
      </c>
      <c r="AN66" s="155" t="str">
        <f ca="1">IFERROR(AVERAGEIF('PMO REAL'!$F$12:$US$12,'PMO PREV'!AN$63,'PMO REAL'!$F17:$US17),"")</f>
        <v/>
      </c>
      <c r="AO66" s="155" t="str">
        <f ca="1">IFERROR(AVERAGEIF('PMO REAL'!$F$12:$US$12,'PMO PREV'!AO$63,'PMO REAL'!$F17:$US17),"")</f>
        <v/>
      </c>
      <c r="AP66" s="155" t="str">
        <f ca="1">IFERROR(AVERAGEIF('PMO REAL'!$F$12:$US$12,'PMO PREV'!AP$63,'PMO REAL'!$F17:$US17),"")</f>
        <v/>
      </c>
      <c r="AQ66" s="155" t="str">
        <f ca="1">IFERROR(AVERAGEIF('PMO REAL'!$F$12:$US$12,'PMO PREV'!AQ$63,'PMO REAL'!$F17:$US17),"")</f>
        <v/>
      </c>
      <c r="AR66" s="155" t="str">
        <f ca="1">IFERROR(AVERAGEIF('PMO REAL'!$F$12:$US$12,'PMO PREV'!AR$63,'PMO REAL'!$F17:$US17),"")</f>
        <v/>
      </c>
      <c r="AS66" s="155" t="str">
        <f ca="1">IFERROR(AVERAGEIF('PMO REAL'!$F$12:$US$12,'PMO PREV'!AS$63,'PMO REAL'!$F17:$US17),"")</f>
        <v/>
      </c>
      <c r="AT66" s="155" t="str">
        <f ca="1">IFERROR(AVERAGEIF('PMO REAL'!$F$12:$US$12,'PMO PREV'!AT$63,'PMO REAL'!$F17:$US17),"")</f>
        <v/>
      </c>
      <c r="AU66" s="155" t="str">
        <f ca="1">IFERROR(AVERAGEIF('PMO REAL'!$F$12:$US$12,'PMO PREV'!AU$63,'PMO REAL'!$F17:$US17),"")</f>
        <v/>
      </c>
      <c r="AV66" s="155" t="str">
        <f ca="1">IFERROR(AVERAGEIF('PMO REAL'!$F$12:$US$12,'PMO PREV'!AV$63,'PMO REAL'!$F17:$US17),"")</f>
        <v/>
      </c>
      <c r="AW66" s="155" t="str">
        <f ca="1">IFERROR(AVERAGEIF('PMO REAL'!$F$12:$US$12,'PMO PREV'!AW$63,'PMO REAL'!$F17:$US17),"")</f>
        <v/>
      </c>
      <c r="AX66" s="155" t="str">
        <f ca="1">IFERROR(AVERAGEIF('PMO REAL'!$F$12:$US$12,'PMO PREV'!AX$63,'PMO REAL'!$F17:$US17),"")</f>
        <v/>
      </c>
      <c r="AY66" s="155" t="str">
        <f ca="1">IFERROR(AVERAGEIF('PMO REAL'!$F$12:$US$12,'PMO PREV'!AY$63,'PMO REAL'!$F17:$US17),"")</f>
        <v/>
      </c>
      <c r="AZ66" s="155" t="str">
        <f ca="1">IFERROR(AVERAGEIF('PMO REAL'!$F$12:$US$12,'PMO PREV'!AZ$63,'PMO REAL'!$F17:$US17),"")</f>
        <v/>
      </c>
      <c r="BA66" s="155" t="str">
        <f ca="1">IFERROR(AVERAGEIF('PMO REAL'!$F$12:$US$12,'PMO PREV'!BA$63,'PMO REAL'!$F17:$US17),"")</f>
        <v/>
      </c>
      <c r="BB66" s="155" t="str">
        <f ca="1">IFERROR(AVERAGEIF('PMO REAL'!$F$12:$US$12,'PMO PREV'!BB$63,'PMO REAL'!$F17:$US17),"")</f>
        <v/>
      </c>
      <c r="BC66" s="155" t="str">
        <f ca="1">IFERROR(AVERAGEIF('PMO REAL'!$F$12:$US$12,'PMO PREV'!BC$63,'PMO REAL'!$F17:$US17),"")</f>
        <v/>
      </c>
      <c r="BD66" s="155" t="str">
        <f ca="1">IFERROR(AVERAGEIF('PMO REAL'!$F$12:$US$12,'PMO PREV'!BD$63,'PMO REAL'!$F17:$US17),"")</f>
        <v/>
      </c>
      <c r="BE66" s="155" t="str">
        <f ca="1">IFERROR(AVERAGEIF('PMO REAL'!$F$12:$US$12,'PMO PREV'!BE$63,'PMO REAL'!$F17:$US17),"")</f>
        <v/>
      </c>
      <c r="BF66" s="155" t="str">
        <f ca="1">IFERROR(AVERAGEIF('PMO REAL'!$F$12:$US$12,'PMO PREV'!BF$63,'PMO REAL'!$F17:$US17),"")</f>
        <v/>
      </c>
      <c r="BG66" s="155" t="str">
        <f ca="1">IFERROR(AVERAGEIF('PMO REAL'!$F$12:$US$12,'PMO PREV'!BG$63,'PMO REAL'!$F17:$US17),"")</f>
        <v/>
      </c>
      <c r="BH66" s="155" t="str">
        <f ca="1">IFERROR(AVERAGEIF('PMO REAL'!$F$12:$US$12,'PMO PREV'!BH$63,'PMO REAL'!$F17:$US17),"")</f>
        <v/>
      </c>
      <c r="BI66" s="155" t="str">
        <f ca="1">IFERROR(AVERAGEIF('PMO REAL'!$F$12:$US$12,'PMO PREV'!BI$63,'PMO REAL'!$F17:$US17),"")</f>
        <v/>
      </c>
      <c r="BJ66" s="155" t="str">
        <f ca="1">IFERROR(AVERAGEIF('PMO REAL'!$F$12:$US$12,'PMO PREV'!BJ$63,'PMO REAL'!$F17:$US17),"")</f>
        <v/>
      </c>
      <c r="BK66" s="155" t="str">
        <f ca="1">IFERROR(AVERAGEIF('PMO REAL'!$F$12:$US$12,'PMO PREV'!BK$63,'PMO REAL'!$F17:$US17),"")</f>
        <v/>
      </c>
      <c r="BL66" s="155" t="str">
        <f ca="1">IFERROR(AVERAGEIF('PMO REAL'!$F$12:$US$12,'PMO PREV'!BL$63,'PMO REAL'!$F17:$US17),"")</f>
        <v/>
      </c>
      <c r="BM66" s="155" t="str">
        <f ca="1">IFERROR(AVERAGEIF('PMO REAL'!$F$12:$US$12,'PMO PREV'!BM$63,'PMO REAL'!$F17:$US17),"")</f>
        <v/>
      </c>
      <c r="BN66" s="155" t="str">
        <f ca="1">IFERROR(AVERAGEIF('PMO REAL'!$F$12:$US$12,'PMO PREV'!BN$63,'PMO REAL'!$F17:$US17),"")</f>
        <v/>
      </c>
      <c r="BO66" s="155" t="str">
        <f ca="1">IFERROR(AVERAGEIF('PMO REAL'!$F$12:$US$12,'PMO PREV'!BO$63,'PMO REAL'!$F17:$US17),"")</f>
        <v/>
      </c>
      <c r="BP66" s="155" t="str">
        <f ca="1">IFERROR(AVERAGEIF('PMO REAL'!$F$12:$US$12,'PMO PREV'!BP$63,'PMO REAL'!$F17:$US17),"")</f>
        <v/>
      </c>
      <c r="BQ66" s="155" t="str">
        <f ca="1">IFERROR(AVERAGEIF('PMO REAL'!$F$12:$US$12,'PMO PREV'!BQ$63,'PMO REAL'!$F17:$US17),"")</f>
        <v/>
      </c>
      <c r="BR66" s="155" t="str">
        <f ca="1">IFERROR(AVERAGEIF('PMO REAL'!$F$12:$US$12,'PMO PREV'!BR$63,'PMO REAL'!$F17:$US17),"")</f>
        <v/>
      </c>
      <c r="BS66" s="155" t="str">
        <f ca="1">IFERROR(AVERAGEIF('PMO REAL'!$F$12:$US$12,'PMO PREV'!BS$63,'PMO REAL'!$F17:$US17),"")</f>
        <v/>
      </c>
      <c r="BT66" s="155" t="str">
        <f ca="1">IFERROR(AVERAGEIF('PMO REAL'!$F$12:$US$12,'PMO PREV'!BT$63,'PMO REAL'!$F17:$US17),"")</f>
        <v/>
      </c>
      <c r="BU66" s="155" t="str">
        <f ca="1">IFERROR(AVERAGEIF('PMO REAL'!$F$12:$US$12,'PMO PREV'!BU$63,'PMO REAL'!$F17:$US17),"")</f>
        <v/>
      </c>
      <c r="BV66" s="155" t="str">
        <f ca="1">IFERROR(AVERAGEIF('PMO REAL'!$F$12:$US$12,'PMO PREV'!BV$63,'PMO REAL'!$F17:$US17),"")</f>
        <v/>
      </c>
      <c r="BW66" s="155" t="str">
        <f ca="1">IFERROR(AVERAGEIF('PMO REAL'!$F$12:$US$12,'PMO PREV'!BW$63,'PMO REAL'!$F17:$US17),"")</f>
        <v/>
      </c>
      <c r="BX66" s="155" t="str">
        <f ca="1">IFERROR(AVERAGEIF('PMO REAL'!$F$12:$US$12,'PMO PREV'!BX$63,'PMO REAL'!$F17:$US17),"")</f>
        <v/>
      </c>
      <c r="BY66" s="155" t="str">
        <f ca="1">IFERROR(AVERAGEIF('PMO REAL'!$F$12:$US$12,'PMO PREV'!BY$63,'PMO REAL'!$F17:$US17),"")</f>
        <v/>
      </c>
      <c r="BZ66" s="155" t="str">
        <f ca="1">IFERROR(AVERAGEIF('PMO REAL'!$F$12:$US$12,'PMO PREV'!BZ$63,'PMO REAL'!$F17:$US17),"")</f>
        <v/>
      </c>
      <c r="CA66" s="155" t="str">
        <f ca="1">IFERROR(AVERAGEIF('PMO REAL'!$F$12:$US$12,'PMO PREV'!CA$63,'PMO REAL'!$F17:$US17),"")</f>
        <v/>
      </c>
      <c r="CB66" s="155" t="str">
        <f ca="1">IFERROR(AVERAGEIF('PMO REAL'!$F$12:$US$12,'PMO PREV'!CB$63,'PMO REAL'!$F17:$US17),"")</f>
        <v/>
      </c>
      <c r="CC66" s="155" t="str">
        <f ca="1">IFERROR(AVERAGEIF('PMO REAL'!$F$12:$US$12,'PMO PREV'!CC$63,'PMO REAL'!$F17:$US17),"")</f>
        <v/>
      </c>
      <c r="CD66" s="160"/>
      <c r="CE66" s="161"/>
      <c r="CF66" s="161"/>
      <c r="CG66" s="161"/>
      <c r="CH66" s="95"/>
      <c r="CI66" s="92"/>
      <c r="CJ66" s="92"/>
      <c r="CK66" s="92"/>
      <c r="CL66" s="92"/>
      <c r="CM66" s="92"/>
      <c r="CN66" s="92"/>
      <c r="CO66" s="92"/>
    </row>
    <row r="67" spans="2:93" ht="15.75" customHeight="1" x14ac:dyDescent="0.3">
      <c r="B67" s="158" t="s">
        <v>83</v>
      </c>
      <c r="C67" s="107" t="s">
        <v>148</v>
      </c>
      <c r="D67" s="152" t="str">
        <f t="shared" ca="1" si="16"/>
        <v/>
      </c>
      <c r="E67" s="159" t="str">
        <f t="shared" ca="1" si="17"/>
        <v/>
      </c>
      <c r="F67" s="155" t="str">
        <f ca="1">IFERROR(AVERAGEIF('PMO REAL'!$F$12:$US$12,'PMO PREV'!F$63,'PMO REAL'!$F18:$US18),"")</f>
        <v/>
      </c>
      <c r="G67" s="155" t="str">
        <f ca="1">IFERROR(AVERAGEIF('PMO REAL'!$F$12:$US$12,'PMO PREV'!G$63,'PMO REAL'!$F18:$US18),"")</f>
        <v/>
      </c>
      <c r="H67" s="155" t="str">
        <f ca="1">IFERROR(AVERAGEIF('PMO REAL'!$F$12:$US$12,'PMO PREV'!H$63,'PMO REAL'!$F18:$US18),"")</f>
        <v/>
      </c>
      <c r="I67" s="155" t="str">
        <f ca="1">IFERROR(AVERAGEIF('PMO REAL'!$F$12:$US$12,'PMO PREV'!I$63,'PMO REAL'!$F18:$US18),"")</f>
        <v/>
      </c>
      <c r="J67" s="155" t="str">
        <f ca="1">IFERROR(AVERAGEIF('PMO REAL'!$F$12:$US$12,'PMO PREV'!J$63,'PMO REAL'!$F18:$US18),"")</f>
        <v/>
      </c>
      <c r="K67" s="155" t="str">
        <f ca="1">IFERROR(AVERAGEIF('PMO REAL'!$F$12:$US$12,'PMO PREV'!K$63,'PMO REAL'!$F18:$US18),"")</f>
        <v/>
      </c>
      <c r="L67" s="155" t="str">
        <f ca="1">IFERROR(AVERAGEIF('PMO REAL'!$F$12:$US$12,'PMO PREV'!L$63,'PMO REAL'!$F18:$US18),"")</f>
        <v/>
      </c>
      <c r="M67" s="155" t="str">
        <f ca="1">IFERROR(AVERAGEIF('PMO REAL'!$F$12:$US$12,'PMO PREV'!M$63,'PMO REAL'!$F18:$US18),"")</f>
        <v/>
      </c>
      <c r="N67" s="155" t="str">
        <f ca="1">IFERROR(AVERAGEIF('PMO REAL'!$F$12:$US$12,'PMO PREV'!N$63,'PMO REAL'!$F18:$US18),"")</f>
        <v/>
      </c>
      <c r="O67" s="155" t="str">
        <f ca="1">IFERROR(AVERAGEIF('PMO REAL'!$F$12:$US$12,'PMO PREV'!O$63,'PMO REAL'!$F18:$US18),"")</f>
        <v/>
      </c>
      <c r="P67" s="155" t="str">
        <f ca="1">IFERROR(AVERAGEIF('PMO REAL'!$F$12:$US$12,'PMO PREV'!P$63,'PMO REAL'!$F18:$US18),"")</f>
        <v/>
      </c>
      <c r="Q67" s="155" t="str">
        <f ca="1">IFERROR(AVERAGEIF('PMO REAL'!$F$12:$US$12,'PMO PREV'!Q$63,'PMO REAL'!$F18:$US18),"")</f>
        <v/>
      </c>
      <c r="R67" s="155" t="str">
        <f ca="1">IFERROR(AVERAGEIF('PMO REAL'!$F$12:$US$12,'PMO PREV'!R$63,'PMO REAL'!$F18:$US18),"")</f>
        <v/>
      </c>
      <c r="S67" s="155" t="str">
        <f ca="1">IFERROR(AVERAGEIF('PMO REAL'!$F$12:$US$12,'PMO PREV'!S$63,'PMO REAL'!$F18:$US18),"")</f>
        <v/>
      </c>
      <c r="T67" s="155" t="str">
        <f ca="1">IFERROR(AVERAGEIF('PMO REAL'!$F$12:$US$12,'PMO PREV'!T$63,'PMO REAL'!$F18:$US18),"")</f>
        <v/>
      </c>
      <c r="U67" s="155" t="str">
        <f ca="1">IFERROR(AVERAGEIF('PMO REAL'!$F$12:$US$12,'PMO PREV'!U$63,'PMO REAL'!$F18:$US18),"")</f>
        <v/>
      </c>
      <c r="V67" s="155" t="str">
        <f ca="1">IFERROR(AVERAGEIF('PMO REAL'!$F$12:$US$12,'PMO PREV'!V$63,'PMO REAL'!$F18:$US18),"")</f>
        <v/>
      </c>
      <c r="W67" s="155" t="str">
        <f ca="1">IFERROR(AVERAGEIF('PMO REAL'!$F$12:$US$12,'PMO PREV'!W$63,'PMO REAL'!$F18:$US18),"")</f>
        <v/>
      </c>
      <c r="X67" s="155" t="str">
        <f ca="1">IFERROR(AVERAGEIF('PMO REAL'!$F$12:$US$12,'PMO PREV'!X$63,'PMO REAL'!$F18:$US18),"")</f>
        <v/>
      </c>
      <c r="Y67" s="155" t="str">
        <f ca="1">IFERROR(AVERAGEIF('PMO REAL'!$F$12:$US$12,'PMO PREV'!Y$63,'PMO REAL'!$F18:$US18),"")</f>
        <v/>
      </c>
      <c r="Z67" s="155" t="str">
        <f ca="1">IFERROR(AVERAGEIF('PMO REAL'!$F$12:$US$12,'PMO PREV'!Z$63,'PMO REAL'!$F18:$US18),"")</f>
        <v/>
      </c>
      <c r="AA67" s="155" t="str">
        <f ca="1">IFERROR(AVERAGEIF('PMO REAL'!$F$12:$US$12,'PMO PREV'!AA$63,'PMO REAL'!$F18:$US18),"")</f>
        <v/>
      </c>
      <c r="AB67" s="155" t="str">
        <f ca="1">IFERROR(AVERAGEIF('PMO REAL'!$F$12:$US$12,'PMO PREV'!AB$63,'PMO REAL'!$F18:$US18),"")</f>
        <v/>
      </c>
      <c r="AC67" s="155" t="str">
        <f ca="1">IFERROR(AVERAGEIF('PMO REAL'!$F$12:$US$12,'PMO PREV'!AC$63,'PMO REAL'!$F18:$US18),"")</f>
        <v/>
      </c>
      <c r="AD67" s="155" t="str">
        <f ca="1">IFERROR(AVERAGEIF('PMO REAL'!$F$12:$US$12,'PMO PREV'!AD$63,'PMO REAL'!$F18:$US18),"")</f>
        <v/>
      </c>
      <c r="AE67" s="155" t="str">
        <f ca="1">IFERROR(AVERAGEIF('PMO REAL'!$F$12:$US$12,'PMO PREV'!AE$63,'PMO REAL'!$F18:$US18),"")</f>
        <v/>
      </c>
      <c r="AF67" s="155" t="str">
        <f ca="1">IFERROR(AVERAGEIF('PMO REAL'!$F$12:$US$12,'PMO PREV'!AF$63,'PMO REAL'!$F18:$US18),"")</f>
        <v/>
      </c>
      <c r="AG67" s="155" t="str">
        <f ca="1">IFERROR(AVERAGEIF('PMO REAL'!$F$12:$US$12,'PMO PREV'!AG$63,'PMO REAL'!$F18:$US18),"")</f>
        <v/>
      </c>
      <c r="AH67" s="155" t="str">
        <f ca="1">IFERROR(AVERAGEIF('PMO REAL'!$F$12:$US$12,'PMO PREV'!AH$63,'PMO REAL'!$F18:$US18),"")</f>
        <v/>
      </c>
      <c r="AI67" s="155" t="str">
        <f ca="1">IFERROR(AVERAGEIF('PMO REAL'!$F$12:$US$12,'PMO PREV'!AI$63,'PMO REAL'!$F18:$US18),"")</f>
        <v/>
      </c>
      <c r="AJ67" s="155" t="str">
        <f ca="1">IFERROR(AVERAGEIF('PMO REAL'!$F$12:$US$12,'PMO PREV'!AJ$63,'PMO REAL'!$F18:$US18),"")</f>
        <v/>
      </c>
      <c r="AK67" s="155" t="str">
        <f ca="1">IFERROR(AVERAGEIF('PMO REAL'!$F$12:$US$12,'PMO PREV'!AK$63,'PMO REAL'!$F18:$US18),"")</f>
        <v/>
      </c>
      <c r="AL67" s="155" t="str">
        <f ca="1">IFERROR(AVERAGEIF('PMO REAL'!$F$12:$US$12,'PMO PREV'!AL$63,'PMO REAL'!$F18:$US18),"")</f>
        <v/>
      </c>
      <c r="AM67" s="155" t="str">
        <f ca="1">IFERROR(AVERAGEIF('PMO REAL'!$F$12:$US$12,'PMO PREV'!AM$63,'PMO REAL'!$F18:$US18),"")</f>
        <v/>
      </c>
      <c r="AN67" s="155" t="str">
        <f ca="1">IFERROR(AVERAGEIF('PMO REAL'!$F$12:$US$12,'PMO PREV'!AN$63,'PMO REAL'!$F18:$US18),"")</f>
        <v/>
      </c>
      <c r="AO67" s="155" t="str">
        <f ca="1">IFERROR(AVERAGEIF('PMO REAL'!$F$12:$US$12,'PMO PREV'!AO$63,'PMO REAL'!$F18:$US18),"")</f>
        <v/>
      </c>
      <c r="AP67" s="155" t="str">
        <f ca="1">IFERROR(AVERAGEIF('PMO REAL'!$F$12:$US$12,'PMO PREV'!AP$63,'PMO REAL'!$F18:$US18),"")</f>
        <v/>
      </c>
      <c r="AQ67" s="155" t="str">
        <f ca="1">IFERROR(AVERAGEIF('PMO REAL'!$F$12:$US$12,'PMO PREV'!AQ$63,'PMO REAL'!$F18:$US18),"")</f>
        <v/>
      </c>
      <c r="AR67" s="155" t="str">
        <f ca="1">IFERROR(AVERAGEIF('PMO REAL'!$F$12:$US$12,'PMO PREV'!AR$63,'PMO REAL'!$F18:$US18),"")</f>
        <v/>
      </c>
      <c r="AS67" s="155" t="str">
        <f ca="1">IFERROR(AVERAGEIF('PMO REAL'!$F$12:$US$12,'PMO PREV'!AS$63,'PMO REAL'!$F18:$US18),"")</f>
        <v/>
      </c>
      <c r="AT67" s="155" t="str">
        <f ca="1">IFERROR(AVERAGEIF('PMO REAL'!$F$12:$US$12,'PMO PREV'!AT$63,'PMO REAL'!$F18:$US18),"")</f>
        <v/>
      </c>
      <c r="AU67" s="155" t="str">
        <f ca="1">IFERROR(AVERAGEIF('PMO REAL'!$F$12:$US$12,'PMO PREV'!AU$63,'PMO REAL'!$F18:$US18),"")</f>
        <v/>
      </c>
      <c r="AV67" s="155" t="str">
        <f ca="1">IFERROR(AVERAGEIF('PMO REAL'!$F$12:$US$12,'PMO PREV'!AV$63,'PMO REAL'!$F18:$US18),"")</f>
        <v/>
      </c>
      <c r="AW67" s="155" t="str">
        <f ca="1">IFERROR(AVERAGEIF('PMO REAL'!$F$12:$US$12,'PMO PREV'!AW$63,'PMO REAL'!$F18:$US18),"")</f>
        <v/>
      </c>
      <c r="AX67" s="155" t="str">
        <f ca="1">IFERROR(AVERAGEIF('PMO REAL'!$F$12:$US$12,'PMO PREV'!AX$63,'PMO REAL'!$F18:$US18),"")</f>
        <v/>
      </c>
      <c r="AY67" s="155" t="str">
        <f ca="1">IFERROR(AVERAGEIF('PMO REAL'!$F$12:$US$12,'PMO PREV'!AY$63,'PMO REAL'!$F18:$US18),"")</f>
        <v/>
      </c>
      <c r="AZ67" s="155" t="str">
        <f ca="1">IFERROR(AVERAGEIF('PMO REAL'!$F$12:$US$12,'PMO PREV'!AZ$63,'PMO REAL'!$F18:$US18),"")</f>
        <v/>
      </c>
      <c r="BA67" s="155" t="str">
        <f ca="1">IFERROR(AVERAGEIF('PMO REAL'!$F$12:$US$12,'PMO PREV'!BA$63,'PMO REAL'!$F18:$US18),"")</f>
        <v/>
      </c>
      <c r="BB67" s="155" t="str">
        <f ca="1">IFERROR(AVERAGEIF('PMO REAL'!$F$12:$US$12,'PMO PREV'!BB$63,'PMO REAL'!$F18:$US18),"")</f>
        <v/>
      </c>
      <c r="BC67" s="155" t="str">
        <f ca="1">IFERROR(AVERAGEIF('PMO REAL'!$F$12:$US$12,'PMO PREV'!BC$63,'PMO REAL'!$F18:$US18),"")</f>
        <v/>
      </c>
      <c r="BD67" s="155" t="str">
        <f ca="1">IFERROR(AVERAGEIF('PMO REAL'!$F$12:$US$12,'PMO PREV'!BD$63,'PMO REAL'!$F18:$US18),"")</f>
        <v/>
      </c>
      <c r="BE67" s="155" t="str">
        <f ca="1">IFERROR(AVERAGEIF('PMO REAL'!$F$12:$US$12,'PMO PREV'!BE$63,'PMO REAL'!$F18:$US18),"")</f>
        <v/>
      </c>
      <c r="BF67" s="155" t="str">
        <f ca="1">IFERROR(AVERAGEIF('PMO REAL'!$F$12:$US$12,'PMO PREV'!BF$63,'PMO REAL'!$F18:$US18),"")</f>
        <v/>
      </c>
      <c r="BG67" s="155" t="str">
        <f ca="1">IFERROR(AVERAGEIF('PMO REAL'!$F$12:$US$12,'PMO PREV'!BG$63,'PMO REAL'!$F18:$US18),"")</f>
        <v/>
      </c>
      <c r="BH67" s="155" t="str">
        <f ca="1">IFERROR(AVERAGEIF('PMO REAL'!$F$12:$US$12,'PMO PREV'!BH$63,'PMO REAL'!$F18:$US18),"")</f>
        <v/>
      </c>
      <c r="BI67" s="155" t="str">
        <f ca="1">IFERROR(AVERAGEIF('PMO REAL'!$F$12:$US$12,'PMO PREV'!BI$63,'PMO REAL'!$F18:$US18),"")</f>
        <v/>
      </c>
      <c r="BJ67" s="155" t="str">
        <f ca="1">IFERROR(AVERAGEIF('PMO REAL'!$F$12:$US$12,'PMO PREV'!BJ$63,'PMO REAL'!$F18:$US18),"")</f>
        <v/>
      </c>
      <c r="BK67" s="155" t="str">
        <f ca="1">IFERROR(AVERAGEIF('PMO REAL'!$F$12:$US$12,'PMO PREV'!BK$63,'PMO REAL'!$F18:$US18),"")</f>
        <v/>
      </c>
      <c r="BL67" s="155" t="str">
        <f ca="1">IFERROR(AVERAGEIF('PMO REAL'!$F$12:$US$12,'PMO PREV'!BL$63,'PMO REAL'!$F18:$US18),"")</f>
        <v/>
      </c>
      <c r="BM67" s="155" t="str">
        <f ca="1">IFERROR(AVERAGEIF('PMO REAL'!$F$12:$US$12,'PMO PREV'!BM$63,'PMO REAL'!$F18:$US18),"")</f>
        <v/>
      </c>
      <c r="BN67" s="155" t="str">
        <f ca="1">IFERROR(AVERAGEIF('PMO REAL'!$F$12:$US$12,'PMO PREV'!BN$63,'PMO REAL'!$F18:$US18),"")</f>
        <v/>
      </c>
      <c r="BO67" s="155" t="str">
        <f ca="1">IFERROR(AVERAGEIF('PMO REAL'!$F$12:$US$12,'PMO PREV'!BO$63,'PMO REAL'!$F18:$US18),"")</f>
        <v/>
      </c>
      <c r="BP67" s="155" t="str">
        <f ca="1">IFERROR(AVERAGEIF('PMO REAL'!$F$12:$US$12,'PMO PREV'!BP$63,'PMO REAL'!$F18:$US18),"")</f>
        <v/>
      </c>
      <c r="BQ67" s="155" t="str">
        <f ca="1">IFERROR(AVERAGEIF('PMO REAL'!$F$12:$US$12,'PMO PREV'!BQ$63,'PMO REAL'!$F18:$US18),"")</f>
        <v/>
      </c>
      <c r="BR67" s="155" t="str">
        <f ca="1">IFERROR(AVERAGEIF('PMO REAL'!$F$12:$US$12,'PMO PREV'!BR$63,'PMO REAL'!$F18:$US18),"")</f>
        <v/>
      </c>
      <c r="BS67" s="155" t="str">
        <f ca="1">IFERROR(AVERAGEIF('PMO REAL'!$F$12:$US$12,'PMO PREV'!BS$63,'PMO REAL'!$F18:$US18),"")</f>
        <v/>
      </c>
      <c r="BT67" s="155" t="str">
        <f ca="1">IFERROR(AVERAGEIF('PMO REAL'!$F$12:$US$12,'PMO PREV'!BT$63,'PMO REAL'!$F18:$US18),"")</f>
        <v/>
      </c>
      <c r="BU67" s="155" t="str">
        <f ca="1">IFERROR(AVERAGEIF('PMO REAL'!$F$12:$US$12,'PMO PREV'!BU$63,'PMO REAL'!$F18:$US18),"")</f>
        <v/>
      </c>
      <c r="BV67" s="155" t="str">
        <f ca="1">IFERROR(AVERAGEIF('PMO REAL'!$F$12:$US$12,'PMO PREV'!BV$63,'PMO REAL'!$F18:$US18),"")</f>
        <v/>
      </c>
      <c r="BW67" s="155" t="str">
        <f ca="1">IFERROR(AVERAGEIF('PMO REAL'!$F$12:$US$12,'PMO PREV'!BW$63,'PMO REAL'!$F18:$US18),"")</f>
        <v/>
      </c>
      <c r="BX67" s="155" t="str">
        <f ca="1">IFERROR(AVERAGEIF('PMO REAL'!$F$12:$US$12,'PMO PREV'!BX$63,'PMO REAL'!$F18:$US18),"")</f>
        <v/>
      </c>
      <c r="BY67" s="155" t="str">
        <f ca="1">IFERROR(AVERAGEIF('PMO REAL'!$F$12:$US$12,'PMO PREV'!BY$63,'PMO REAL'!$F18:$US18),"")</f>
        <v/>
      </c>
      <c r="BZ67" s="155" t="str">
        <f ca="1">IFERROR(AVERAGEIF('PMO REAL'!$F$12:$US$12,'PMO PREV'!BZ$63,'PMO REAL'!$F18:$US18),"")</f>
        <v/>
      </c>
      <c r="CA67" s="155" t="str">
        <f ca="1">IFERROR(AVERAGEIF('PMO REAL'!$F$12:$US$12,'PMO PREV'!CA$63,'PMO REAL'!$F18:$US18),"")</f>
        <v/>
      </c>
      <c r="CB67" s="155" t="str">
        <f ca="1">IFERROR(AVERAGEIF('PMO REAL'!$F$12:$US$12,'PMO PREV'!CB$63,'PMO REAL'!$F18:$US18),"")</f>
        <v/>
      </c>
      <c r="CC67" s="155" t="str">
        <f ca="1">IFERROR(AVERAGEIF('PMO REAL'!$F$12:$US$12,'PMO PREV'!CC$63,'PMO REAL'!$F18:$US18),"")</f>
        <v/>
      </c>
      <c r="CD67" s="160"/>
      <c r="CE67" s="161"/>
      <c r="CF67" s="161"/>
      <c r="CG67" s="161"/>
      <c r="CH67" s="95"/>
      <c r="CI67" s="92"/>
      <c r="CJ67" s="92"/>
      <c r="CK67" s="92"/>
      <c r="CL67" s="92"/>
      <c r="CM67" s="92"/>
      <c r="CN67" s="92"/>
      <c r="CO67" s="92"/>
    </row>
    <row r="68" spans="2:93" ht="15.75" customHeight="1" x14ac:dyDescent="0.3">
      <c r="B68" s="158" t="s">
        <v>81</v>
      </c>
      <c r="C68" s="107" t="s">
        <v>80</v>
      </c>
      <c r="D68" s="152" t="str">
        <f t="shared" ca="1" si="16"/>
        <v/>
      </c>
      <c r="E68" s="159" t="str">
        <f t="shared" ca="1" si="17"/>
        <v/>
      </c>
      <c r="F68" s="155" t="str">
        <f ca="1">IFERROR(AVERAGEIF('PMO REAL'!$F$12:$US$12,'PMO PREV'!F$63,'PMO REAL'!$F19:$US19),"")</f>
        <v/>
      </c>
      <c r="G68" s="155" t="str">
        <f ca="1">IFERROR(AVERAGEIF('PMO REAL'!$F$12:$US$12,'PMO PREV'!G$63,'PMO REAL'!$F19:$US19),"")</f>
        <v/>
      </c>
      <c r="H68" s="155" t="str">
        <f ca="1">IFERROR(AVERAGEIF('PMO REAL'!$F$12:$US$12,'PMO PREV'!H$63,'PMO REAL'!$F19:$US19),"")</f>
        <v/>
      </c>
      <c r="I68" s="155" t="str">
        <f ca="1">IFERROR(AVERAGEIF('PMO REAL'!$F$12:$US$12,'PMO PREV'!I$63,'PMO REAL'!$F19:$US19),"")</f>
        <v/>
      </c>
      <c r="J68" s="155" t="str">
        <f ca="1">IFERROR(AVERAGEIF('PMO REAL'!$F$12:$US$12,'PMO PREV'!J$63,'PMO REAL'!$F19:$US19),"")</f>
        <v/>
      </c>
      <c r="K68" s="155" t="str">
        <f ca="1">IFERROR(AVERAGEIF('PMO REAL'!$F$12:$US$12,'PMO PREV'!K$63,'PMO REAL'!$F19:$US19),"")</f>
        <v/>
      </c>
      <c r="L68" s="155" t="str">
        <f ca="1">IFERROR(AVERAGEIF('PMO REAL'!$F$12:$US$12,'PMO PREV'!L$63,'PMO REAL'!$F19:$US19),"")</f>
        <v/>
      </c>
      <c r="M68" s="155" t="str">
        <f ca="1">IFERROR(AVERAGEIF('PMO REAL'!$F$12:$US$12,'PMO PREV'!M$63,'PMO REAL'!$F19:$US19),"")</f>
        <v/>
      </c>
      <c r="N68" s="155" t="str">
        <f ca="1">IFERROR(AVERAGEIF('PMO REAL'!$F$12:$US$12,'PMO PREV'!N$63,'PMO REAL'!$F19:$US19),"")</f>
        <v/>
      </c>
      <c r="O68" s="155" t="str">
        <f ca="1">IFERROR(AVERAGEIF('PMO REAL'!$F$12:$US$12,'PMO PREV'!O$63,'PMO REAL'!$F19:$US19),"")</f>
        <v/>
      </c>
      <c r="P68" s="155" t="str">
        <f ca="1">IFERROR(AVERAGEIF('PMO REAL'!$F$12:$US$12,'PMO PREV'!P$63,'PMO REAL'!$F19:$US19),"")</f>
        <v/>
      </c>
      <c r="Q68" s="155" t="str">
        <f ca="1">IFERROR(AVERAGEIF('PMO REAL'!$F$12:$US$12,'PMO PREV'!Q$63,'PMO REAL'!$F19:$US19),"")</f>
        <v/>
      </c>
      <c r="R68" s="155" t="str">
        <f ca="1">IFERROR(AVERAGEIF('PMO REAL'!$F$12:$US$12,'PMO PREV'!R$63,'PMO REAL'!$F19:$US19),"")</f>
        <v/>
      </c>
      <c r="S68" s="155" t="str">
        <f ca="1">IFERROR(AVERAGEIF('PMO REAL'!$F$12:$US$12,'PMO PREV'!S$63,'PMO REAL'!$F19:$US19),"")</f>
        <v/>
      </c>
      <c r="T68" s="155" t="str">
        <f ca="1">IFERROR(AVERAGEIF('PMO REAL'!$F$12:$US$12,'PMO PREV'!T$63,'PMO REAL'!$F19:$US19),"")</f>
        <v/>
      </c>
      <c r="U68" s="155" t="str">
        <f ca="1">IFERROR(AVERAGEIF('PMO REAL'!$F$12:$US$12,'PMO PREV'!U$63,'PMO REAL'!$F19:$US19),"")</f>
        <v/>
      </c>
      <c r="V68" s="155" t="str">
        <f ca="1">IFERROR(AVERAGEIF('PMO REAL'!$F$12:$US$12,'PMO PREV'!V$63,'PMO REAL'!$F19:$US19),"")</f>
        <v/>
      </c>
      <c r="W68" s="155" t="str">
        <f ca="1">IFERROR(AVERAGEIF('PMO REAL'!$F$12:$US$12,'PMO PREV'!W$63,'PMO REAL'!$F19:$US19),"")</f>
        <v/>
      </c>
      <c r="X68" s="155" t="str">
        <f ca="1">IFERROR(AVERAGEIF('PMO REAL'!$F$12:$US$12,'PMO PREV'!X$63,'PMO REAL'!$F19:$US19),"")</f>
        <v/>
      </c>
      <c r="Y68" s="155" t="str">
        <f ca="1">IFERROR(AVERAGEIF('PMO REAL'!$F$12:$US$12,'PMO PREV'!Y$63,'PMO REAL'!$F19:$US19),"")</f>
        <v/>
      </c>
      <c r="Z68" s="155" t="str">
        <f ca="1">IFERROR(AVERAGEIF('PMO REAL'!$F$12:$US$12,'PMO PREV'!Z$63,'PMO REAL'!$F19:$US19),"")</f>
        <v/>
      </c>
      <c r="AA68" s="155" t="str">
        <f ca="1">IFERROR(AVERAGEIF('PMO REAL'!$F$12:$US$12,'PMO PREV'!AA$63,'PMO REAL'!$F19:$US19),"")</f>
        <v/>
      </c>
      <c r="AB68" s="155" t="str">
        <f ca="1">IFERROR(AVERAGEIF('PMO REAL'!$F$12:$US$12,'PMO PREV'!AB$63,'PMO REAL'!$F19:$US19),"")</f>
        <v/>
      </c>
      <c r="AC68" s="155" t="str">
        <f ca="1">IFERROR(AVERAGEIF('PMO REAL'!$F$12:$US$12,'PMO PREV'!AC$63,'PMO REAL'!$F19:$US19),"")</f>
        <v/>
      </c>
      <c r="AD68" s="155" t="str">
        <f ca="1">IFERROR(AVERAGEIF('PMO REAL'!$F$12:$US$12,'PMO PREV'!AD$63,'PMO REAL'!$F19:$US19),"")</f>
        <v/>
      </c>
      <c r="AE68" s="155" t="str">
        <f ca="1">IFERROR(AVERAGEIF('PMO REAL'!$F$12:$US$12,'PMO PREV'!AE$63,'PMO REAL'!$F19:$US19),"")</f>
        <v/>
      </c>
      <c r="AF68" s="155" t="str">
        <f ca="1">IFERROR(AVERAGEIF('PMO REAL'!$F$12:$US$12,'PMO PREV'!AF$63,'PMO REAL'!$F19:$US19),"")</f>
        <v/>
      </c>
      <c r="AG68" s="155" t="str">
        <f ca="1">IFERROR(AVERAGEIF('PMO REAL'!$F$12:$US$12,'PMO PREV'!AG$63,'PMO REAL'!$F19:$US19),"")</f>
        <v/>
      </c>
      <c r="AH68" s="155" t="str">
        <f ca="1">IFERROR(AVERAGEIF('PMO REAL'!$F$12:$US$12,'PMO PREV'!AH$63,'PMO REAL'!$F19:$US19),"")</f>
        <v/>
      </c>
      <c r="AI68" s="155" t="str">
        <f ca="1">IFERROR(AVERAGEIF('PMO REAL'!$F$12:$US$12,'PMO PREV'!AI$63,'PMO REAL'!$F19:$US19),"")</f>
        <v/>
      </c>
      <c r="AJ68" s="155" t="str">
        <f ca="1">IFERROR(AVERAGEIF('PMO REAL'!$F$12:$US$12,'PMO PREV'!AJ$63,'PMO REAL'!$F19:$US19),"")</f>
        <v/>
      </c>
      <c r="AK68" s="155" t="str">
        <f ca="1">IFERROR(AVERAGEIF('PMO REAL'!$F$12:$US$12,'PMO PREV'!AK$63,'PMO REAL'!$F19:$US19),"")</f>
        <v/>
      </c>
      <c r="AL68" s="155" t="str">
        <f ca="1">IFERROR(AVERAGEIF('PMO REAL'!$F$12:$US$12,'PMO PREV'!AL$63,'PMO REAL'!$F19:$US19),"")</f>
        <v/>
      </c>
      <c r="AM68" s="155" t="str">
        <f ca="1">IFERROR(AVERAGEIF('PMO REAL'!$F$12:$US$12,'PMO PREV'!AM$63,'PMO REAL'!$F19:$US19),"")</f>
        <v/>
      </c>
      <c r="AN68" s="155" t="str">
        <f ca="1">IFERROR(AVERAGEIF('PMO REAL'!$F$12:$US$12,'PMO PREV'!AN$63,'PMO REAL'!$F19:$US19),"")</f>
        <v/>
      </c>
      <c r="AO68" s="155" t="str">
        <f ca="1">IFERROR(AVERAGEIF('PMO REAL'!$F$12:$US$12,'PMO PREV'!AO$63,'PMO REAL'!$F19:$US19),"")</f>
        <v/>
      </c>
      <c r="AP68" s="155" t="str">
        <f ca="1">IFERROR(AVERAGEIF('PMO REAL'!$F$12:$US$12,'PMO PREV'!AP$63,'PMO REAL'!$F19:$US19),"")</f>
        <v/>
      </c>
      <c r="AQ68" s="155" t="str">
        <f ca="1">IFERROR(AVERAGEIF('PMO REAL'!$F$12:$US$12,'PMO PREV'!AQ$63,'PMO REAL'!$F19:$US19),"")</f>
        <v/>
      </c>
      <c r="AR68" s="155" t="str">
        <f ca="1">IFERROR(AVERAGEIF('PMO REAL'!$F$12:$US$12,'PMO PREV'!AR$63,'PMO REAL'!$F19:$US19),"")</f>
        <v/>
      </c>
      <c r="AS68" s="155" t="str">
        <f ca="1">IFERROR(AVERAGEIF('PMO REAL'!$F$12:$US$12,'PMO PREV'!AS$63,'PMO REAL'!$F19:$US19),"")</f>
        <v/>
      </c>
      <c r="AT68" s="155" t="str">
        <f ca="1">IFERROR(AVERAGEIF('PMO REAL'!$F$12:$US$12,'PMO PREV'!AT$63,'PMO REAL'!$F19:$US19),"")</f>
        <v/>
      </c>
      <c r="AU68" s="155" t="str">
        <f ca="1">IFERROR(AVERAGEIF('PMO REAL'!$F$12:$US$12,'PMO PREV'!AU$63,'PMO REAL'!$F19:$US19),"")</f>
        <v/>
      </c>
      <c r="AV68" s="155" t="str">
        <f ca="1">IFERROR(AVERAGEIF('PMO REAL'!$F$12:$US$12,'PMO PREV'!AV$63,'PMO REAL'!$F19:$US19),"")</f>
        <v/>
      </c>
      <c r="AW68" s="155" t="str">
        <f ca="1">IFERROR(AVERAGEIF('PMO REAL'!$F$12:$US$12,'PMO PREV'!AW$63,'PMO REAL'!$F19:$US19),"")</f>
        <v/>
      </c>
      <c r="AX68" s="155" t="str">
        <f ca="1">IFERROR(AVERAGEIF('PMO REAL'!$F$12:$US$12,'PMO PREV'!AX$63,'PMO REAL'!$F19:$US19),"")</f>
        <v/>
      </c>
      <c r="AY68" s="155" t="str">
        <f ca="1">IFERROR(AVERAGEIF('PMO REAL'!$F$12:$US$12,'PMO PREV'!AY$63,'PMO REAL'!$F19:$US19),"")</f>
        <v/>
      </c>
      <c r="AZ68" s="155" t="str">
        <f ca="1">IFERROR(AVERAGEIF('PMO REAL'!$F$12:$US$12,'PMO PREV'!AZ$63,'PMO REAL'!$F19:$US19),"")</f>
        <v/>
      </c>
      <c r="BA68" s="155" t="str">
        <f ca="1">IFERROR(AVERAGEIF('PMO REAL'!$F$12:$US$12,'PMO PREV'!BA$63,'PMO REAL'!$F19:$US19),"")</f>
        <v/>
      </c>
      <c r="BB68" s="155" t="str">
        <f ca="1">IFERROR(AVERAGEIF('PMO REAL'!$F$12:$US$12,'PMO PREV'!BB$63,'PMO REAL'!$F19:$US19),"")</f>
        <v/>
      </c>
      <c r="BC68" s="155" t="str">
        <f ca="1">IFERROR(AVERAGEIF('PMO REAL'!$F$12:$US$12,'PMO PREV'!BC$63,'PMO REAL'!$F19:$US19),"")</f>
        <v/>
      </c>
      <c r="BD68" s="155" t="str">
        <f ca="1">IFERROR(AVERAGEIF('PMO REAL'!$F$12:$US$12,'PMO PREV'!BD$63,'PMO REAL'!$F19:$US19),"")</f>
        <v/>
      </c>
      <c r="BE68" s="155" t="str">
        <f ca="1">IFERROR(AVERAGEIF('PMO REAL'!$F$12:$US$12,'PMO PREV'!BE$63,'PMO REAL'!$F19:$US19),"")</f>
        <v/>
      </c>
      <c r="BF68" s="155" t="str">
        <f ca="1">IFERROR(AVERAGEIF('PMO REAL'!$F$12:$US$12,'PMO PREV'!BF$63,'PMO REAL'!$F19:$US19),"")</f>
        <v/>
      </c>
      <c r="BG68" s="155" t="str">
        <f ca="1">IFERROR(AVERAGEIF('PMO REAL'!$F$12:$US$12,'PMO PREV'!BG$63,'PMO REAL'!$F19:$US19),"")</f>
        <v/>
      </c>
      <c r="BH68" s="155" t="str">
        <f ca="1">IFERROR(AVERAGEIF('PMO REAL'!$F$12:$US$12,'PMO PREV'!BH$63,'PMO REAL'!$F19:$US19),"")</f>
        <v/>
      </c>
      <c r="BI68" s="155" t="str">
        <f ca="1">IFERROR(AVERAGEIF('PMO REAL'!$F$12:$US$12,'PMO PREV'!BI$63,'PMO REAL'!$F19:$US19),"")</f>
        <v/>
      </c>
      <c r="BJ68" s="155" t="str">
        <f ca="1">IFERROR(AVERAGEIF('PMO REAL'!$F$12:$US$12,'PMO PREV'!BJ$63,'PMO REAL'!$F19:$US19),"")</f>
        <v/>
      </c>
      <c r="BK68" s="155" t="str">
        <f ca="1">IFERROR(AVERAGEIF('PMO REAL'!$F$12:$US$12,'PMO PREV'!BK$63,'PMO REAL'!$F19:$US19),"")</f>
        <v/>
      </c>
      <c r="BL68" s="155" t="str">
        <f ca="1">IFERROR(AVERAGEIF('PMO REAL'!$F$12:$US$12,'PMO PREV'!BL$63,'PMO REAL'!$F19:$US19),"")</f>
        <v/>
      </c>
      <c r="BM68" s="155" t="str">
        <f ca="1">IFERROR(AVERAGEIF('PMO REAL'!$F$12:$US$12,'PMO PREV'!BM$63,'PMO REAL'!$F19:$US19),"")</f>
        <v/>
      </c>
      <c r="BN68" s="155" t="str">
        <f ca="1">IFERROR(AVERAGEIF('PMO REAL'!$F$12:$US$12,'PMO PREV'!BN$63,'PMO REAL'!$F19:$US19),"")</f>
        <v/>
      </c>
      <c r="BO68" s="155" t="str">
        <f ca="1">IFERROR(AVERAGEIF('PMO REAL'!$F$12:$US$12,'PMO PREV'!BO$63,'PMO REAL'!$F19:$US19),"")</f>
        <v/>
      </c>
      <c r="BP68" s="155" t="str">
        <f ca="1">IFERROR(AVERAGEIF('PMO REAL'!$F$12:$US$12,'PMO PREV'!BP$63,'PMO REAL'!$F19:$US19),"")</f>
        <v/>
      </c>
      <c r="BQ68" s="155" t="str">
        <f ca="1">IFERROR(AVERAGEIF('PMO REAL'!$F$12:$US$12,'PMO PREV'!BQ$63,'PMO REAL'!$F19:$US19),"")</f>
        <v/>
      </c>
      <c r="BR68" s="155" t="str">
        <f ca="1">IFERROR(AVERAGEIF('PMO REAL'!$F$12:$US$12,'PMO PREV'!BR$63,'PMO REAL'!$F19:$US19),"")</f>
        <v/>
      </c>
      <c r="BS68" s="155" t="str">
        <f ca="1">IFERROR(AVERAGEIF('PMO REAL'!$F$12:$US$12,'PMO PREV'!BS$63,'PMO REAL'!$F19:$US19),"")</f>
        <v/>
      </c>
      <c r="BT68" s="155" t="str">
        <f ca="1">IFERROR(AVERAGEIF('PMO REAL'!$F$12:$US$12,'PMO PREV'!BT$63,'PMO REAL'!$F19:$US19),"")</f>
        <v/>
      </c>
      <c r="BU68" s="155" t="str">
        <f ca="1">IFERROR(AVERAGEIF('PMO REAL'!$F$12:$US$12,'PMO PREV'!BU$63,'PMO REAL'!$F19:$US19),"")</f>
        <v/>
      </c>
      <c r="BV68" s="155" t="str">
        <f ca="1">IFERROR(AVERAGEIF('PMO REAL'!$F$12:$US$12,'PMO PREV'!BV$63,'PMO REAL'!$F19:$US19),"")</f>
        <v/>
      </c>
      <c r="BW68" s="155" t="str">
        <f ca="1">IFERROR(AVERAGEIF('PMO REAL'!$F$12:$US$12,'PMO PREV'!BW$63,'PMO REAL'!$F19:$US19),"")</f>
        <v/>
      </c>
      <c r="BX68" s="155" t="str">
        <f ca="1">IFERROR(AVERAGEIF('PMO REAL'!$F$12:$US$12,'PMO PREV'!BX$63,'PMO REAL'!$F19:$US19),"")</f>
        <v/>
      </c>
      <c r="BY68" s="155" t="str">
        <f ca="1">IFERROR(AVERAGEIF('PMO REAL'!$F$12:$US$12,'PMO PREV'!BY$63,'PMO REAL'!$F19:$US19),"")</f>
        <v/>
      </c>
      <c r="BZ68" s="155" t="str">
        <f ca="1">IFERROR(AVERAGEIF('PMO REAL'!$F$12:$US$12,'PMO PREV'!BZ$63,'PMO REAL'!$F19:$US19),"")</f>
        <v/>
      </c>
      <c r="CA68" s="155" t="str">
        <f ca="1">IFERROR(AVERAGEIF('PMO REAL'!$F$12:$US$12,'PMO PREV'!CA$63,'PMO REAL'!$F19:$US19),"")</f>
        <v/>
      </c>
      <c r="CB68" s="155" t="str">
        <f ca="1">IFERROR(AVERAGEIF('PMO REAL'!$F$12:$US$12,'PMO PREV'!CB$63,'PMO REAL'!$F19:$US19),"")</f>
        <v/>
      </c>
      <c r="CC68" s="155" t="str">
        <f ca="1">IFERROR(AVERAGEIF('PMO REAL'!$F$12:$US$12,'PMO PREV'!CC$63,'PMO REAL'!$F19:$US19),"")</f>
        <v/>
      </c>
      <c r="CD68" s="162"/>
      <c r="CE68" s="163"/>
      <c r="CF68" s="163"/>
      <c r="CG68" s="163"/>
      <c r="CH68" s="95"/>
      <c r="CI68" s="92"/>
      <c r="CJ68" s="92"/>
      <c r="CK68" s="92"/>
      <c r="CL68" s="92"/>
      <c r="CM68" s="92"/>
      <c r="CN68" s="92"/>
      <c r="CO68" s="92"/>
    </row>
    <row r="69" spans="2:93" ht="15.75" customHeight="1" x14ac:dyDescent="0.3">
      <c r="B69" s="158" t="s">
        <v>79</v>
      </c>
      <c r="C69" s="107" t="s">
        <v>82</v>
      </c>
      <c r="D69" s="152" t="str">
        <f t="shared" ca="1" si="16"/>
        <v/>
      </c>
      <c r="E69" s="159" t="str">
        <f t="shared" ca="1" si="17"/>
        <v/>
      </c>
      <c r="F69" s="155" t="str">
        <f ca="1">IFERROR(AVERAGEIF('PMO REAL'!$F$12:$US$12,'PMO PREV'!F$63,'PMO REAL'!$F20:$US20),"")</f>
        <v/>
      </c>
      <c r="G69" s="155" t="str">
        <f ca="1">IFERROR(AVERAGEIF('PMO REAL'!$F$12:$US$12,'PMO PREV'!G$63,'PMO REAL'!$F20:$US20),"")</f>
        <v/>
      </c>
      <c r="H69" s="155" t="str">
        <f ca="1">IFERROR(AVERAGEIF('PMO REAL'!$F$12:$US$12,'PMO PREV'!H$63,'PMO REAL'!$F20:$US20),"")</f>
        <v/>
      </c>
      <c r="I69" s="155" t="str">
        <f ca="1">IFERROR(AVERAGEIF('PMO REAL'!$F$12:$US$12,'PMO PREV'!I$63,'PMO REAL'!$F20:$US20),"")</f>
        <v/>
      </c>
      <c r="J69" s="155" t="str">
        <f ca="1">IFERROR(AVERAGEIF('PMO REAL'!$F$12:$US$12,'PMO PREV'!J$63,'PMO REAL'!$F20:$US20),"")</f>
        <v/>
      </c>
      <c r="K69" s="155" t="str">
        <f ca="1">IFERROR(AVERAGEIF('PMO REAL'!$F$12:$US$12,'PMO PREV'!K$63,'PMO REAL'!$F20:$US20),"")</f>
        <v/>
      </c>
      <c r="L69" s="155" t="str">
        <f ca="1">IFERROR(AVERAGEIF('PMO REAL'!$F$12:$US$12,'PMO PREV'!L$63,'PMO REAL'!$F20:$US20),"")</f>
        <v/>
      </c>
      <c r="M69" s="155" t="str">
        <f ca="1">IFERROR(AVERAGEIF('PMO REAL'!$F$12:$US$12,'PMO PREV'!M$63,'PMO REAL'!$F20:$US20),"")</f>
        <v/>
      </c>
      <c r="N69" s="155" t="str">
        <f ca="1">IFERROR(AVERAGEIF('PMO REAL'!$F$12:$US$12,'PMO PREV'!N$63,'PMO REAL'!$F20:$US20),"")</f>
        <v/>
      </c>
      <c r="O69" s="155" t="str">
        <f ca="1">IFERROR(AVERAGEIF('PMO REAL'!$F$12:$US$12,'PMO PREV'!O$63,'PMO REAL'!$F20:$US20),"")</f>
        <v/>
      </c>
      <c r="P69" s="155" t="str">
        <f ca="1">IFERROR(AVERAGEIF('PMO REAL'!$F$12:$US$12,'PMO PREV'!P$63,'PMO REAL'!$F20:$US20),"")</f>
        <v/>
      </c>
      <c r="Q69" s="155" t="str">
        <f ca="1">IFERROR(AVERAGEIF('PMO REAL'!$F$12:$US$12,'PMO PREV'!Q$63,'PMO REAL'!$F20:$US20),"")</f>
        <v/>
      </c>
      <c r="R69" s="155" t="str">
        <f ca="1">IFERROR(AVERAGEIF('PMO REAL'!$F$12:$US$12,'PMO PREV'!R$63,'PMO REAL'!$F20:$US20),"")</f>
        <v/>
      </c>
      <c r="S69" s="155" t="str">
        <f ca="1">IFERROR(AVERAGEIF('PMO REAL'!$F$12:$US$12,'PMO PREV'!S$63,'PMO REAL'!$F20:$US20),"")</f>
        <v/>
      </c>
      <c r="T69" s="155" t="str">
        <f ca="1">IFERROR(AVERAGEIF('PMO REAL'!$F$12:$US$12,'PMO PREV'!T$63,'PMO REAL'!$F20:$US20),"")</f>
        <v/>
      </c>
      <c r="U69" s="155" t="str">
        <f ca="1">IFERROR(AVERAGEIF('PMO REAL'!$F$12:$US$12,'PMO PREV'!U$63,'PMO REAL'!$F20:$US20),"")</f>
        <v/>
      </c>
      <c r="V69" s="155" t="str">
        <f ca="1">IFERROR(AVERAGEIF('PMO REAL'!$F$12:$US$12,'PMO PREV'!V$63,'PMO REAL'!$F20:$US20),"")</f>
        <v/>
      </c>
      <c r="W69" s="155" t="str">
        <f ca="1">IFERROR(AVERAGEIF('PMO REAL'!$F$12:$US$12,'PMO PREV'!W$63,'PMO REAL'!$F20:$US20),"")</f>
        <v/>
      </c>
      <c r="X69" s="155" t="str">
        <f ca="1">IFERROR(AVERAGEIF('PMO REAL'!$F$12:$US$12,'PMO PREV'!X$63,'PMO REAL'!$F20:$US20),"")</f>
        <v/>
      </c>
      <c r="Y69" s="155" t="str">
        <f ca="1">IFERROR(AVERAGEIF('PMO REAL'!$F$12:$US$12,'PMO PREV'!Y$63,'PMO REAL'!$F20:$US20),"")</f>
        <v/>
      </c>
      <c r="Z69" s="155" t="str">
        <f ca="1">IFERROR(AVERAGEIF('PMO REAL'!$F$12:$US$12,'PMO PREV'!Z$63,'PMO REAL'!$F20:$US20),"")</f>
        <v/>
      </c>
      <c r="AA69" s="155" t="str">
        <f ca="1">IFERROR(AVERAGEIF('PMO REAL'!$F$12:$US$12,'PMO PREV'!AA$63,'PMO REAL'!$F20:$US20),"")</f>
        <v/>
      </c>
      <c r="AB69" s="155" t="str">
        <f ca="1">IFERROR(AVERAGEIF('PMO REAL'!$F$12:$US$12,'PMO PREV'!AB$63,'PMO REAL'!$F20:$US20),"")</f>
        <v/>
      </c>
      <c r="AC69" s="155" t="str">
        <f ca="1">IFERROR(AVERAGEIF('PMO REAL'!$F$12:$US$12,'PMO PREV'!AC$63,'PMO REAL'!$F20:$US20),"")</f>
        <v/>
      </c>
      <c r="AD69" s="155" t="str">
        <f ca="1">IFERROR(AVERAGEIF('PMO REAL'!$F$12:$US$12,'PMO PREV'!AD$63,'PMO REAL'!$F20:$US20),"")</f>
        <v/>
      </c>
      <c r="AE69" s="155" t="str">
        <f ca="1">IFERROR(AVERAGEIF('PMO REAL'!$F$12:$US$12,'PMO PREV'!AE$63,'PMO REAL'!$F20:$US20),"")</f>
        <v/>
      </c>
      <c r="AF69" s="155" t="str">
        <f ca="1">IFERROR(AVERAGEIF('PMO REAL'!$F$12:$US$12,'PMO PREV'!AF$63,'PMO REAL'!$F20:$US20),"")</f>
        <v/>
      </c>
      <c r="AG69" s="155" t="str">
        <f ca="1">IFERROR(AVERAGEIF('PMO REAL'!$F$12:$US$12,'PMO PREV'!AG$63,'PMO REAL'!$F20:$US20),"")</f>
        <v/>
      </c>
      <c r="AH69" s="155" t="str">
        <f ca="1">IFERROR(AVERAGEIF('PMO REAL'!$F$12:$US$12,'PMO PREV'!AH$63,'PMO REAL'!$F20:$US20),"")</f>
        <v/>
      </c>
      <c r="AI69" s="155" t="str">
        <f ca="1">IFERROR(AVERAGEIF('PMO REAL'!$F$12:$US$12,'PMO PREV'!AI$63,'PMO REAL'!$F20:$US20),"")</f>
        <v/>
      </c>
      <c r="AJ69" s="155" t="str">
        <f ca="1">IFERROR(AVERAGEIF('PMO REAL'!$F$12:$US$12,'PMO PREV'!AJ$63,'PMO REAL'!$F20:$US20),"")</f>
        <v/>
      </c>
      <c r="AK69" s="155" t="str">
        <f ca="1">IFERROR(AVERAGEIF('PMO REAL'!$F$12:$US$12,'PMO PREV'!AK$63,'PMO REAL'!$F20:$US20),"")</f>
        <v/>
      </c>
      <c r="AL69" s="155" t="str">
        <f ca="1">IFERROR(AVERAGEIF('PMO REAL'!$F$12:$US$12,'PMO PREV'!AL$63,'PMO REAL'!$F20:$US20),"")</f>
        <v/>
      </c>
      <c r="AM69" s="155" t="str">
        <f ca="1">IFERROR(AVERAGEIF('PMO REAL'!$F$12:$US$12,'PMO PREV'!AM$63,'PMO REAL'!$F20:$US20),"")</f>
        <v/>
      </c>
      <c r="AN69" s="155" t="str">
        <f ca="1">IFERROR(AVERAGEIF('PMO REAL'!$F$12:$US$12,'PMO PREV'!AN$63,'PMO REAL'!$F20:$US20),"")</f>
        <v/>
      </c>
      <c r="AO69" s="155" t="str">
        <f ca="1">IFERROR(AVERAGEIF('PMO REAL'!$F$12:$US$12,'PMO PREV'!AO$63,'PMO REAL'!$F20:$US20),"")</f>
        <v/>
      </c>
      <c r="AP69" s="155" t="str">
        <f ca="1">IFERROR(AVERAGEIF('PMO REAL'!$F$12:$US$12,'PMO PREV'!AP$63,'PMO REAL'!$F20:$US20),"")</f>
        <v/>
      </c>
      <c r="AQ69" s="155" t="str">
        <f ca="1">IFERROR(AVERAGEIF('PMO REAL'!$F$12:$US$12,'PMO PREV'!AQ$63,'PMO REAL'!$F20:$US20),"")</f>
        <v/>
      </c>
      <c r="AR69" s="155" t="str">
        <f ca="1">IFERROR(AVERAGEIF('PMO REAL'!$F$12:$US$12,'PMO PREV'!AR$63,'PMO REAL'!$F20:$US20),"")</f>
        <v/>
      </c>
      <c r="AS69" s="155" t="str">
        <f ca="1">IFERROR(AVERAGEIF('PMO REAL'!$F$12:$US$12,'PMO PREV'!AS$63,'PMO REAL'!$F20:$US20),"")</f>
        <v/>
      </c>
      <c r="AT69" s="155" t="str">
        <f ca="1">IFERROR(AVERAGEIF('PMO REAL'!$F$12:$US$12,'PMO PREV'!AT$63,'PMO REAL'!$F20:$US20),"")</f>
        <v/>
      </c>
      <c r="AU69" s="155" t="str">
        <f ca="1">IFERROR(AVERAGEIF('PMO REAL'!$F$12:$US$12,'PMO PREV'!AU$63,'PMO REAL'!$F20:$US20),"")</f>
        <v/>
      </c>
      <c r="AV69" s="155" t="str">
        <f ca="1">IFERROR(AVERAGEIF('PMO REAL'!$F$12:$US$12,'PMO PREV'!AV$63,'PMO REAL'!$F20:$US20),"")</f>
        <v/>
      </c>
      <c r="AW69" s="155" t="str">
        <f ca="1">IFERROR(AVERAGEIF('PMO REAL'!$F$12:$US$12,'PMO PREV'!AW$63,'PMO REAL'!$F20:$US20),"")</f>
        <v/>
      </c>
      <c r="AX69" s="155" t="str">
        <f ca="1">IFERROR(AVERAGEIF('PMO REAL'!$F$12:$US$12,'PMO PREV'!AX$63,'PMO REAL'!$F20:$US20),"")</f>
        <v/>
      </c>
      <c r="AY69" s="155" t="str">
        <f ca="1">IFERROR(AVERAGEIF('PMO REAL'!$F$12:$US$12,'PMO PREV'!AY$63,'PMO REAL'!$F20:$US20),"")</f>
        <v/>
      </c>
      <c r="AZ69" s="155" t="str">
        <f ca="1">IFERROR(AVERAGEIF('PMO REAL'!$F$12:$US$12,'PMO PREV'!AZ$63,'PMO REAL'!$F20:$US20),"")</f>
        <v/>
      </c>
      <c r="BA69" s="155" t="str">
        <f ca="1">IFERROR(AVERAGEIF('PMO REAL'!$F$12:$US$12,'PMO PREV'!BA$63,'PMO REAL'!$F20:$US20),"")</f>
        <v/>
      </c>
      <c r="BB69" s="155" t="str">
        <f ca="1">IFERROR(AVERAGEIF('PMO REAL'!$F$12:$US$12,'PMO PREV'!BB$63,'PMO REAL'!$F20:$US20),"")</f>
        <v/>
      </c>
      <c r="BC69" s="155" t="str">
        <f ca="1">IFERROR(AVERAGEIF('PMO REAL'!$F$12:$US$12,'PMO PREV'!BC$63,'PMO REAL'!$F20:$US20),"")</f>
        <v/>
      </c>
      <c r="BD69" s="155" t="str">
        <f ca="1">IFERROR(AVERAGEIF('PMO REAL'!$F$12:$US$12,'PMO PREV'!BD$63,'PMO REAL'!$F20:$US20),"")</f>
        <v/>
      </c>
      <c r="BE69" s="155" t="str">
        <f ca="1">IFERROR(AVERAGEIF('PMO REAL'!$F$12:$US$12,'PMO PREV'!BE$63,'PMO REAL'!$F20:$US20),"")</f>
        <v/>
      </c>
      <c r="BF69" s="155" t="str">
        <f ca="1">IFERROR(AVERAGEIF('PMO REAL'!$F$12:$US$12,'PMO PREV'!BF$63,'PMO REAL'!$F20:$US20),"")</f>
        <v/>
      </c>
      <c r="BG69" s="155" t="str">
        <f ca="1">IFERROR(AVERAGEIF('PMO REAL'!$F$12:$US$12,'PMO PREV'!BG$63,'PMO REAL'!$F20:$US20),"")</f>
        <v/>
      </c>
      <c r="BH69" s="155" t="str">
        <f ca="1">IFERROR(AVERAGEIF('PMO REAL'!$F$12:$US$12,'PMO PREV'!BH$63,'PMO REAL'!$F20:$US20),"")</f>
        <v/>
      </c>
      <c r="BI69" s="155" t="str">
        <f ca="1">IFERROR(AVERAGEIF('PMO REAL'!$F$12:$US$12,'PMO PREV'!BI$63,'PMO REAL'!$F20:$US20),"")</f>
        <v/>
      </c>
      <c r="BJ69" s="155" t="str">
        <f ca="1">IFERROR(AVERAGEIF('PMO REAL'!$F$12:$US$12,'PMO PREV'!BJ$63,'PMO REAL'!$F20:$US20),"")</f>
        <v/>
      </c>
      <c r="BK69" s="155" t="str">
        <f ca="1">IFERROR(AVERAGEIF('PMO REAL'!$F$12:$US$12,'PMO PREV'!BK$63,'PMO REAL'!$F20:$US20),"")</f>
        <v/>
      </c>
      <c r="BL69" s="155" t="str">
        <f ca="1">IFERROR(AVERAGEIF('PMO REAL'!$F$12:$US$12,'PMO PREV'!BL$63,'PMO REAL'!$F20:$US20),"")</f>
        <v/>
      </c>
      <c r="BM69" s="155" t="str">
        <f ca="1">IFERROR(AVERAGEIF('PMO REAL'!$F$12:$US$12,'PMO PREV'!BM$63,'PMO REAL'!$F20:$US20),"")</f>
        <v/>
      </c>
      <c r="BN69" s="155" t="str">
        <f ca="1">IFERROR(AVERAGEIF('PMO REAL'!$F$12:$US$12,'PMO PREV'!BN$63,'PMO REAL'!$F20:$US20),"")</f>
        <v/>
      </c>
      <c r="BO69" s="155" t="str">
        <f ca="1">IFERROR(AVERAGEIF('PMO REAL'!$F$12:$US$12,'PMO PREV'!BO$63,'PMO REAL'!$F20:$US20),"")</f>
        <v/>
      </c>
      <c r="BP69" s="155" t="str">
        <f ca="1">IFERROR(AVERAGEIF('PMO REAL'!$F$12:$US$12,'PMO PREV'!BP$63,'PMO REAL'!$F20:$US20),"")</f>
        <v/>
      </c>
      <c r="BQ69" s="155" t="str">
        <f ca="1">IFERROR(AVERAGEIF('PMO REAL'!$F$12:$US$12,'PMO PREV'!BQ$63,'PMO REAL'!$F20:$US20),"")</f>
        <v/>
      </c>
      <c r="BR69" s="155" t="str">
        <f ca="1">IFERROR(AVERAGEIF('PMO REAL'!$F$12:$US$12,'PMO PREV'!BR$63,'PMO REAL'!$F20:$US20),"")</f>
        <v/>
      </c>
      <c r="BS69" s="155" t="str">
        <f ca="1">IFERROR(AVERAGEIF('PMO REAL'!$F$12:$US$12,'PMO PREV'!BS$63,'PMO REAL'!$F20:$US20),"")</f>
        <v/>
      </c>
      <c r="BT69" s="155" t="str">
        <f ca="1">IFERROR(AVERAGEIF('PMO REAL'!$F$12:$US$12,'PMO PREV'!BT$63,'PMO REAL'!$F20:$US20),"")</f>
        <v/>
      </c>
      <c r="BU69" s="155" t="str">
        <f ca="1">IFERROR(AVERAGEIF('PMO REAL'!$F$12:$US$12,'PMO PREV'!BU$63,'PMO REAL'!$F20:$US20),"")</f>
        <v/>
      </c>
      <c r="BV69" s="155" t="str">
        <f ca="1">IFERROR(AVERAGEIF('PMO REAL'!$F$12:$US$12,'PMO PREV'!BV$63,'PMO REAL'!$F20:$US20),"")</f>
        <v/>
      </c>
      <c r="BW69" s="155" t="str">
        <f ca="1">IFERROR(AVERAGEIF('PMO REAL'!$F$12:$US$12,'PMO PREV'!BW$63,'PMO REAL'!$F20:$US20),"")</f>
        <v/>
      </c>
      <c r="BX69" s="155" t="str">
        <f ca="1">IFERROR(AVERAGEIF('PMO REAL'!$F$12:$US$12,'PMO PREV'!BX$63,'PMO REAL'!$F20:$US20),"")</f>
        <v/>
      </c>
      <c r="BY69" s="155" t="str">
        <f ca="1">IFERROR(AVERAGEIF('PMO REAL'!$F$12:$US$12,'PMO PREV'!BY$63,'PMO REAL'!$F20:$US20),"")</f>
        <v/>
      </c>
      <c r="BZ69" s="155" t="str">
        <f ca="1">IFERROR(AVERAGEIF('PMO REAL'!$F$12:$US$12,'PMO PREV'!BZ$63,'PMO REAL'!$F20:$US20),"")</f>
        <v/>
      </c>
      <c r="CA69" s="155" t="str">
        <f ca="1">IFERROR(AVERAGEIF('PMO REAL'!$F$12:$US$12,'PMO PREV'!CA$63,'PMO REAL'!$F20:$US20),"")</f>
        <v/>
      </c>
      <c r="CB69" s="155" t="str">
        <f ca="1">IFERROR(AVERAGEIF('PMO REAL'!$F$12:$US$12,'PMO PREV'!CB$63,'PMO REAL'!$F20:$US20),"")</f>
        <v/>
      </c>
      <c r="CC69" s="155" t="str">
        <f ca="1">IFERROR(AVERAGEIF('PMO REAL'!$F$12:$US$12,'PMO PREV'!CC$63,'PMO REAL'!$F20:$US20),"")</f>
        <v/>
      </c>
      <c r="CD69" s="160"/>
      <c r="CE69" s="161"/>
      <c r="CF69" s="161"/>
      <c r="CG69" s="161"/>
      <c r="CH69" s="95"/>
      <c r="CI69" s="92"/>
      <c r="CJ69" s="92"/>
      <c r="CK69" s="92"/>
      <c r="CL69" s="92"/>
      <c r="CM69" s="92"/>
      <c r="CN69" s="92"/>
      <c r="CO69" s="92"/>
    </row>
    <row r="70" spans="2:93" ht="15.75" customHeight="1" thickBot="1" x14ac:dyDescent="0.35">
      <c r="B70" s="164" t="s">
        <v>78</v>
      </c>
      <c r="C70" s="113" t="s">
        <v>77</v>
      </c>
      <c r="D70" s="152" t="str">
        <f t="shared" ca="1" si="16"/>
        <v/>
      </c>
      <c r="E70" s="159" t="str">
        <f t="shared" ca="1" si="17"/>
        <v/>
      </c>
      <c r="F70" s="155" t="str">
        <f ca="1">IFERROR(AVERAGEIF('PMO REAL'!$F$12:$US$12,'PMO PREV'!F$63,'PMO REAL'!$F21:$US21),"")</f>
        <v/>
      </c>
      <c r="G70" s="155" t="str">
        <f ca="1">IFERROR(AVERAGEIF('PMO REAL'!$F$12:$US$12,'PMO PREV'!G$63,'PMO REAL'!$F21:$US21),"")</f>
        <v/>
      </c>
      <c r="H70" s="155" t="str">
        <f ca="1">IFERROR(AVERAGEIF('PMO REAL'!$F$12:$US$12,'PMO PREV'!H$63,'PMO REAL'!$F21:$US21),"")</f>
        <v/>
      </c>
      <c r="I70" s="155" t="str">
        <f ca="1">IFERROR(AVERAGEIF('PMO REAL'!$F$12:$US$12,'PMO PREV'!I$63,'PMO REAL'!$F21:$US21),"")</f>
        <v/>
      </c>
      <c r="J70" s="155" t="str">
        <f ca="1">IFERROR(AVERAGEIF('PMO REAL'!$F$12:$US$12,'PMO PREV'!J$63,'PMO REAL'!$F21:$US21),"")</f>
        <v/>
      </c>
      <c r="K70" s="155" t="str">
        <f ca="1">IFERROR(AVERAGEIF('PMO REAL'!$F$12:$US$12,'PMO PREV'!K$63,'PMO REAL'!$F21:$US21),"")</f>
        <v/>
      </c>
      <c r="L70" s="155" t="str">
        <f ca="1">IFERROR(AVERAGEIF('PMO REAL'!$F$12:$US$12,'PMO PREV'!L$63,'PMO REAL'!$F21:$US21),"")</f>
        <v/>
      </c>
      <c r="M70" s="155" t="str">
        <f ca="1">IFERROR(AVERAGEIF('PMO REAL'!$F$12:$US$12,'PMO PREV'!M$63,'PMO REAL'!$F21:$US21),"")</f>
        <v/>
      </c>
      <c r="N70" s="155" t="str">
        <f ca="1">IFERROR(AVERAGEIF('PMO REAL'!$F$12:$US$12,'PMO PREV'!N$63,'PMO REAL'!$F21:$US21),"")</f>
        <v/>
      </c>
      <c r="O70" s="155" t="str">
        <f ca="1">IFERROR(AVERAGEIF('PMO REAL'!$F$12:$US$12,'PMO PREV'!O$63,'PMO REAL'!$F21:$US21),"")</f>
        <v/>
      </c>
      <c r="P70" s="155" t="str">
        <f ca="1">IFERROR(AVERAGEIF('PMO REAL'!$F$12:$US$12,'PMO PREV'!P$63,'PMO REAL'!$F21:$US21),"")</f>
        <v/>
      </c>
      <c r="Q70" s="155" t="str">
        <f ca="1">IFERROR(AVERAGEIF('PMO REAL'!$F$12:$US$12,'PMO PREV'!Q$63,'PMO REAL'!$F21:$US21),"")</f>
        <v/>
      </c>
      <c r="R70" s="155" t="str">
        <f ca="1">IFERROR(AVERAGEIF('PMO REAL'!$F$12:$US$12,'PMO PREV'!R$63,'PMO REAL'!$F21:$US21),"")</f>
        <v/>
      </c>
      <c r="S70" s="155" t="str">
        <f ca="1">IFERROR(AVERAGEIF('PMO REAL'!$F$12:$US$12,'PMO PREV'!S$63,'PMO REAL'!$F21:$US21),"")</f>
        <v/>
      </c>
      <c r="T70" s="155" t="str">
        <f ca="1">IFERROR(AVERAGEIF('PMO REAL'!$F$12:$US$12,'PMO PREV'!T$63,'PMO REAL'!$F21:$US21),"")</f>
        <v/>
      </c>
      <c r="U70" s="155" t="str">
        <f ca="1">IFERROR(AVERAGEIF('PMO REAL'!$F$12:$US$12,'PMO PREV'!U$63,'PMO REAL'!$F21:$US21),"")</f>
        <v/>
      </c>
      <c r="V70" s="155" t="str">
        <f ca="1">IFERROR(AVERAGEIF('PMO REAL'!$F$12:$US$12,'PMO PREV'!V$63,'PMO REAL'!$F21:$US21),"")</f>
        <v/>
      </c>
      <c r="W70" s="155" t="str">
        <f ca="1">IFERROR(AVERAGEIF('PMO REAL'!$F$12:$US$12,'PMO PREV'!W$63,'PMO REAL'!$F21:$US21),"")</f>
        <v/>
      </c>
      <c r="X70" s="155" t="str">
        <f ca="1">IFERROR(AVERAGEIF('PMO REAL'!$F$12:$US$12,'PMO PREV'!X$63,'PMO REAL'!$F21:$US21),"")</f>
        <v/>
      </c>
      <c r="Y70" s="155" t="str">
        <f ca="1">IFERROR(AVERAGEIF('PMO REAL'!$F$12:$US$12,'PMO PREV'!Y$63,'PMO REAL'!$F21:$US21),"")</f>
        <v/>
      </c>
      <c r="Z70" s="155" t="str">
        <f ca="1">IFERROR(AVERAGEIF('PMO REAL'!$F$12:$US$12,'PMO PREV'!Z$63,'PMO REAL'!$F21:$US21),"")</f>
        <v/>
      </c>
      <c r="AA70" s="155" t="str">
        <f ca="1">IFERROR(AVERAGEIF('PMO REAL'!$F$12:$US$12,'PMO PREV'!AA$63,'PMO REAL'!$F21:$US21),"")</f>
        <v/>
      </c>
      <c r="AB70" s="155" t="str">
        <f ca="1">IFERROR(AVERAGEIF('PMO REAL'!$F$12:$US$12,'PMO PREV'!AB$63,'PMO REAL'!$F21:$US21),"")</f>
        <v/>
      </c>
      <c r="AC70" s="155" t="str">
        <f ca="1">IFERROR(AVERAGEIF('PMO REAL'!$F$12:$US$12,'PMO PREV'!AC$63,'PMO REAL'!$F21:$US21),"")</f>
        <v/>
      </c>
      <c r="AD70" s="155" t="str">
        <f ca="1">IFERROR(AVERAGEIF('PMO REAL'!$F$12:$US$12,'PMO PREV'!AD$63,'PMO REAL'!$F21:$US21),"")</f>
        <v/>
      </c>
      <c r="AE70" s="155" t="str">
        <f ca="1">IFERROR(AVERAGEIF('PMO REAL'!$F$12:$US$12,'PMO PREV'!AE$63,'PMO REAL'!$F21:$US21),"")</f>
        <v/>
      </c>
      <c r="AF70" s="155" t="str">
        <f ca="1">IFERROR(AVERAGEIF('PMO REAL'!$F$12:$US$12,'PMO PREV'!AF$63,'PMO REAL'!$F21:$US21),"")</f>
        <v/>
      </c>
      <c r="AG70" s="155" t="str">
        <f ca="1">IFERROR(AVERAGEIF('PMO REAL'!$F$12:$US$12,'PMO PREV'!AG$63,'PMO REAL'!$F21:$US21),"")</f>
        <v/>
      </c>
      <c r="AH70" s="155" t="str">
        <f ca="1">IFERROR(AVERAGEIF('PMO REAL'!$F$12:$US$12,'PMO PREV'!AH$63,'PMO REAL'!$F21:$US21),"")</f>
        <v/>
      </c>
      <c r="AI70" s="155" t="str">
        <f ca="1">IFERROR(AVERAGEIF('PMO REAL'!$F$12:$US$12,'PMO PREV'!AI$63,'PMO REAL'!$F21:$US21),"")</f>
        <v/>
      </c>
      <c r="AJ70" s="155" t="str">
        <f ca="1">IFERROR(AVERAGEIF('PMO REAL'!$F$12:$US$12,'PMO PREV'!AJ$63,'PMO REAL'!$F21:$US21),"")</f>
        <v/>
      </c>
      <c r="AK70" s="155" t="str">
        <f ca="1">IFERROR(AVERAGEIF('PMO REAL'!$F$12:$US$12,'PMO PREV'!AK$63,'PMO REAL'!$F21:$US21),"")</f>
        <v/>
      </c>
      <c r="AL70" s="155" t="str">
        <f ca="1">IFERROR(AVERAGEIF('PMO REAL'!$F$12:$US$12,'PMO PREV'!AL$63,'PMO REAL'!$F21:$US21),"")</f>
        <v/>
      </c>
      <c r="AM70" s="155" t="str">
        <f ca="1">IFERROR(AVERAGEIF('PMO REAL'!$F$12:$US$12,'PMO PREV'!AM$63,'PMO REAL'!$F21:$US21),"")</f>
        <v/>
      </c>
      <c r="AN70" s="155" t="str">
        <f ca="1">IFERROR(AVERAGEIF('PMO REAL'!$F$12:$US$12,'PMO PREV'!AN$63,'PMO REAL'!$F21:$US21),"")</f>
        <v/>
      </c>
      <c r="AO70" s="155" t="str">
        <f ca="1">IFERROR(AVERAGEIF('PMO REAL'!$F$12:$US$12,'PMO PREV'!AO$63,'PMO REAL'!$F21:$US21),"")</f>
        <v/>
      </c>
      <c r="AP70" s="155" t="str">
        <f ca="1">IFERROR(AVERAGEIF('PMO REAL'!$F$12:$US$12,'PMO PREV'!AP$63,'PMO REAL'!$F21:$US21),"")</f>
        <v/>
      </c>
      <c r="AQ70" s="155" t="str">
        <f ca="1">IFERROR(AVERAGEIF('PMO REAL'!$F$12:$US$12,'PMO PREV'!AQ$63,'PMO REAL'!$F21:$US21),"")</f>
        <v/>
      </c>
      <c r="AR70" s="155" t="str">
        <f ca="1">IFERROR(AVERAGEIF('PMO REAL'!$F$12:$US$12,'PMO PREV'!AR$63,'PMO REAL'!$F21:$US21),"")</f>
        <v/>
      </c>
      <c r="AS70" s="155" t="str">
        <f ca="1">IFERROR(AVERAGEIF('PMO REAL'!$F$12:$US$12,'PMO PREV'!AS$63,'PMO REAL'!$F21:$US21),"")</f>
        <v/>
      </c>
      <c r="AT70" s="155" t="str">
        <f ca="1">IFERROR(AVERAGEIF('PMO REAL'!$F$12:$US$12,'PMO PREV'!AT$63,'PMO REAL'!$F21:$US21),"")</f>
        <v/>
      </c>
      <c r="AU70" s="155" t="str">
        <f ca="1">IFERROR(AVERAGEIF('PMO REAL'!$F$12:$US$12,'PMO PREV'!AU$63,'PMO REAL'!$F21:$US21),"")</f>
        <v/>
      </c>
      <c r="AV70" s="155" t="str">
        <f ca="1">IFERROR(AVERAGEIF('PMO REAL'!$F$12:$US$12,'PMO PREV'!AV$63,'PMO REAL'!$F21:$US21),"")</f>
        <v/>
      </c>
      <c r="AW70" s="155" t="str">
        <f ca="1">IFERROR(AVERAGEIF('PMO REAL'!$F$12:$US$12,'PMO PREV'!AW$63,'PMO REAL'!$F21:$US21),"")</f>
        <v/>
      </c>
      <c r="AX70" s="155" t="str">
        <f ca="1">IFERROR(AVERAGEIF('PMO REAL'!$F$12:$US$12,'PMO PREV'!AX$63,'PMO REAL'!$F21:$US21),"")</f>
        <v/>
      </c>
      <c r="AY70" s="155" t="str">
        <f ca="1">IFERROR(AVERAGEIF('PMO REAL'!$F$12:$US$12,'PMO PREV'!AY$63,'PMO REAL'!$F21:$US21),"")</f>
        <v/>
      </c>
      <c r="AZ70" s="155" t="str">
        <f ca="1">IFERROR(AVERAGEIF('PMO REAL'!$F$12:$US$12,'PMO PREV'!AZ$63,'PMO REAL'!$F21:$US21),"")</f>
        <v/>
      </c>
      <c r="BA70" s="155" t="str">
        <f ca="1">IFERROR(AVERAGEIF('PMO REAL'!$F$12:$US$12,'PMO PREV'!BA$63,'PMO REAL'!$F21:$US21),"")</f>
        <v/>
      </c>
      <c r="BB70" s="155" t="str">
        <f ca="1">IFERROR(AVERAGEIF('PMO REAL'!$F$12:$US$12,'PMO PREV'!BB$63,'PMO REAL'!$F21:$US21),"")</f>
        <v/>
      </c>
      <c r="BC70" s="155" t="str">
        <f ca="1">IFERROR(AVERAGEIF('PMO REAL'!$F$12:$US$12,'PMO PREV'!BC$63,'PMO REAL'!$F21:$US21),"")</f>
        <v/>
      </c>
      <c r="BD70" s="155" t="str">
        <f ca="1">IFERROR(AVERAGEIF('PMO REAL'!$F$12:$US$12,'PMO PREV'!BD$63,'PMO REAL'!$F21:$US21),"")</f>
        <v/>
      </c>
      <c r="BE70" s="155" t="str">
        <f ca="1">IFERROR(AVERAGEIF('PMO REAL'!$F$12:$US$12,'PMO PREV'!BE$63,'PMO REAL'!$F21:$US21),"")</f>
        <v/>
      </c>
      <c r="BF70" s="155" t="str">
        <f ca="1">IFERROR(AVERAGEIF('PMO REAL'!$F$12:$US$12,'PMO PREV'!BF$63,'PMO REAL'!$F21:$US21),"")</f>
        <v/>
      </c>
      <c r="BG70" s="155" t="str">
        <f ca="1">IFERROR(AVERAGEIF('PMO REAL'!$F$12:$US$12,'PMO PREV'!BG$63,'PMO REAL'!$F21:$US21),"")</f>
        <v/>
      </c>
      <c r="BH70" s="155" t="str">
        <f ca="1">IFERROR(AVERAGEIF('PMO REAL'!$F$12:$US$12,'PMO PREV'!BH$63,'PMO REAL'!$F21:$US21),"")</f>
        <v/>
      </c>
      <c r="BI70" s="155" t="str">
        <f ca="1">IFERROR(AVERAGEIF('PMO REAL'!$F$12:$US$12,'PMO PREV'!BI$63,'PMO REAL'!$F21:$US21),"")</f>
        <v/>
      </c>
      <c r="BJ70" s="155" t="str">
        <f ca="1">IFERROR(AVERAGEIF('PMO REAL'!$F$12:$US$12,'PMO PREV'!BJ$63,'PMO REAL'!$F21:$US21),"")</f>
        <v/>
      </c>
      <c r="BK70" s="155" t="str">
        <f ca="1">IFERROR(AVERAGEIF('PMO REAL'!$F$12:$US$12,'PMO PREV'!BK$63,'PMO REAL'!$F21:$US21),"")</f>
        <v/>
      </c>
      <c r="BL70" s="155" t="str">
        <f ca="1">IFERROR(AVERAGEIF('PMO REAL'!$F$12:$US$12,'PMO PREV'!BL$63,'PMO REAL'!$F21:$US21),"")</f>
        <v/>
      </c>
      <c r="BM70" s="155" t="str">
        <f ca="1">IFERROR(AVERAGEIF('PMO REAL'!$F$12:$US$12,'PMO PREV'!BM$63,'PMO REAL'!$F21:$US21),"")</f>
        <v/>
      </c>
      <c r="BN70" s="155" t="str">
        <f ca="1">IFERROR(AVERAGEIF('PMO REAL'!$F$12:$US$12,'PMO PREV'!BN$63,'PMO REAL'!$F21:$US21),"")</f>
        <v/>
      </c>
      <c r="BO70" s="155" t="str">
        <f ca="1">IFERROR(AVERAGEIF('PMO REAL'!$F$12:$US$12,'PMO PREV'!BO$63,'PMO REAL'!$F21:$US21),"")</f>
        <v/>
      </c>
      <c r="BP70" s="155" t="str">
        <f ca="1">IFERROR(AVERAGEIF('PMO REAL'!$F$12:$US$12,'PMO PREV'!BP$63,'PMO REAL'!$F21:$US21),"")</f>
        <v/>
      </c>
      <c r="BQ70" s="155" t="str">
        <f ca="1">IFERROR(AVERAGEIF('PMO REAL'!$F$12:$US$12,'PMO PREV'!BQ$63,'PMO REAL'!$F21:$US21),"")</f>
        <v/>
      </c>
      <c r="BR70" s="155" t="str">
        <f ca="1">IFERROR(AVERAGEIF('PMO REAL'!$F$12:$US$12,'PMO PREV'!BR$63,'PMO REAL'!$F21:$US21),"")</f>
        <v/>
      </c>
      <c r="BS70" s="155" t="str">
        <f ca="1">IFERROR(AVERAGEIF('PMO REAL'!$F$12:$US$12,'PMO PREV'!BS$63,'PMO REAL'!$F21:$US21),"")</f>
        <v/>
      </c>
      <c r="BT70" s="155" t="str">
        <f ca="1">IFERROR(AVERAGEIF('PMO REAL'!$F$12:$US$12,'PMO PREV'!BT$63,'PMO REAL'!$F21:$US21),"")</f>
        <v/>
      </c>
      <c r="BU70" s="155" t="str">
        <f ca="1">IFERROR(AVERAGEIF('PMO REAL'!$F$12:$US$12,'PMO PREV'!BU$63,'PMO REAL'!$F21:$US21),"")</f>
        <v/>
      </c>
      <c r="BV70" s="155" t="str">
        <f ca="1">IFERROR(AVERAGEIF('PMO REAL'!$F$12:$US$12,'PMO PREV'!BV$63,'PMO REAL'!$F21:$US21),"")</f>
        <v/>
      </c>
      <c r="BW70" s="155" t="str">
        <f ca="1">IFERROR(AVERAGEIF('PMO REAL'!$F$12:$US$12,'PMO PREV'!BW$63,'PMO REAL'!$F21:$US21),"")</f>
        <v/>
      </c>
      <c r="BX70" s="155" t="str">
        <f ca="1">IFERROR(AVERAGEIF('PMO REAL'!$F$12:$US$12,'PMO PREV'!BX$63,'PMO REAL'!$F21:$US21),"")</f>
        <v/>
      </c>
      <c r="BY70" s="155" t="str">
        <f ca="1">IFERROR(AVERAGEIF('PMO REAL'!$F$12:$US$12,'PMO PREV'!BY$63,'PMO REAL'!$F21:$US21),"")</f>
        <v/>
      </c>
      <c r="BZ70" s="155" t="str">
        <f ca="1">IFERROR(AVERAGEIF('PMO REAL'!$F$12:$US$12,'PMO PREV'!BZ$63,'PMO REAL'!$F21:$US21),"")</f>
        <v/>
      </c>
      <c r="CA70" s="155" t="str">
        <f ca="1">IFERROR(AVERAGEIF('PMO REAL'!$F$12:$US$12,'PMO PREV'!CA$63,'PMO REAL'!$F21:$US21),"")</f>
        <v/>
      </c>
      <c r="CB70" s="155" t="str">
        <f ca="1">IFERROR(AVERAGEIF('PMO REAL'!$F$12:$US$12,'PMO PREV'!CB$63,'PMO REAL'!$F21:$US21),"")</f>
        <v/>
      </c>
      <c r="CC70" s="155" t="str">
        <f ca="1">IFERROR(AVERAGEIF('PMO REAL'!$F$12:$US$12,'PMO PREV'!CC$63,'PMO REAL'!$F21:$US21),"")</f>
        <v/>
      </c>
      <c r="CD70" s="165"/>
      <c r="CE70" s="166"/>
      <c r="CF70" s="166"/>
      <c r="CG70" s="166"/>
      <c r="CH70" s="95"/>
      <c r="CI70" s="92"/>
      <c r="CJ70" s="92"/>
      <c r="CK70" s="92"/>
      <c r="CL70" s="92"/>
      <c r="CM70" s="92"/>
      <c r="CN70" s="92"/>
      <c r="CO70" s="92"/>
    </row>
    <row r="71" spans="2:93" ht="18" customHeight="1" thickBot="1" x14ac:dyDescent="0.35">
      <c r="B71" s="149">
        <v>2</v>
      </c>
      <c r="C71" s="116" t="s">
        <v>117</v>
      </c>
      <c r="D71" s="150"/>
      <c r="E71" s="150"/>
      <c r="F71" s="167"/>
      <c r="G71" s="150"/>
      <c r="H71" s="150"/>
      <c r="I71" s="150"/>
      <c r="J71" s="150"/>
      <c r="K71" s="150"/>
      <c r="L71" s="150"/>
      <c r="M71" s="150"/>
      <c r="N71" s="150"/>
      <c r="O71" s="150"/>
      <c r="P71" s="150"/>
      <c r="Q71" s="150"/>
      <c r="R71" s="150"/>
      <c r="S71" s="150"/>
      <c r="T71" s="150"/>
      <c r="U71" s="150"/>
      <c r="V71" s="150"/>
      <c r="W71" s="150"/>
      <c r="X71" s="150"/>
      <c r="Y71" s="150"/>
      <c r="Z71" s="150"/>
      <c r="AA71" s="150"/>
      <c r="AB71" s="150"/>
      <c r="AC71" s="150"/>
      <c r="AD71" s="150"/>
      <c r="AE71" s="150"/>
      <c r="AF71" s="150"/>
      <c r="AG71" s="150"/>
      <c r="AH71" s="150"/>
      <c r="AI71" s="150"/>
      <c r="AJ71" s="150"/>
      <c r="AK71" s="150"/>
      <c r="AL71" s="150"/>
      <c r="AM71" s="150"/>
      <c r="AN71" s="150"/>
      <c r="AO71" s="150"/>
      <c r="AP71" s="150"/>
      <c r="AQ71" s="150"/>
      <c r="AR71" s="150"/>
      <c r="AS71" s="150"/>
      <c r="AT71" s="150"/>
      <c r="AU71" s="150"/>
      <c r="AV71" s="150"/>
      <c r="AW71" s="150"/>
      <c r="AX71" s="150"/>
      <c r="AY71" s="150"/>
      <c r="AZ71" s="150"/>
      <c r="BA71" s="150"/>
      <c r="BB71" s="150"/>
      <c r="BC71" s="150"/>
      <c r="BD71" s="150"/>
      <c r="BE71" s="150"/>
      <c r="BF71" s="150"/>
      <c r="BG71" s="150"/>
      <c r="BH71" s="150"/>
      <c r="BI71" s="150"/>
      <c r="BJ71" s="150"/>
      <c r="BK71" s="150"/>
      <c r="BL71" s="150"/>
      <c r="BM71" s="150"/>
      <c r="BN71" s="150"/>
      <c r="BO71" s="150"/>
      <c r="BP71" s="150"/>
      <c r="BQ71" s="150"/>
      <c r="BR71" s="150"/>
      <c r="BS71" s="150"/>
      <c r="BT71" s="150"/>
      <c r="BU71" s="150"/>
      <c r="BV71" s="150"/>
      <c r="BW71" s="150"/>
      <c r="BX71" s="150"/>
      <c r="BY71" s="150"/>
      <c r="BZ71" s="150"/>
      <c r="CA71" s="150"/>
      <c r="CB71" s="150"/>
      <c r="CC71" s="150"/>
      <c r="CD71" s="150"/>
      <c r="CE71" s="168"/>
      <c r="CF71" s="168"/>
      <c r="CG71" s="168"/>
      <c r="CH71" s="95"/>
      <c r="CI71" s="92"/>
      <c r="CJ71" s="92"/>
      <c r="CK71" s="92"/>
      <c r="CL71" s="92"/>
      <c r="CM71" s="92"/>
      <c r="CN71" s="92"/>
      <c r="CO71" s="92"/>
    </row>
    <row r="72" spans="2:93" ht="15.75" customHeight="1" x14ac:dyDescent="0.3">
      <c r="B72" s="169" t="s">
        <v>76</v>
      </c>
      <c r="C72" s="101" t="s">
        <v>71</v>
      </c>
      <c r="D72" s="152" t="str">
        <f t="shared" ref="D72:D102" ca="1" si="18">IFERROR(E72/$E$51,"")</f>
        <v/>
      </c>
      <c r="E72" s="153" t="str">
        <f t="shared" ref="E72:E102" ca="1" si="19">IFERROR(AVERAGE(F72:CG72),"")</f>
        <v/>
      </c>
      <c r="F72" s="155" t="str">
        <f ca="1">IFERROR(AVERAGEIF('PMO REAL'!$F$12:$US$12,'PMO PREV'!F$63,'PMO REAL'!$F23:$US23),"")</f>
        <v/>
      </c>
      <c r="G72" s="170" t="str">
        <f ca="1">IFERROR(AVERAGEIF('PMO REAL'!$F$12:$US$12,'PMO PREV'!G$63,'PMO REAL'!$F23:$US23),"")</f>
        <v/>
      </c>
      <c r="H72" s="170" t="str">
        <f ca="1">IFERROR(AVERAGEIF('PMO REAL'!$F$12:$US$12,'PMO PREV'!H$63,'PMO REAL'!$F23:$US23),"")</f>
        <v/>
      </c>
      <c r="I72" s="170" t="str">
        <f ca="1">IFERROR(AVERAGEIF('PMO REAL'!$F$12:$US$12,'PMO PREV'!I$63,'PMO REAL'!$F23:$US23),"")</f>
        <v/>
      </c>
      <c r="J72" s="170" t="str">
        <f ca="1">IFERROR(AVERAGEIF('PMO REAL'!$F$12:$US$12,'PMO PREV'!J$63,'PMO REAL'!$F23:$US23),"")</f>
        <v/>
      </c>
      <c r="K72" s="170" t="str">
        <f ca="1">IFERROR(AVERAGEIF('PMO REAL'!$F$12:$US$12,'PMO PREV'!K$63,'PMO REAL'!$F23:$US23),"")</f>
        <v/>
      </c>
      <c r="L72" s="170" t="str">
        <f ca="1">IFERROR(AVERAGEIF('PMO REAL'!$F$12:$US$12,'PMO PREV'!L$63,'PMO REAL'!$F23:$US23),"")</f>
        <v/>
      </c>
      <c r="M72" s="170" t="str">
        <f ca="1">IFERROR(AVERAGEIF('PMO REAL'!$F$12:$US$12,'PMO PREV'!M$63,'PMO REAL'!$F23:$US23),"")</f>
        <v/>
      </c>
      <c r="N72" s="170" t="str">
        <f ca="1">IFERROR(AVERAGEIF('PMO REAL'!$F$12:$US$12,'PMO PREV'!N$63,'PMO REAL'!$F23:$US23),"")</f>
        <v/>
      </c>
      <c r="O72" s="170" t="str">
        <f ca="1">IFERROR(AVERAGEIF('PMO REAL'!$F$12:$US$12,'PMO PREV'!O$63,'PMO REAL'!$F23:$US23),"")</f>
        <v/>
      </c>
      <c r="P72" s="170" t="str">
        <f ca="1">IFERROR(AVERAGEIF('PMO REAL'!$F$12:$US$12,'PMO PREV'!P$63,'PMO REAL'!$F23:$US23),"")</f>
        <v/>
      </c>
      <c r="Q72" s="170" t="str">
        <f ca="1">IFERROR(AVERAGEIF('PMO REAL'!$F$12:$US$12,'PMO PREV'!Q$63,'PMO REAL'!$F23:$US23),"")</f>
        <v/>
      </c>
      <c r="R72" s="170" t="str">
        <f ca="1">IFERROR(AVERAGEIF('PMO REAL'!$F$12:$US$12,'PMO PREV'!R$63,'PMO REAL'!$F23:$US23),"")</f>
        <v/>
      </c>
      <c r="S72" s="170" t="str">
        <f ca="1">IFERROR(AVERAGEIF('PMO REAL'!$F$12:$US$12,'PMO PREV'!S$63,'PMO REAL'!$F23:$US23),"")</f>
        <v/>
      </c>
      <c r="T72" s="170" t="str">
        <f ca="1">IFERROR(AVERAGEIF('PMO REAL'!$F$12:$US$12,'PMO PREV'!T$63,'PMO REAL'!$F23:$US23),"")</f>
        <v/>
      </c>
      <c r="U72" s="170" t="str">
        <f ca="1">IFERROR(AVERAGEIF('PMO REAL'!$F$12:$US$12,'PMO PREV'!U$63,'PMO REAL'!$F23:$US23),"")</f>
        <v/>
      </c>
      <c r="V72" s="170" t="str">
        <f ca="1">IFERROR(AVERAGEIF('PMO REAL'!$F$12:$US$12,'PMO PREV'!V$63,'PMO REAL'!$F23:$US23),"")</f>
        <v/>
      </c>
      <c r="W72" s="170" t="str">
        <f ca="1">IFERROR(AVERAGEIF('PMO REAL'!$F$12:$US$12,'PMO PREV'!W$63,'PMO REAL'!$F23:$US23),"")</f>
        <v/>
      </c>
      <c r="X72" s="170" t="str">
        <f ca="1">IFERROR(AVERAGEIF('PMO REAL'!$F$12:$US$12,'PMO PREV'!X$63,'PMO REAL'!$F23:$US23),"")</f>
        <v/>
      </c>
      <c r="Y72" s="170" t="str">
        <f ca="1">IFERROR(AVERAGEIF('PMO REAL'!$F$12:$US$12,'PMO PREV'!Y$63,'PMO REAL'!$F23:$US23),"")</f>
        <v/>
      </c>
      <c r="Z72" s="170" t="str">
        <f ca="1">IFERROR(AVERAGEIF('PMO REAL'!$F$12:$US$12,'PMO PREV'!Z$63,'PMO REAL'!$F23:$US23),"")</f>
        <v/>
      </c>
      <c r="AA72" s="170" t="str">
        <f ca="1">IFERROR(AVERAGEIF('PMO REAL'!$F$12:$US$12,'PMO PREV'!AA$63,'PMO REAL'!$F23:$US23),"")</f>
        <v/>
      </c>
      <c r="AB72" s="170" t="str">
        <f ca="1">IFERROR(AVERAGEIF('PMO REAL'!$F$12:$US$12,'PMO PREV'!AB$63,'PMO REAL'!$F23:$US23),"")</f>
        <v/>
      </c>
      <c r="AC72" s="170" t="str">
        <f ca="1">IFERROR(AVERAGEIF('PMO REAL'!$F$12:$US$12,'PMO PREV'!AC$63,'PMO REAL'!$F23:$US23),"")</f>
        <v/>
      </c>
      <c r="AD72" s="170" t="str">
        <f ca="1">IFERROR(AVERAGEIF('PMO REAL'!$F$12:$US$12,'PMO PREV'!AD$63,'PMO REAL'!$F23:$US23),"")</f>
        <v/>
      </c>
      <c r="AE72" s="170" t="str">
        <f ca="1">IFERROR(AVERAGEIF('PMO REAL'!$F$12:$US$12,'PMO PREV'!AE$63,'PMO REAL'!$F23:$US23),"")</f>
        <v/>
      </c>
      <c r="AF72" s="170" t="str">
        <f ca="1">IFERROR(AVERAGEIF('PMO REAL'!$F$12:$US$12,'PMO PREV'!AF$63,'PMO REAL'!$F23:$US23),"")</f>
        <v/>
      </c>
      <c r="AG72" s="170" t="str">
        <f ca="1">IFERROR(AVERAGEIF('PMO REAL'!$F$12:$US$12,'PMO PREV'!AG$63,'PMO REAL'!$F23:$US23),"")</f>
        <v/>
      </c>
      <c r="AH72" s="170" t="str">
        <f ca="1">IFERROR(AVERAGEIF('PMO REAL'!$F$12:$US$12,'PMO PREV'!AH$63,'PMO REAL'!$F23:$US23),"")</f>
        <v/>
      </c>
      <c r="AI72" s="170" t="str">
        <f ca="1">IFERROR(AVERAGEIF('PMO REAL'!$F$12:$US$12,'PMO PREV'!AI$63,'PMO REAL'!$F23:$US23),"")</f>
        <v/>
      </c>
      <c r="AJ72" s="170" t="str">
        <f ca="1">IFERROR(AVERAGEIF('PMO REAL'!$F$12:$US$12,'PMO PREV'!AJ$63,'PMO REAL'!$F23:$US23),"")</f>
        <v/>
      </c>
      <c r="AK72" s="170" t="str">
        <f ca="1">IFERROR(AVERAGEIF('PMO REAL'!$F$12:$US$12,'PMO PREV'!AK$63,'PMO REAL'!$F23:$US23),"")</f>
        <v/>
      </c>
      <c r="AL72" s="170" t="str">
        <f ca="1">IFERROR(AVERAGEIF('PMO REAL'!$F$12:$US$12,'PMO PREV'!AL$63,'PMO REAL'!$F23:$US23),"")</f>
        <v/>
      </c>
      <c r="AM72" s="170" t="str">
        <f ca="1">IFERROR(AVERAGEIF('PMO REAL'!$F$12:$US$12,'PMO PREV'!AM$63,'PMO REAL'!$F23:$US23),"")</f>
        <v/>
      </c>
      <c r="AN72" s="170" t="str">
        <f ca="1">IFERROR(AVERAGEIF('PMO REAL'!$F$12:$US$12,'PMO PREV'!AN$63,'PMO REAL'!$F23:$US23),"")</f>
        <v/>
      </c>
      <c r="AO72" s="170" t="str">
        <f ca="1">IFERROR(AVERAGEIF('PMO REAL'!$F$12:$US$12,'PMO PREV'!AO$63,'PMO REAL'!$F23:$US23),"")</f>
        <v/>
      </c>
      <c r="AP72" s="170" t="str">
        <f ca="1">IFERROR(AVERAGEIF('PMO REAL'!$F$12:$US$12,'PMO PREV'!AP$63,'PMO REAL'!$F23:$US23),"")</f>
        <v/>
      </c>
      <c r="AQ72" s="170" t="str">
        <f ca="1">IFERROR(AVERAGEIF('PMO REAL'!$F$12:$US$12,'PMO PREV'!AQ$63,'PMO REAL'!$F23:$US23),"")</f>
        <v/>
      </c>
      <c r="AR72" s="170" t="str">
        <f ca="1">IFERROR(AVERAGEIF('PMO REAL'!$F$12:$US$12,'PMO PREV'!AR$63,'PMO REAL'!$F23:$US23),"")</f>
        <v/>
      </c>
      <c r="AS72" s="170" t="str">
        <f ca="1">IFERROR(AVERAGEIF('PMO REAL'!$F$12:$US$12,'PMO PREV'!AS$63,'PMO REAL'!$F23:$US23),"")</f>
        <v/>
      </c>
      <c r="AT72" s="170" t="str">
        <f ca="1">IFERROR(AVERAGEIF('PMO REAL'!$F$12:$US$12,'PMO PREV'!AT$63,'PMO REAL'!$F23:$US23),"")</f>
        <v/>
      </c>
      <c r="AU72" s="170" t="str">
        <f ca="1">IFERROR(AVERAGEIF('PMO REAL'!$F$12:$US$12,'PMO PREV'!AU$63,'PMO REAL'!$F23:$US23),"")</f>
        <v/>
      </c>
      <c r="AV72" s="170" t="str">
        <f ca="1">IFERROR(AVERAGEIF('PMO REAL'!$F$12:$US$12,'PMO PREV'!AV$63,'PMO REAL'!$F23:$US23),"")</f>
        <v/>
      </c>
      <c r="AW72" s="170" t="str">
        <f ca="1">IFERROR(AVERAGEIF('PMO REAL'!$F$12:$US$12,'PMO PREV'!AW$63,'PMO REAL'!$F23:$US23),"")</f>
        <v/>
      </c>
      <c r="AX72" s="170" t="str">
        <f ca="1">IFERROR(AVERAGEIF('PMO REAL'!$F$12:$US$12,'PMO PREV'!AX$63,'PMO REAL'!$F23:$US23),"")</f>
        <v/>
      </c>
      <c r="AY72" s="170" t="str">
        <f ca="1">IFERROR(AVERAGEIF('PMO REAL'!$F$12:$US$12,'PMO PREV'!AY$63,'PMO REAL'!$F23:$US23),"")</f>
        <v/>
      </c>
      <c r="AZ72" s="170" t="str">
        <f ca="1">IFERROR(AVERAGEIF('PMO REAL'!$F$12:$US$12,'PMO PREV'!AZ$63,'PMO REAL'!$F23:$US23),"")</f>
        <v/>
      </c>
      <c r="BA72" s="170" t="str">
        <f ca="1">IFERROR(AVERAGEIF('PMO REAL'!$F$12:$US$12,'PMO PREV'!BA$63,'PMO REAL'!$F23:$US23),"")</f>
        <v/>
      </c>
      <c r="BB72" s="170" t="str">
        <f ca="1">IFERROR(AVERAGEIF('PMO REAL'!$F$12:$US$12,'PMO PREV'!BB$63,'PMO REAL'!$F23:$US23),"")</f>
        <v/>
      </c>
      <c r="BC72" s="170" t="str">
        <f ca="1">IFERROR(AVERAGEIF('PMO REAL'!$F$12:$US$12,'PMO PREV'!BC$63,'PMO REAL'!$F23:$US23),"")</f>
        <v/>
      </c>
      <c r="BD72" s="170" t="str">
        <f ca="1">IFERROR(AVERAGEIF('PMO REAL'!$F$12:$US$12,'PMO PREV'!BD$63,'PMO REAL'!$F23:$US23),"")</f>
        <v/>
      </c>
      <c r="BE72" s="170" t="str">
        <f ca="1">IFERROR(AVERAGEIF('PMO REAL'!$F$12:$US$12,'PMO PREV'!BE$63,'PMO REAL'!$F23:$US23),"")</f>
        <v/>
      </c>
      <c r="BF72" s="170" t="str">
        <f ca="1">IFERROR(AVERAGEIF('PMO REAL'!$F$12:$US$12,'PMO PREV'!BF$63,'PMO REAL'!$F23:$US23),"")</f>
        <v/>
      </c>
      <c r="BG72" s="170" t="str">
        <f ca="1">IFERROR(AVERAGEIF('PMO REAL'!$F$12:$US$12,'PMO PREV'!BG$63,'PMO REAL'!$F23:$US23),"")</f>
        <v/>
      </c>
      <c r="BH72" s="170" t="str">
        <f ca="1">IFERROR(AVERAGEIF('PMO REAL'!$F$12:$US$12,'PMO PREV'!BH$63,'PMO REAL'!$F23:$US23),"")</f>
        <v/>
      </c>
      <c r="BI72" s="170" t="str">
        <f ca="1">IFERROR(AVERAGEIF('PMO REAL'!$F$12:$US$12,'PMO PREV'!BI$63,'PMO REAL'!$F23:$US23),"")</f>
        <v/>
      </c>
      <c r="BJ72" s="170" t="str">
        <f ca="1">IFERROR(AVERAGEIF('PMO REAL'!$F$12:$US$12,'PMO PREV'!BJ$63,'PMO REAL'!$F23:$US23),"")</f>
        <v/>
      </c>
      <c r="BK72" s="170" t="str">
        <f ca="1">IFERROR(AVERAGEIF('PMO REAL'!$F$12:$US$12,'PMO PREV'!BK$63,'PMO REAL'!$F23:$US23),"")</f>
        <v/>
      </c>
      <c r="BL72" s="170" t="str">
        <f ca="1">IFERROR(AVERAGEIF('PMO REAL'!$F$12:$US$12,'PMO PREV'!BL$63,'PMO REAL'!$F23:$US23),"")</f>
        <v/>
      </c>
      <c r="BM72" s="170" t="str">
        <f ca="1">IFERROR(AVERAGEIF('PMO REAL'!$F$12:$US$12,'PMO PREV'!BM$63,'PMO REAL'!$F23:$US23),"")</f>
        <v/>
      </c>
      <c r="BN72" s="170" t="str">
        <f ca="1">IFERROR(AVERAGEIF('PMO REAL'!$F$12:$US$12,'PMO PREV'!BN$63,'PMO REAL'!$F23:$US23),"")</f>
        <v/>
      </c>
      <c r="BO72" s="170" t="str">
        <f ca="1">IFERROR(AVERAGEIF('PMO REAL'!$F$12:$US$12,'PMO PREV'!BO$63,'PMO REAL'!$F23:$US23),"")</f>
        <v/>
      </c>
      <c r="BP72" s="170" t="str">
        <f ca="1">IFERROR(AVERAGEIF('PMO REAL'!$F$12:$US$12,'PMO PREV'!BP$63,'PMO REAL'!$F23:$US23),"")</f>
        <v/>
      </c>
      <c r="BQ72" s="170" t="str">
        <f ca="1">IFERROR(AVERAGEIF('PMO REAL'!$F$12:$US$12,'PMO PREV'!BQ$63,'PMO REAL'!$F23:$US23),"")</f>
        <v/>
      </c>
      <c r="BR72" s="170" t="str">
        <f ca="1">IFERROR(AVERAGEIF('PMO REAL'!$F$12:$US$12,'PMO PREV'!BR$63,'PMO REAL'!$F23:$US23),"")</f>
        <v/>
      </c>
      <c r="BS72" s="170" t="str">
        <f ca="1">IFERROR(AVERAGEIF('PMO REAL'!$F$12:$US$12,'PMO PREV'!BS$63,'PMO REAL'!$F23:$US23),"")</f>
        <v/>
      </c>
      <c r="BT72" s="170" t="str">
        <f ca="1">IFERROR(AVERAGEIF('PMO REAL'!$F$12:$US$12,'PMO PREV'!BT$63,'PMO REAL'!$F23:$US23),"")</f>
        <v/>
      </c>
      <c r="BU72" s="170" t="str">
        <f ca="1">IFERROR(AVERAGEIF('PMO REAL'!$F$12:$US$12,'PMO PREV'!BU$63,'PMO REAL'!$F23:$US23),"")</f>
        <v/>
      </c>
      <c r="BV72" s="170" t="str">
        <f ca="1">IFERROR(AVERAGEIF('PMO REAL'!$F$12:$US$12,'PMO PREV'!BV$63,'PMO REAL'!$F23:$US23),"")</f>
        <v/>
      </c>
      <c r="BW72" s="170" t="str">
        <f ca="1">IFERROR(AVERAGEIF('PMO REAL'!$F$12:$US$12,'PMO PREV'!BW$63,'PMO REAL'!$F23:$US23),"")</f>
        <v/>
      </c>
      <c r="BX72" s="170" t="str">
        <f ca="1">IFERROR(AVERAGEIF('PMO REAL'!$F$12:$US$12,'PMO PREV'!BX$63,'PMO REAL'!$F23:$US23),"")</f>
        <v/>
      </c>
      <c r="BY72" s="170" t="str">
        <f ca="1">IFERROR(AVERAGEIF('PMO REAL'!$F$12:$US$12,'PMO PREV'!BY$63,'PMO REAL'!$F23:$US23),"")</f>
        <v/>
      </c>
      <c r="BZ72" s="170" t="str">
        <f ca="1">IFERROR(AVERAGEIF('PMO REAL'!$F$12:$US$12,'PMO PREV'!BZ$63,'PMO REAL'!$F23:$US23),"")</f>
        <v/>
      </c>
      <c r="CA72" s="170" t="str">
        <f ca="1">IFERROR(AVERAGEIF('PMO REAL'!$F$12:$US$12,'PMO PREV'!CA$63,'PMO REAL'!$F23:$US23),"")</f>
        <v/>
      </c>
      <c r="CB72" s="170" t="str">
        <f ca="1">IFERROR(AVERAGEIF('PMO REAL'!$F$12:$US$12,'PMO PREV'!CB$63,'PMO REAL'!$F23:$US23),"")</f>
        <v/>
      </c>
      <c r="CC72" s="170" t="str">
        <f ca="1">IFERROR(AVERAGEIF('PMO REAL'!$F$12:$US$12,'PMO PREV'!CC$63,'PMO REAL'!$F23:$US23),"")</f>
        <v/>
      </c>
      <c r="CD72" s="170" t="str">
        <f ca="1">IFERROR(AVERAGEIF('PMO REAL'!$F$12:$US$12,'PMO PREV'!CD$63,'PMO REAL'!$F23:$US23),"")</f>
        <v/>
      </c>
      <c r="CE72" s="170" t="str">
        <f ca="1">IFERROR(AVERAGEIF('PMO REAL'!$F$12:$US$12,'PMO PREV'!CE$63,'PMO REAL'!$F23:$US23),"")</f>
        <v/>
      </c>
      <c r="CF72" s="170" t="str">
        <f ca="1">IFERROR(AVERAGEIF('PMO REAL'!$F$12:$US$12,'PMO PREV'!CF$63,'PMO REAL'!$F23:$US23),"")</f>
        <v/>
      </c>
      <c r="CG72" s="170" t="str">
        <f ca="1">IFERROR(AVERAGEIF('PMO REAL'!$F$12:$US$12,'PMO PREV'!CG$63,'PMO REAL'!$F23:$US23),"")</f>
        <v/>
      </c>
      <c r="CH72" s="120"/>
      <c r="CI72" s="121"/>
      <c r="CJ72" s="92"/>
      <c r="CK72" s="92"/>
      <c r="CL72" s="92"/>
      <c r="CM72" s="92"/>
      <c r="CN72" s="92"/>
      <c r="CO72" s="92"/>
    </row>
    <row r="73" spans="2:93" ht="15.75" customHeight="1" x14ac:dyDescent="0.3">
      <c r="B73" s="169" t="s">
        <v>75</v>
      </c>
      <c r="C73" s="107" t="s">
        <v>69</v>
      </c>
      <c r="D73" s="152" t="str">
        <f t="shared" ca="1" si="18"/>
        <v/>
      </c>
      <c r="E73" s="159" t="str">
        <f t="shared" ca="1" si="19"/>
        <v/>
      </c>
      <c r="F73" s="155" t="str">
        <f ca="1">IFERROR(AVERAGEIF('PMO REAL'!$F$12:$US$12,'PMO PREV'!F$63,'PMO REAL'!$F24:$US24),"")</f>
        <v/>
      </c>
      <c r="G73" s="170" t="str">
        <f ca="1">IFERROR(AVERAGEIF('PMO REAL'!$F$12:$US$12,'PMO PREV'!G$63,'PMO REAL'!$F24:$US24),"")</f>
        <v/>
      </c>
      <c r="H73" s="170" t="str">
        <f ca="1">IFERROR(AVERAGEIF('PMO REAL'!$F$12:$US$12,'PMO PREV'!H$63,'PMO REAL'!$F24:$US24),"")</f>
        <v/>
      </c>
      <c r="I73" s="170" t="str">
        <f ca="1">IFERROR(AVERAGEIF('PMO REAL'!$F$12:$US$12,'PMO PREV'!I$63,'PMO REAL'!$F24:$US24),"")</f>
        <v/>
      </c>
      <c r="J73" s="170" t="str">
        <f ca="1">IFERROR(AVERAGEIF('PMO REAL'!$F$12:$US$12,'PMO PREV'!J$63,'PMO REAL'!$F24:$US24),"")</f>
        <v/>
      </c>
      <c r="K73" s="170" t="str">
        <f ca="1">IFERROR(AVERAGEIF('PMO REAL'!$F$12:$US$12,'PMO PREV'!K$63,'PMO REAL'!$F24:$US24),"")</f>
        <v/>
      </c>
      <c r="L73" s="170" t="str">
        <f ca="1">IFERROR(AVERAGEIF('PMO REAL'!$F$12:$US$12,'PMO PREV'!L$63,'PMO REAL'!$F24:$US24),"")</f>
        <v/>
      </c>
      <c r="M73" s="170" t="str">
        <f ca="1">IFERROR(AVERAGEIF('PMO REAL'!$F$12:$US$12,'PMO PREV'!M$63,'PMO REAL'!$F24:$US24),"")</f>
        <v/>
      </c>
      <c r="N73" s="170" t="str">
        <f ca="1">IFERROR(AVERAGEIF('PMO REAL'!$F$12:$US$12,'PMO PREV'!N$63,'PMO REAL'!$F24:$US24),"")</f>
        <v/>
      </c>
      <c r="O73" s="170" t="str">
        <f ca="1">IFERROR(AVERAGEIF('PMO REAL'!$F$12:$US$12,'PMO PREV'!O$63,'PMO REAL'!$F24:$US24),"")</f>
        <v/>
      </c>
      <c r="P73" s="170" t="str">
        <f ca="1">IFERROR(AVERAGEIF('PMO REAL'!$F$12:$US$12,'PMO PREV'!P$63,'PMO REAL'!$F24:$US24),"")</f>
        <v/>
      </c>
      <c r="Q73" s="170" t="str">
        <f ca="1">IFERROR(AVERAGEIF('PMO REAL'!$F$12:$US$12,'PMO PREV'!Q$63,'PMO REAL'!$F24:$US24),"")</f>
        <v/>
      </c>
      <c r="R73" s="170" t="str">
        <f ca="1">IFERROR(AVERAGEIF('PMO REAL'!$F$12:$US$12,'PMO PREV'!R$63,'PMO REAL'!$F24:$US24),"")</f>
        <v/>
      </c>
      <c r="S73" s="170" t="str">
        <f ca="1">IFERROR(AVERAGEIF('PMO REAL'!$F$12:$US$12,'PMO PREV'!S$63,'PMO REAL'!$F24:$US24),"")</f>
        <v/>
      </c>
      <c r="T73" s="170" t="str">
        <f ca="1">IFERROR(AVERAGEIF('PMO REAL'!$F$12:$US$12,'PMO PREV'!T$63,'PMO REAL'!$F24:$US24),"")</f>
        <v/>
      </c>
      <c r="U73" s="170" t="str">
        <f ca="1">IFERROR(AVERAGEIF('PMO REAL'!$F$12:$US$12,'PMO PREV'!U$63,'PMO REAL'!$F24:$US24),"")</f>
        <v/>
      </c>
      <c r="V73" s="170" t="str">
        <f ca="1">IFERROR(AVERAGEIF('PMO REAL'!$F$12:$US$12,'PMO PREV'!V$63,'PMO REAL'!$F24:$US24),"")</f>
        <v/>
      </c>
      <c r="W73" s="170" t="str">
        <f ca="1">IFERROR(AVERAGEIF('PMO REAL'!$F$12:$US$12,'PMO PREV'!W$63,'PMO REAL'!$F24:$US24),"")</f>
        <v/>
      </c>
      <c r="X73" s="170" t="str">
        <f ca="1">IFERROR(AVERAGEIF('PMO REAL'!$F$12:$US$12,'PMO PREV'!X$63,'PMO REAL'!$F24:$US24),"")</f>
        <v/>
      </c>
      <c r="Y73" s="170" t="str">
        <f ca="1">IFERROR(AVERAGEIF('PMO REAL'!$F$12:$US$12,'PMO PREV'!Y$63,'PMO REAL'!$F24:$US24),"")</f>
        <v/>
      </c>
      <c r="Z73" s="170" t="str">
        <f ca="1">IFERROR(AVERAGEIF('PMO REAL'!$F$12:$US$12,'PMO PREV'!Z$63,'PMO REAL'!$F24:$US24),"")</f>
        <v/>
      </c>
      <c r="AA73" s="170" t="str">
        <f ca="1">IFERROR(AVERAGEIF('PMO REAL'!$F$12:$US$12,'PMO PREV'!AA$63,'PMO REAL'!$F24:$US24),"")</f>
        <v/>
      </c>
      <c r="AB73" s="170" t="str">
        <f ca="1">IFERROR(AVERAGEIF('PMO REAL'!$F$12:$US$12,'PMO PREV'!AB$63,'PMO REAL'!$F24:$US24),"")</f>
        <v/>
      </c>
      <c r="AC73" s="170" t="str">
        <f ca="1">IFERROR(AVERAGEIF('PMO REAL'!$F$12:$US$12,'PMO PREV'!AC$63,'PMO REAL'!$F24:$US24),"")</f>
        <v/>
      </c>
      <c r="AD73" s="170" t="str">
        <f ca="1">IFERROR(AVERAGEIF('PMO REAL'!$F$12:$US$12,'PMO PREV'!AD$63,'PMO REAL'!$F24:$US24),"")</f>
        <v/>
      </c>
      <c r="AE73" s="170" t="str">
        <f ca="1">IFERROR(AVERAGEIF('PMO REAL'!$F$12:$US$12,'PMO PREV'!AE$63,'PMO REAL'!$F24:$US24),"")</f>
        <v/>
      </c>
      <c r="AF73" s="170" t="str">
        <f ca="1">IFERROR(AVERAGEIF('PMO REAL'!$F$12:$US$12,'PMO PREV'!AF$63,'PMO REAL'!$F24:$US24),"")</f>
        <v/>
      </c>
      <c r="AG73" s="170" t="str">
        <f ca="1">IFERROR(AVERAGEIF('PMO REAL'!$F$12:$US$12,'PMO PREV'!AG$63,'PMO REAL'!$F24:$US24),"")</f>
        <v/>
      </c>
      <c r="AH73" s="170" t="str">
        <f ca="1">IFERROR(AVERAGEIF('PMO REAL'!$F$12:$US$12,'PMO PREV'!AH$63,'PMO REAL'!$F24:$US24),"")</f>
        <v/>
      </c>
      <c r="AI73" s="170" t="str">
        <f ca="1">IFERROR(AVERAGEIF('PMO REAL'!$F$12:$US$12,'PMO PREV'!AI$63,'PMO REAL'!$F24:$US24),"")</f>
        <v/>
      </c>
      <c r="AJ73" s="170" t="str">
        <f ca="1">IFERROR(AVERAGEIF('PMO REAL'!$F$12:$US$12,'PMO PREV'!AJ$63,'PMO REAL'!$F24:$US24),"")</f>
        <v/>
      </c>
      <c r="AK73" s="170" t="str">
        <f ca="1">IFERROR(AVERAGEIF('PMO REAL'!$F$12:$US$12,'PMO PREV'!AK$63,'PMO REAL'!$F24:$US24),"")</f>
        <v/>
      </c>
      <c r="AL73" s="170" t="str">
        <f ca="1">IFERROR(AVERAGEIF('PMO REAL'!$F$12:$US$12,'PMO PREV'!AL$63,'PMO REAL'!$F24:$US24),"")</f>
        <v/>
      </c>
      <c r="AM73" s="170" t="str">
        <f ca="1">IFERROR(AVERAGEIF('PMO REAL'!$F$12:$US$12,'PMO PREV'!AM$63,'PMO REAL'!$F24:$US24),"")</f>
        <v/>
      </c>
      <c r="AN73" s="170" t="str">
        <f ca="1">IFERROR(AVERAGEIF('PMO REAL'!$F$12:$US$12,'PMO PREV'!AN$63,'PMO REAL'!$F24:$US24),"")</f>
        <v/>
      </c>
      <c r="AO73" s="170" t="str">
        <f ca="1">IFERROR(AVERAGEIF('PMO REAL'!$F$12:$US$12,'PMO PREV'!AO$63,'PMO REAL'!$F24:$US24),"")</f>
        <v/>
      </c>
      <c r="AP73" s="170" t="str">
        <f ca="1">IFERROR(AVERAGEIF('PMO REAL'!$F$12:$US$12,'PMO PREV'!AP$63,'PMO REAL'!$F24:$US24),"")</f>
        <v/>
      </c>
      <c r="AQ73" s="170" t="str">
        <f ca="1">IFERROR(AVERAGEIF('PMO REAL'!$F$12:$US$12,'PMO PREV'!AQ$63,'PMO REAL'!$F24:$US24),"")</f>
        <v/>
      </c>
      <c r="AR73" s="170" t="str">
        <f ca="1">IFERROR(AVERAGEIF('PMO REAL'!$F$12:$US$12,'PMO PREV'!AR$63,'PMO REAL'!$F24:$US24),"")</f>
        <v/>
      </c>
      <c r="AS73" s="170" t="str">
        <f ca="1">IFERROR(AVERAGEIF('PMO REAL'!$F$12:$US$12,'PMO PREV'!AS$63,'PMO REAL'!$F24:$US24),"")</f>
        <v/>
      </c>
      <c r="AT73" s="170" t="str">
        <f ca="1">IFERROR(AVERAGEIF('PMO REAL'!$F$12:$US$12,'PMO PREV'!AT$63,'PMO REAL'!$F24:$US24),"")</f>
        <v/>
      </c>
      <c r="AU73" s="170" t="str">
        <f ca="1">IFERROR(AVERAGEIF('PMO REAL'!$F$12:$US$12,'PMO PREV'!AU$63,'PMO REAL'!$F24:$US24),"")</f>
        <v/>
      </c>
      <c r="AV73" s="170" t="str">
        <f ca="1">IFERROR(AVERAGEIF('PMO REAL'!$F$12:$US$12,'PMO PREV'!AV$63,'PMO REAL'!$F24:$US24),"")</f>
        <v/>
      </c>
      <c r="AW73" s="170" t="str">
        <f ca="1">IFERROR(AVERAGEIF('PMO REAL'!$F$12:$US$12,'PMO PREV'!AW$63,'PMO REAL'!$F24:$US24),"")</f>
        <v/>
      </c>
      <c r="AX73" s="170" t="str">
        <f ca="1">IFERROR(AVERAGEIF('PMO REAL'!$F$12:$US$12,'PMO PREV'!AX$63,'PMO REAL'!$F24:$US24),"")</f>
        <v/>
      </c>
      <c r="AY73" s="170" t="str">
        <f ca="1">IFERROR(AVERAGEIF('PMO REAL'!$F$12:$US$12,'PMO PREV'!AY$63,'PMO REAL'!$F24:$US24),"")</f>
        <v/>
      </c>
      <c r="AZ73" s="170" t="str">
        <f ca="1">IFERROR(AVERAGEIF('PMO REAL'!$F$12:$US$12,'PMO PREV'!AZ$63,'PMO REAL'!$F24:$US24),"")</f>
        <v/>
      </c>
      <c r="BA73" s="170" t="str">
        <f ca="1">IFERROR(AVERAGEIF('PMO REAL'!$F$12:$US$12,'PMO PREV'!BA$63,'PMO REAL'!$F24:$US24),"")</f>
        <v/>
      </c>
      <c r="BB73" s="170" t="str">
        <f ca="1">IFERROR(AVERAGEIF('PMO REAL'!$F$12:$US$12,'PMO PREV'!BB$63,'PMO REAL'!$F24:$US24),"")</f>
        <v/>
      </c>
      <c r="BC73" s="170" t="str">
        <f ca="1">IFERROR(AVERAGEIF('PMO REAL'!$F$12:$US$12,'PMO PREV'!BC$63,'PMO REAL'!$F24:$US24),"")</f>
        <v/>
      </c>
      <c r="BD73" s="170" t="str">
        <f ca="1">IFERROR(AVERAGEIF('PMO REAL'!$F$12:$US$12,'PMO PREV'!BD$63,'PMO REAL'!$F24:$US24),"")</f>
        <v/>
      </c>
      <c r="BE73" s="170" t="str">
        <f ca="1">IFERROR(AVERAGEIF('PMO REAL'!$F$12:$US$12,'PMO PREV'!BE$63,'PMO REAL'!$F24:$US24),"")</f>
        <v/>
      </c>
      <c r="BF73" s="170" t="str">
        <f ca="1">IFERROR(AVERAGEIF('PMO REAL'!$F$12:$US$12,'PMO PREV'!BF$63,'PMO REAL'!$F24:$US24),"")</f>
        <v/>
      </c>
      <c r="BG73" s="170" t="str">
        <f ca="1">IFERROR(AVERAGEIF('PMO REAL'!$F$12:$US$12,'PMO PREV'!BG$63,'PMO REAL'!$F24:$US24),"")</f>
        <v/>
      </c>
      <c r="BH73" s="170" t="str">
        <f ca="1">IFERROR(AVERAGEIF('PMO REAL'!$F$12:$US$12,'PMO PREV'!BH$63,'PMO REAL'!$F24:$US24),"")</f>
        <v/>
      </c>
      <c r="BI73" s="170" t="str">
        <f ca="1">IFERROR(AVERAGEIF('PMO REAL'!$F$12:$US$12,'PMO PREV'!BI$63,'PMO REAL'!$F24:$US24),"")</f>
        <v/>
      </c>
      <c r="BJ73" s="170" t="str">
        <f ca="1">IFERROR(AVERAGEIF('PMO REAL'!$F$12:$US$12,'PMO PREV'!BJ$63,'PMO REAL'!$F24:$US24),"")</f>
        <v/>
      </c>
      <c r="BK73" s="170" t="str">
        <f ca="1">IFERROR(AVERAGEIF('PMO REAL'!$F$12:$US$12,'PMO PREV'!BK$63,'PMO REAL'!$F24:$US24),"")</f>
        <v/>
      </c>
      <c r="BL73" s="170" t="str">
        <f ca="1">IFERROR(AVERAGEIF('PMO REAL'!$F$12:$US$12,'PMO PREV'!BL$63,'PMO REAL'!$F24:$US24),"")</f>
        <v/>
      </c>
      <c r="BM73" s="170" t="str">
        <f ca="1">IFERROR(AVERAGEIF('PMO REAL'!$F$12:$US$12,'PMO PREV'!BM$63,'PMO REAL'!$F24:$US24),"")</f>
        <v/>
      </c>
      <c r="BN73" s="170" t="str">
        <f ca="1">IFERROR(AVERAGEIF('PMO REAL'!$F$12:$US$12,'PMO PREV'!BN$63,'PMO REAL'!$F24:$US24),"")</f>
        <v/>
      </c>
      <c r="BO73" s="170" t="str">
        <f ca="1">IFERROR(AVERAGEIF('PMO REAL'!$F$12:$US$12,'PMO PREV'!BO$63,'PMO REAL'!$F24:$US24),"")</f>
        <v/>
      </c>
      <c r="BP73" s="170" t="str">
        <f ca="1">IFERROR(AVERAGEIF('PMO REAL'!$F$12:$US$12,'PMO PREV'!BP$63,'PMO REAL'!$F24:$US24),"")</f>
        <v/>
      </c>
      <c r="BQ73" s="170" t="str">
        <f ca="1">IFERROR(AVERAGEIF('PMO REAL'!$F$12:$US$12,'PMO PREV'!BQ$63,'PMO REAL'!$F24:$US24),"")</f>
        <v/>
      </c>
      <c r="BR73" s="170" t="str">
        <f ca="1">IFERROR(AVERAGEIF('PMO REAL'!$F$12:$US$12,'PMO PREV'!BR$63,'PMO REAL'!$F24:$US24),"")</f>
        <v/>
      </c>
      <c r="BS73" s="170" t="str">
        <f ca="1">IFERROR(AVERAGEIF('PMO REAL'!$F$12:$US$12,'PMO PREV'!BS$63,'PMO REAL'!$F24:$US24),"")</f>
        <v/>
      </c>
      <c r="BT73" s="170" t="str">
        <f ca="1">IFERROR(AVERAGEIF('PMO REAL'!$F$12:$US$12,'PMO PREV'!BT$63,'PMO REAL'!$F24:$US24),"")</f>
        <v/>
      </c>
      <c r="BU73" s="170" t="str">
        <f ca="1">IFERROR(AVERAGEIF('PMO REAL'!$F$12:$US$12,'PMO PREV'!BU$63,'PMO REAL'!$F24:$US24),"")</f>
        <v/>
      </c>
      <c r="BV73" s="170" t="str">
        <f ca="1">IFERROR(AVERAGEIF('PMO REAL'!$F$12:$US$12,'PMO PREV'!BV$63,'PMO REAL'!$F24:$US24),"")</f>
        <v/>
      </c>
      <c r="BW73" s="170" t="str">
        <f ca="1">IFERROR(AVERAGEIF('PMO REAL'!$F$12:$US$12,'PMO PREV'!BW$63,'PMO REAL'!$F24:$US24),"")</f>
        <v/>
      </c>
      <c r="BX73" s="170" t="str">
        <f ca="1">IFERROR(AVERAGEIF('PMO REAL'!$F$12:$US$12,'PMO PREV'!BX$63,'PMO REAL'!$F24:$US24),"")</f>
        <v/>
      </c>
      <c r="BY73" s="170" t="str">
        <f ca="1">IFERROR(AVERAGEIF('PMO REAL'!$F$12:$US$12,'PMO PREV'!BY$63,'PMO REAL'!$F24:$US24),"")</f>
        <v/>
      </c>
      <c r="BZ73" s="170" t="str">
        <f ca="1">IFERROR(AVERAGEIF('PMO REAL'!$F$12:$US$12,'PMO PREV'!BZ$63,'PMO REAL'!$F24:$US24),"")</f>
        <v/>
      </c>
      <c r="CA73" s="170" t="str">
        <f ca="1">IFERROR(AVERAGEIF('PMO REAL'!$F$12:$US$12,'PMO PREV'!CA$63,'PMO REAL'!$F24:$US24),"")</f>
        <v/>
      </c>
      <c r="CB73" s="170" t="str">
        <f ca="1">IFERROR(AVERAGEIF('PMO REAL'!$F$12:$US$12,'PMO PREV'!CB$63,'PMO REAL'!$F24:$US24),"")</f>
        <v/>
      </c>
      <c r="CC73" s="170" t="str">
        <f ca="1">IFERROR(AVERAGEIF('PMO REAL'!$F$12:$US$12,'PMO PREV'!CC$63,'PMO REAL'!$F24:$US24),"")</f>
        <v/>
      </c>
      <c r="CD73" s="170" t="str">
        <f ca="1">IFERROR(AVERAGEIF('PMO REAL'!$F$12:$US$12,'PMO PREV'!CD$63,'PMO REAL'!$F24:$US24),"")</f>
        <v/>
      </c>
      <c r="CE73" s="170" t="str">
        <f ca="1">IFERROR(AVERAGEIF('PMO REAL'!$F$12:$US$12,'PMO PREV'!CE$63,'PMO REAL'!$F24:$US24),"")</f>
        <v/>
      </c>
      <c r="CF73" s="170" t="str">
        <f ca="1">IFERROR(AVERAGEIF('PMO REAL'!$F$12:$US$12,'PMO PREV'!CF$63,'PMO REAL'!$F24:$US24),"")</f>
        <v/>
      </c>
      <c r="CG73" s="170" t="str">
        <f ca="1">IFERROR(AVERAGEIF('PMO REAL'!$F$12:$US$12,'PMO PREV'!CG$63,'PMO REAL'!$F24:$US24),"")</f>
        <v/>
      </c>
      <c r="CH73" s="120"/>
      <c r="CI73" s="121"/>
      <c r="CJ73" s="92"/>
      <c r="CK73" s="92"/>
      <c r="CL73" s="92"/>
      <c r="CM73" s="92"/>
      <c r="CN73" s="92"/>
      <c r="CO73" s="92"/>
    </row>
    <row r="74" spans="2:93" ht="15.75" customHeight="1" x14ac:dyDescent="0.3">
      <c r="B74" s="169" t="s">
        <v>73</v>
      </c>
      <c r="C74" s="107" t="s">
        <v>151</v>
      </c>
      <c r="D74" s="152" t="str">
        <f t="shared" ca="1" si="18"/>
        <v/>
      </c>
      <c r="E74" s="159" t="str">
        <f t="shared" ca="1" si="19"/>
        <v/>
      </c>
      <c r="F74" s="155" t="str">
        <f ca="1">IFERROR(AVERAGEIF('PMO REAL'!$F$12:$US$12,'PMO PREV'!F$63,'PMO REAL'!$F25:$US25),"")</f>
        <v/>
      </c>
      <c r="G74" s="170" t="str">
        <f ca="1">IFERROR(AVERAGEIF('PMO REAL'!$F$12:$US$12,'PMO PREV'!G$63,'PMO REAL'!$F25:$US25),"")</f>
        <v/>
      </c>
      <c r="H74" s="170" t="str">
        <f ca="1">IFERROR(AVERAGEIF('PMO REAL'!$F$12:$US$12,'PMO PREV'!H$63,'PMO REAL'!$F25:$US25),"")</f>
        <v/>
      </c>
      <c r="I74" s="170" t="str">
        <f ca="1">IFERROR(AVERAGEIF('PMO REAL'!$F$12:$US$12,'PMO PREV'!I$63,'PMO REAL'!$F25:$US25),"")</f>
        <v/>
      </c>
      <c r="J74" s="170" t="str">
        <f ca="1">IFERROR(AVERAGEIF('PMO REAL'!$F$12:$US$12,'PMO PREV'!J$63,'PMO REAL'!$F25:$US25),"")</f>
        <v/>
      </c>
      <c r="K74" s="170" t="str">
        <f ca="1">IFERROR(AVERAGEIF('PMO REAL'!$F$12:$US$12,'PMO PREV'!K$63,'PMO REAL'!$F25:$US25),"")</f>
        <v/>
      </c>
      <c r="L74" s="170" t="str">
        <f ca="1">IFERROR(AVERAGEIF('PMO REAL'!$F$12:$US$12,'PMO PREV'!L$63,'PMO REAL'!$F25:$US25),"")</f>
        <v/>
      </c>
      <c r="M74" s="170" t="str">
        <f ca="1">IFERROR(AVERAGEIF('PMO REAL'!$F$12:$US$12,'PMO PREV'!M$63,'PMO REAL'!$F25:$US25),"")</f>
        <v/>
      </c>
      <c r="N74" s="170" t="str">
        <f ca="1">IFERROR(AVERAGEIF('PMO REAL'!$F$12:$US$12,'PMO PREV'!N$63,'PMO REAL'!$F25:$US25),"")</f>
        <v/>
      </c>
      <c r="O74" s="170" t="str">
        <f ca="1">IFERROR(AVERAGEIF('PMO REAL'!$F$12:$US$12,'PMO PREV'!O$63,'PMO REAL'!$F25:$US25),"")</f>
        <v/>
      </c>
      <c r="P74" s="170" t="str">
        <f ca="1">IFERROR(AVERAGEIF('PMO REAL'!$F$12:$US$12,'PMO PREV'!P$63,'PMO REAL'!$F25:$US25),"")</f>
        <v/>
      </c>
      <c r="Q74" s="170" t="str">
        <f ca="1">IFERROR(AVERAGEIF('PMO REAL'!$F$12:$US$12,'PMO PREV'!Q$63,'PMO REAL'!$F25:$US25),"")</f>
        <v/>
      </c>
      <c r="R74" s="170" t="str">
        <f ca="1">IFERROR(AVERAGEIF('PMO REAL'!$F$12:$US$12,'PMO PREV'!R$63,'PMO REAL'!$F25:$US25),"")</f>
        <v/>
      </c>
      <c r="S74" s="170" t="str">
        <f ca="1">IFERROR(AVERAGEIF('PMO REAL'!$F$12:$US$12,'PMO PREV'!S$63,'PMO REAL'!$F25:$US25),"")</f>
        <v/>
      </c>
      <c r="T74" s="170" t="str">
        <f ca="1">IFERROR(AVERAGEIF('PMO REAL'!$F$12:$US$12,'PMO PREV'!T$63,'PMO REAL'!$F25:$US25),"")</f>
        <v/>
      </c>
      <c r="U74" s="170" t="str">
        <f ca="1">IFERROR(AVERAGEIF('PMO REAL'!$F$12:$US$12,'PMO PREV'!U$63,'PMO REAL'!$F25:$US25),"")</f>
        <v/>
      </c>
      <c r="V74" s="170" t="str">
        <f ca="1">IFERROR(AVERAGEIF('PMO REAL'!$F$12:$US$12,'PMO PREV'!V$63,'PMO REAL'!$F25:$US25),"")</f>
        <v/>
      </c>
      <c r="W74" s="170" t="str">
        <f ca="1">IFERROR(AVERAGEIF('PMO REAL'!$F$12:$US$12,'PMO PREV'!W$63,'PMO REAL'!$F25:$US25),"")</f>
        <v/>
      </c>
      <c r="X74" s="170" t="str">
        <f ca="1">IFERROR(AVERAGEIF('PMO REAL'!$F$12:$US$12,'PMO PREV'!X$63,'PMO REAL'!$F25:$US25),"")</f>
        <v/>
      </c>
      <c r="Y74" s="170" t="str">
        <f ca="1">IFERROR(AVERAGEIF('PMO REAL'!$F$12:$US$12,'PMO PREV'!Y$63,'PMO REAL'!$F25:$US25),"")</f>
        <v/>
      </c>
      <c r="Z74" s="170" t="str">
        <f ca="1">IFERROR(AVERAGEIF('PMO REAL'!$F$12:$US$12,'PMO PREV'!Z$63,'PMO REAL'!$F25:$US25),"")</f>
        <v/>
      </c>
      <c r="AA74" s="170" t="str">
        <f ca="1">IFERROR(AVERAGEIF('PMO REAL'!$F$12:$US$12,'PMO PREV'!AA$63,'PMO REAL'!$F25:$US25),"")</f>
        <v/>
      </c>
      <c r="AB74" s="170" t="str">
        <f ca="1">IFERROR(AVERAGEIF('PMO REAL'!$F$12:$US$12,'PMO PREV'!AB$63,'PMO REAL'!$F25:$US25),"")</f>
        <v/>
      </c>
      <c r="AC74" s="170" t="str">
        <f ca="1">IFERROR(AVERAGEIF('PMO REAL'!$F$12:$US$12,'PMO PREV'!AC$63,'PMO REAL'!$F25:$US25),"")</f>
        <v/>
      </c>
      <c r="AD74" s="170" t="str">
        <f ca="1">IFERROR(AVERAGEIF('PMO REAL'!$F$12:$US$12,'PMO PREV'!AD$63,'PMO REAL'!$F25:$US25),"")</f>
        <v/>
      </c>
      <c r="AE74" s="170" t="str">
        <f ca="1">IFERROR(AVERAGEIF('PMO REAL'!$F$12:$US$12,'PMO PREV'!AE$63,'PMO REAL'!$F25:$US25),"")</f>
        <v/>
      </c>
      <c r="AF74" s="170" t="str">
        <f ca="1">IFERROR(AVERAGEIF('PMO REAL'!$F$12:$US$12,'PMO PREV'!AF$63,'PMO REAL'!$F25:$US25),"")</f>
        <v/>
      </c>
      <c r="AG74" s="170" t="str">
        <f ca="1">IFERROR(AVERAGEIF('PMO REAL'!$F$12:$US$12,'PMO PREV'!AG$63,'PMO REAL'!$F25:$US25),"")</f>
        <v/>
      </c>
      <c r="AH74" s="170" t="str">
        <f ca="1">IFERROR(AVERAGEIF('PMO REAL'!$F$12:$US$12,'PMO PREV'!AH$63,'PMO REAL'!$F25:$US25),"")</f>
        <v/>
      </c>
      <c r="AI74" s="170" t="str">
        <f ca="1">IFERROR(AVERAGEIF('PMO REAL'!$F$12:$US$12,'PMO PREV'!AI$63,'PMO REAL'!$F25:$US25),"")</f>
        <v/>
      </c>
      <c r="AJ74" s="170" t="str">
        <f ca="1">IFERROR(AVERAGEIF('PMO REAL'!$F$12:$US$12,'PMO PREV'!AJ$63,'PMO REAL'!$F25:$US25),"")</f>
        <v/>
      </c>
      <c r="AK74" s="170" t="str">
        <f ca="1">IFERROR(AVERAGEIF('PMO REAL'!$F$12:$US$12,'PMO PREV'!AK$63,'PMO REAL'!$F25:$US25),"")</f>
        <v/>
      </c>
      <c r="AL74" s="170" t="str">
        <f ca="1">IFERROR(AVERAGEIF('PMO REAL'!$F$12:$US$12,'PMO PREV'!AL$63,'PMO REAL'!$F25:$US25),"")</f>
        <v/>
      </c>
      <c r="AM74" s="170" t="str">
        <f ca="1">IFERROR(AVERAGEIF('PMO REAL'!$F$12:$US$12,'PMO PREV'!AM$63,'PMO REAL'!$F25:$US25),"")</f>
        <v/>
      </c>
      <c r="AN74" s="170" t="str">
        <f ca="1">IFERROR(AVERAGEIF('PMO REAL'!$F$12:$US$12,'PMO PREV'!AN$63,'PMO REAL'!$F25:$US25),"")</f>
        <v/>
      </c>
      <c r="AO74" s="170" t="str">
        <f ca="1">IFERROR(AVERAGEIF('PMO REAL'!$F$12:$US$12,'PMO PREV'!AO$63,'PMO REAL'!$F25:$US25),"")</f>
        <v/>
      </c>
      <c r="AP74" s="170" t="str">
        <f ca="1">IFERROR(AVERAGEIF('PMO REAL'!$F$12:$US$12,'PMO PREV'!AP$63,'PMO REAL'!$F25:$US25),"")</f>
        <v/>
      </c>
      <c r="AQ74" s="170" t="str">
        <f ca="1">IFERROR(AVERAGEIF('PMO REAL'!$F$12:$US$12,'PMO PREV'!AQ$63,'PMO REAL'!$F25:$US25),"")</f>
        <v/>
      </c>
      <c r="AR74" s="170" t="str">
        <f ca="1">IFERROR(AVERAGEIF('PMO REAL'!$F$12:$US$12,'PMO PREV'!AR$63,'PMO REAL'!$F25:$US25),"")</f>
        <v/>
      </c>
      <c r="AS74" s="170" t="str">
        <f ca="1">IFERROR(AVERAGEIF('PMO REAL'!$F$12:$US$12,'PMO PREV'!AS$63,'PMO REAL'!$F25:$US25),"")</f>
        <v/>
      </c>
      <c r="AT74" s="170" t="str">
        <f ca="1">IFERROR(AVERAGEIF('PMO REAL'!$F$12:$US$12,'PMO PREV'!AT$63,'PMO REAL'!$F25:$US25),"")</f>
        <v/>
      </c>
      <c r="AU74" s="170" t="str">
        <f ca="1">IFERROR(AVERAGEIF('PMO REAL'!$F$12:$US$12,'PMO PREV'!AU$63,'PMO REAL'!$F25:$US25),"")</f>
        <v/>
      </c>
      <c r="AV74" s="170" t="str">
        <f ca="1">IFERROR(AVERAGEIF('PMO REAL'!$F$12:$US$12,'PMO PREV'!AV$63,'PMO REAL'!$F25:$US25),"")</f>
        <v/>
      </c>
      <c r="AW74" s="170" t="str">
        <f ca="1">IFERROR(AVERAGEIF('PMO REAL'!$F$12:$US$12,'PMO PREV'!AW$63,'PMO REAL'!$F25:$US25),"")</f>
        <v/>
      </c>
      <c r="AX74" s="170" t="str">
        <f ca="1">IFERROR(AVERAGEIF('PMO REAL'!$F$12:$US$12,'PMO PREV'!AX$63,'PMO REAL'!$F25:$US25),"")</f>
        <v/>
      </c>
      <c r="AY74" s="170" t="str">
        <f ca="1">IFERROR(AVERAGEIF('PMO REAL'!$F$12:$US$12,'PMO PREV'!AY$63,'PMO REAL'!$F25:$US25),"")</f>
        <v/>
      </c>
      <c r="AZ74" s="170" t="str">
        <f ca="1">IFERROR(AVERAGEIF('PMO REAL'!$F$12:$US$12,'PMO PREV'!AZ$63,'PMO REAL'!$F25:$US25),"")</f>
        <v/>
      </c>
      <c r="BA74" s="170" t="str">
        <f ca="1">IFERROR(AVERAGEIF('PMO REAL'!$F$12:$US$12,'PMO PREV'!BA$63,'PMO REAL'!$F25:$US25),"")</f>
        <v/>
      </c>
      <c r="BB74" s="170" t="str">
        <f ca="1">IFERROR(AVERAGEIF('PMO REAL'!$F$12:$US$12,'PMO PREV'!BB$63,'PMO REAL'!$F25:$US25),"")</f>
        <v/>
      </c>
      <c r="BC74" s="170" t="str">
        <f ca="1">IFERROR(AVERAGEIF('PMO REAL'!$F$12:$US$12,'PMO PREV'!BC$63,'PMO REAL'!$F25:$US25),"")</f>
        <v/>
      </c>
      <c r="BD74" s="170" t="str">
        <f ca="1">IFERROR(AVERAGEIF('PMO REAL'!$F$12:$US$12,'PMO PREV'!BD$63,'PMO REAL'!$F25:$US25),"")</f>
        <v/>
      </c>
      <c r="BE74" s="170" t="str">
        <f ca="1">IFERROR(AVERAGEIF('PMO REAL'!$F$12:$US$12,'PMO PREV'!BE$63,'PMO REAL'!$F25:$US25),"")</f>
        <v/>
      </c>
      <c r="BF74" s="170" t="str">
        <f ca="1">IFERROR(AVERAGEIF('PMO REAL'!$F$12:$US$12,'PMO PREV'!BF$63,'PMO REAL'!$F25:$US25),"")</f>
        <v/>
      </c>
      <c r="BG74" s="170" t="str">
        <f ca="1">IFERROR(AVERAGEIF('PMO REAL'!$F$12:$US$12,'PMO PREV'!BG$63,'PMO REAL'!$F25:$US25),"")</f>
        <v/>
      </c>
      <c r="BH74" s="170" t="str">
        <f ca="1">IFERROR(AVERAGEIF('PMO REAL'!$F$12:$US$12,'PMO PREV'!BH$63,'PMO REAL'!$F25:$US25),"")</f>
        <v/>
      </c>
      <c r="BI74" s="170" t="str">
        <f ca="1">IFERROR(AVERAGEIF('PMO REAL'!$F$12:$US$12,'PMO PREV'!BI$63,'PMO REAL'!$F25:$US25),"")</f>
        <v/>
      </c>
      <c r="BJ74" s="170" t="str">
        <f ca="1">IFERROR(AVERAGEIF('PMO REAL'!$F$12:$US$12,'PMO PREV'!BJ$63,'PMO REAL'!$F25:$US25),"")</f>
        <v/>
      </c>
      <c r="BK74" s="170" t="str">
        <f ca="1">IFERROR(AVERAGEIF('PMO REAL'!$F$12:$US$12,'PMO PREV'!BK$63,'PMO REAL'!$F25:$US25),"")</f>
        <v/>
      </c>
      <c r="BL74" s="170" t="str">
        <f ca="1">IFERROR(AVERAGEIF('PMO REAL'!$F$12:$US$12,'PMO PREV'!BL$63,'PMO REAL'!$F25:$US25),"")</f>
        <v/>
      </c>
      <c r="BM74" s="170" t="str">
        <f ca="1">IFERROR(AVERAGEIF('PMO REAL'!$F$12:$US$12,'PMO PREV'!BM$63,'PMO REAL'!$F25:$US25),"")</f>
        <v/>
      </c>
      <c r="BN74" s="170" t="str">
        <f ca="1">IFERROR(AVERAGEIF('PMO REAL'!$F$12:$US$12,'PMO PREV'!BN$63,'PMO REAL'!$F25:$US25),"")</f>
        <v/>
      </c>
      <c r="BO74" s="170" t="str">
        <f ca="1">IFERROR(AVERAGEIF('PMO REAL'!$F$12:$US$12,'PMO PREV'!BO$63,'PMO REAL'!$F25:$US25),"")</f>
        <v/>
      </c>
      <c r="BP74" s="170" t="str">
        <f ca="1">IFERROR(AVERAGEIF('PMO REAL'!$F$12:$US$12,'PMO PREV'!BP$63,'PMO REAL'!$F25:$US25),"")</f>
        <v/>
      </c>
      <c r="BQ74" s="170" t="str">
        <f ca="1">IFERROR(AVERAGEIF('PMO REAL'!$F$12:$US$12,'PMO PREV'!BQ$63,'PMO REAL'!$F25:$US25),"")</f>
        <v/>
      </c>
      <c r="BR74" s="170" t="str">
        <f ca="1">IFERROR(AVERAGEIF('PMO REAL'!$F$12:$US$12,'PMO PREV'!BR$63,'PMO REAL'!$F25:$US25),"")</f>
        <v/>
      </c>
      <c r="BS74" s="170" t="str">
        <f ca="1">IFERROR(AVERAGEIF('PMO REAL'!$F$12:$US$12,'PMO PREV'!BS$63,'PMO REAL'!$F25:$US25),"")</f>
        <v/>
      </c>
      <c r="BT74" s="170" t="str">
        <f ca="1">IFERROR(AVERAGEIF('PMO REAL'!$F$12:$US$12,'PMO PREV'!BT$63,'PMO REAL'!$F25:$US25),"")</f>
        <v/>
      </c>
      <c r="BU74" s="170" t="str">
        <f ca="1">IFERROR(AVERAGEIF('PMO REAL'!$F$12:$US$12,'PMO PREV'!BU$63,'PMO REAL'!$F25:$US25),"")</f>
        <v/>
      </c>
      <c r="BV74" s="170" t="str">
        <f ca="1">IFERROR(AVERAGEIF('PMO REAL'!$F$12:$US$12,'PMO PREV'!BV$63,'PMO REAL'!$F25:$US25),"")</f>
        <v/>
      </c>
      <c r="BW74" s="170" t="str">
        <f ca="1">IFERROR(AVERAGEIF('PMO REAL'!$F$12:$US$12,'PMO PREV'!BW$63,'PMO REAL'!$F25:$US25),"")</f>
        <v/>
      </c>
      <c r="BX74" s="170" t="str">
        <f ca="1">IFERROR(AVERAGEIF('PMO REAL'!$F$12:$US$12,'PMO PREV'!BX$63,'PMO REAL'!$F25:$US25),"")</f>
        <v/>
      </c>
      <c r="BY74" s="170" t="str">
        <f ca="1">IFERROR(AVERAGEIF('PMO REAL'!$F$12:$US$12,'PMO PREV'!BY$63,'PMO REAL'!$F25:$US25),"")</f>
        <v/>
      </c>
      <c r="BZ74" s="170" t="str">
        <f ca="1">IFERROR(AVERAGEIF('PMO REAL'!$F$12:$US$12,'PMO PREV'!BZ$63,'PMO REAL'!$F25:$US25),"")</f>
        <v/>
      </c>
      <c r="CA74" s="170" t="str">
        <f ca="1">IFERROR(AVERAGEIF('PMO REAL'!$F$12:$US$12,'PMO PREV'!CA$63,'PMO REAL'!$F25:$US25),"")</f>
        <v/>
      </c>
      <c r="CB74" s="170" t="str">
        <f ca="1">IFERROR(AVERAGEIF('PMO REAL'!$F$12:$US$12,'PMO PREV'!CB$63,'PMO REAL'!$F25:$US25),"")</f>
        <v/>
      </c>
      <c r="CC74" s="170" t="str">
        <f ca="1">IFERROR(AVERAGEIF('PMO REAL'!$F$12:$US$12,'PMO PREV'!CC$63,'PMO REAL'!$F25:$US25),"")</f>
        <v/>
      </c>
      <c r="CD74" s="170" t="str">
        <f ca="1">IFERROR(AVERAGEIF('PMO REAL'!$F$12:$US$12,'PMO PREV'!CD$63,'PMO REAL'!$F25:$US25),"")</f>
        <v/>
      </c>
      <c r="CE74" s="170" t="str">
        <f ca="1">IFERROR(AVERAGEIF('PMO REAL'!$F$12:$US$12,'PMO PREV'!CE$63,'PMO REAL'!$F25:$US25),"")</f>
        <v/>
      </c>
      <c r="CF74" s="170" t="str">
        <f ca="1">IFERROR(AVERAGEIF('PMO REAL'!$F$12:$US$12,'PMO PREV'!CF$63,'PMO REAL'!$F25:$US25),"")</f>
        <v/>
      </c>
      <c r="CG74" s="170" t="str">
        <f ca="1">IFERROR(AVERAGEIF('PMO REAL'!$F$12:$US$12,'PMO PREV'!CG$63,'PMO REAL'!$F25:$US25),"")</f>
        <v/>
      </c>
      <c r="CH74" s="120"/>
      <c r="CI74" s="121"/>
      <c r="CJ74" s="92"/>
      <c r="CK74" s="92"/>
      <c r="CL74" s="92"/>
      <c r="CM74" s="92"/>
      <c r="CN74" s="92"/>
      <c r="CO74" s="92"/>
    </row>
    <row r="75" spans="2:93" ht="15.75" customHeight="1" x14ac:dyDescent="0.3">
      <c r="B75" s="169" t="s">
        <v>72</v>
      </c>
      <c r="C75" s="107" t="s">
        <v>152</v>
      </c>
      <c r="D75" s="152" t="str">
        <f t="shared" ca="1" si="18"/>
        <v/>
      </c>
      <c r="E75" s="159" t="str">
        <f t="shared" ca="1" si="19"/>
        <v/>
      </c>
      <c r="F75" s="155" t="str">
        <f ca="1">IFERROR(AVERAGEIF('PMO REAL'!$F$12:$US$12,'PMO PREV'!F$63,'PMO REAL'!$F26:$US26),"")</f>
        <v/>
      </c>
      <c r="G75" s="170" t="str">
        <f ca="1">IFERROR(AVERAGEIF('PMO REAL'!$F$12:$US$12,'PMO PREV'!G$63,'PMO REAL'!$F26:$US26),"")</f>
        <v/>
      </c>
      <c r="H75" s="170" t="str">
        <f ca="1">IFERROR(AVERAGEIF('PMO REAL'!$F$12:$US$12,'PMO PREV'!H$63,'PMO REAL'!$F26:$US26),"")</f>
        <v/>
      </c>
      <c r="I75" s="170" t="str">
        <f ca="1">IFERROR(AVERAGEIF('PMO REAL'!$F$12:$US$12,'PMO PREV'!I$63,'PMO REAL'!$F26:$US26),"")</f>
        <v/>
      </c>
      <c r="J75" s="170" t="str">
        <f ca="1">IFERROR(AVERAGEIF('PMO REAL'!$F$12:$US$12,'PMO PREV'!J$63,'PMO REAL'!$F26:$US26),"")</f>
        <v/>
      </c>
      <c r="K75" s="170" t="str">
        <f ca="1">IFERROR(AVERAGEIF('PMO REAL'!$F$12:$US$12,'PMO PREV'!K$63,'PMO REAL'!$F26:$US26),"")</f>
        <v/>
      </c>
      <c r="L75" s="170" t="str">
        <f ca="1">IFERROR(AVERAGEIF('PMO REAL'!$F$12:$US$12,'PMO PREV'!L$63,'PMO REAL'!$F26:$US26),"")</f>
        <v/>
      </c>
      <c r="M75" s="170" t="str">
        <f ca="1">IFERROR(AVERAGEIF('PMO REAL'!$F$12:$US$12,'PMO PREV'!M$63,'PMO REAL'!$F26:$US26),"")</f>
        <v/>
      </c>
      <c r="N75" s="170" t="str">
        <f ca="1">IFERROR(AVERAGEIF('PMO REAL'!$F$12:$US$12,'PMO PREV'!N$63,'PMO REAL'!$F26:$US26),"")</f>
        <v/>
      </c>
      <c r="O75" s="170" t="str">
        <f ca="1">IFERROR(AVERAGEIF('PMO REAL'!$F$12:$US$12,'PMO PREV'!O$63,'PMO REAL'!$F26:$US26),"")</f>
        <v/>
      </c>
      <c r="P75" s="170" t="str">
        <f ca="1">IFERROR(AVERAGEIF('PMO REAL'!$F$12:$US$12,'PMO PREV'!P$63,'PMO REAL'!$F26:$US26),"")</f>
        <v/>
      </c>
      <c r="Q75" s="170" t="str">
        <f ca="1">IFERROR(AVERAGEIF('PMO REAL'!$F$12:$US$12,'PMO PREV'!Q$63,'PMO REAL'!$F26:$US26),"")</f>
        <v/>
      </c>
      <c r="R75" s="170" t="str">
        <f ca="1">IFERROR(AVERAGEIF('PMO REAL'!$F$12:$US$12,'PMO PREV'!R$63,'PMO REAL'!$F26:$US26),"")</f>
        <v/>
      </c>
      <c r="S75" s="170" t="str">
        <f ca="1">IFERROR(AVERAGEIF('PMO REAL'!$F$12:$US$12,'PMO PREV'!S$63,'PMO REAL'!$F26:$US26),"")</f>
        <v/>
      </c>
      <c r="T75" s="170" t="str">
        <f ca="1">IFERROR(AVERAGEIF('PMO REAL'!$F$12:$US$12,'PMO PREV'!T$63,'PMO REAL'!$F26:$US26),"")</f>
        <v/>
      </c>
      <c r="U75" s="170" t="str">
        <f ca="1">IFERROR(AVERAGEIF('PMO REAL'!$F$12:$US$12,'PMO PREV'!U$63,'PMO REAL'!$F26:$US26),"")</f>
        <v/>
      </c>
      <c r="V75" s="170" t="str">
        <f ca="1">IFERROR(AVERAGEIF('PMO REAL'!$F$12:$US$12,'PMO PREV'!V$63,'PMO REAL'!$F26:$US26),"")</f>
        <v/>
      </c>
      <c r="W75" s="170" t="str">
        <f ca="1">IFERROR(AVERAGEIF('PMO REAL'!$F$12:$US$12,'PMO PREV'!W$63,'PMO REAL'!$F26:$US26),"")</f>
        <v/>
      </c>
      <c r="X75" s="170" t="str">
        <f ca="1">IFERROR(AVERAGEIF('PMO REAL'!$F$12:$US$12,'PMO PREV'!X$63,'PMO REAL'!$F26:$US26),"")</f>
        <v/>
      </c>
      <c r="Y75" s="170" t="str">
        <f ca="1">IFERROR(AVERAGEIF('PMO REAL'!$F$12:$US$12,'PMO PREV'!Y$63,'PMO REAL'!$F26:$US26),"")</f>
        <v/>
      </c>
      <c r="Z75" s="170" t="str">
        <f ca="1">IFERROR(AVERAGEIF('PMO REAL'!$F$12:$US$12,'PMO PREV'!Z$63,'PMO REAL'!$F26:$US26),"")</f>
        <v/>
      </c>
      <c r="AA75" s="170" t="str">
        <f ca="1">IFERROR(AVERAGEIF('PMO REAL'!$F$12:$US$12,'PMO PREV'!AA$63,'PMO REAL'!$F26:$US26),"")</f>
        <v/>
      </c>
      <c r="AB75" s="170" t="str">
        <f ca="1">IFERROR(AVERAGEIF('PMO REAL'!$F$12:$US$12,'PMO PREV'!AB$63,'PMO REAL'!$F26:$US26),"")</f>
        <v/>
      </c>
      <c r="AC75" s="170" t="str">
        <f ca="1">IFERROR(AVERAGEIF('PMO REAL'!$F$12:$US$12,'PMO PREV'!AC$63,'PMO REAL'!$F26:$US26),"")</f>
        <v/>
      </c>
      <c r="AD75" s="170" t="str">
        <f ca="1">IFERROR(AVERAGEIF('PMO REAL'!$F$12:$US$12,'PMO PREV'!AD$63,'PMO REAL'!$F26:$US26),"")</f>
        <v/>
      </c>
      <c r="AE75" s="170" t="str">
        <f ca="1">IFERROR(AVERAGEIF('PMO REAL'!$F$12:$US$12,'PMO PREV'!AE$63,'PMO REAL'!$F26:$US26),"")</f>
        <v/>
      </c>
      <c r="AF75" s="170" t="str">
        <f ca="1">IFERROR(AVERAGEIF('PMO REAL'!$F$12:$US$12,'PMO PREV'!AF$63,'PMO REAL'!$F26:$US26),"")</f>
        <v/>
      </c>
      <c r="AG75" s="170" t="str">
        <f ca="1">IFERROR(AVERAGEIF('PMO REAL'!$F$12:$US$12,'PMO PREV'!AG$63,'PMO REAL'!$F26:$US26),"")</f>
        <v/>
      </c>
      <c r="AH75" s="170" t="str">
        <f ca="1">IFERROR(AVERAGEIF('PMO REAL'!$F$12:$US$12,'PMO PREV'!AH$63,'PMO REAL'!$F26:$US26),"")</f>
        <v/>
      </c>
      <c r="AI75" s="170" t="str">
        <f ca="1">IFERROR(AVERAGEIF('PMO REAL'!$F$12:$US$12,'PMO PREV'!AI$63,'PMO REAL'!$F26:$US26),"")</f>
        <v/>
      </c>
      <c r="AJ75" s="170" t="str">
        <f ca="1">IFERROR(AVERAGEIF('PMO REAL'!$F$12:$US$12,'PMO PREV'!AJ$63,'PMO REAL'!$F26:$US26),"")</f>
        <v/>
      </c>
      <c r="AK75" s="170" t="str">
        <f ca="1">IFERROR(AVERAGEIF('PMO REAL'!$F$12:$US$12,'PMO PREV'!AK$63,'PMO REAL'!$F26:$US26),"")</f>
        <v/>
      </c>
      <c r="AL75" s="170" t="str">
        <f ca="1">IFERROR(AVERAGEIF('PMO REAL'!$F$12:$US$12,'PMO PREV'!AL$63,'PMO REAL'!$F26:$US26),"")</f>
        <v/>
      </c>
      <c r="AM75" s="170" t="str">
        <f ca="1">IFERROR(AVERAGEIF('PMO REAL'!$F$12:$US$12,'PMO PREV'!AM$63,'PMO REAL'!$F26:$US26),"")</f>
        <v/>
      </c>
      <c r="AN75" s="170" t="str">
        <f ca="1">IFERROR(AVERAGEIF('PMO REAL'!$F$12:$US$12,'PMO PREV'!AN$63,'PMO REAL'!$F26:$US26),"")</f>
        <v/>
      </c>
      <c r="AO75" s="170" t="str">
        <f ca="1">IFERROR(AVERAGEIF('PMO REAL'!$F$12:$US$12,'PMO PREV'!AO$63,'PMO REAL'!$F26:$US26),"")</f>
        <v/>
      </c>
      <c r="AP75" s="170" t="str">
        <f ca="1">IFERROR(AVERAGEIF('PMO REAL'!$F$12:$US$12,'PMO PREV'!AP$63,'PMO REAL'!$F26:$US26),"")</f>
        <v/>
      </c>
      <c r="AQ75" s="170" t="str">
        <f ca="1">IFERROR(AVERAGEIF('PMO REAL'!$F$12:$US$12,'PMO PREV'!AQ$63,'PMO REAL'!$F26:$US26),"")</f>
        <v/>
      </c>
      <c r="AR75" s="170" t="str">
        <f ca="1">IFERROR(AVERAGEIF('PMO REAL'!$F$12:$US$12,'PMO PREV'!AR$63,'PMO REAL'!$F26:$US26),"")</f>
        <v/>
      </c>
      <c r="AS75" s="170" t="str">
        <f ca="1">IFERROR(AVERAGEIF('PMO REAL'!$F$12:$US$12,'PMO PREV'!AS$63,'PMO REAL'!$F26:$US26),"")</f>
        <v/>
      </c>
      <c r="AT75" s="170" t="str">
        <f ca="1">IFERROR(AVERAGEIF('PMO REAL'!$F$12:$US$12,'PMO PREV'!AT$63,'PMO REAL'!$F26:$US26),"")</f>
        <v/>
      </c>
      <c r="AU75" s="170" t="str">
        <f ca="1">IFERROR(AVERAGEIF('PMO REAL'!$F$12:$US$12,'PMO PREV'!AU$63,'PMO REAL'!$F26:$US26),"")</f>
        <v/>
      </c>
      <c r="AV75" s="170" t="str">
        <f ca="1">IFERROR(AVERAGEIF('PMO REAL'!$F$12:$US$12,'PMO PREV'!AV$63,'PMO REAL'!$F26:$US26),"")</f>
        <v/>
      </c>
      <c r="AW75" s="170" t="str">
        <f ca="1">IFERROR(AVERAGEIF('PMO REAL'!$F$12:$US$12,'PMO PREV'!AW$63,'PMO REAL'!$F26:$US26),"")</f>
        <v/>
      </c>
      <c r="AX75" s="170" t="str">
        <f ca="1">IFERROR(AVERAGEIF('PMO REAL'!$F$12:$US$12,'PMO PREV'!AX$63,'PMO REAL'!$F26:$US26),"")</f>
        <v/>
      </c>
      <c r="AY75" s="170" t="str">
        <f ca="1">IFERROR(AVERAGEIF('PMO REAL'!$F$12:$US$12,'PMO PREV'!AY$63,'PMO REAL'!$F26:$US26),"")</f>
        <v/>
      </c>
      <c r="AZ75" s="170" t="str">
        <f ca="1">IFERROR(AVERAGEIF('PMO REAL'!$F$12:$US$12,'PMO PREV'!AZ$63,'PMO REAL'!$F26:$US26),"")</f>
        <v/>
      </c>
      <c r="BA75" s="170" t="str">
        <f ca="1">IFERROR(AVERAGEIF('PMO REAL'!$F$12:$US$12,'PMO PREV'!BA$63,'PMO REAL'!$F26:$US26),"")</f>
        <v/>
      </c>
      <c r="BB75" s="170" t="str">
        <f ca="1">IFERROR(AVERAGEIF('PMO REAL'!$F$12:$US$12,'PMO PREV'!BB$63,'PMO REAL'!$F26:$US26),"")</f>
        <v/>
      </c>
      <c r="BC75" s="170" t="str">
        <f ca="1">IFERROR(AVERAGEIF('PMO REAL'!$F$12:$US$12,'PMO PREV'!BC$63,'PMO REAL'!$F26:$US26),"")</f>
        <v/>
      </c>
      <c r="BD75" s="170" t="str">
        <f ca="1">IFERROR(AVERAGEIF('PMO REAL'!$F$12:$US$12,'PMO PREV'!BD$63,'PMO REAL'!$F26:$US26),"")</f>
        <v/>
      </c>
      <c r="BE75" s="170" t="str">
        <f ca="1">IFERROR(AVERAGEIF('PMO REAL'!$F$12:$US$12,'PMO PREV'!BE$63,'PMO REAL'!$F26:$US26),"")</f>
        <v/>
      </c>
      <c r="BF75" s="170" t="str">
        <f ca="1">IFERROR(AVERAGEIF('PMO REAL'!$F$12:$US$12,'PMO PREV'!BF$63,'PMO REAL'!$F26:$US26),"")</f>
        <v/>
      </c>
      <c r="BG75" s="170" t="str">
        <f ca="1">IFERROR(AVERAGEIF('PMO REAL'!$F$12:$US$12,'PMO PREV'!BG$63,'PMO REAL'!$F26:$US26),"")</f>
        <v/>
      </c>
      <c r="BH75" s="170" t="str">
        <f ca="1">IFERROR(AVERAGEIF('PMO REAL'!$F$12:$US$12,'PMO PREV'!BH$63,'PMO REAL'!$F26:$US26),"")</f>
        <v/>
      </c>
      <c r="BI75" s="170" t="str">
        <f ca="1">IFERROR(AVERAGEIF('PMO REAL'!$F$12:$US$12,'PMO PREV'!BI$63,'PMO REAL'!$F26:$US26),"")</f>
        <v/>
      </c>
      <c r="BJ75" s="170" t="str">
        <f ca="1">IFERROR(AVERAGEIF('PMO REAL'!$F$12:$US$12,'PMO PREV'!BJ$63,'PMO REAL'!$F26:$US26),"")</f>
        <v/>
      </c>
      <c r="BK75" s="170" t="str">
        <f ca="1">IFERROR(AVERAGEIF('PMO REAL'!$F$12:$US$12,'PMO PREV'!BK$63,'PMO REAL'!$F26:$US26),"")</f>
        <v/>
      </c>
      <c r="BL75" s="170" t="str">
        <f ca="1">IFERROR(AVERAGEIF('PMO REAL'!$F$12:$US$12,'PMO PREV'!BL$63,'PMO REAL'!$F26:$US26),"")</f>
        <v/>
      </c>
      <c r="BM75" s="170" t="str">
        <f ca="1">IFERROR(AVERAGEIF('PMO REAL'!$F$12:$US$12,'PMO PREV'!BM$63,'PMO REAL'!$F26:$US26),"")</f>
        <v/>
      </c>
      <c r="BN75" s="170" t="str">
        <f ca="1">IFERROR(AVERAGEIF('PMO REAL'!$F$12:$US$12,'PMO PREV'!BN$63,'PMO REAL'!$F26:$US26),"")</f>
        <v/>
      </c>
      <c r="BO75" s="170" t="str">
        <f ca="1">IFERROR(AVERAGEIF('PMO REAL'!$F$12:$US$12,'PMO PREV'!BO$63,'PMO REAL'!$F26:$US26),"")</f>
        <v/>
      </c>
      <c r="BP75" s="170" t="str">
        <f ca="1">IFERROR(AVERAGEIF('PMO REAL'!$F$12:$US$12,'PMO PREV'!BP$63,'PMO REAL'!$F26:$US26),"")</f>
        <v/>
      </c>
      <c r="BQ75" s="170" t="str">
        <f ca="1">IFERROR(AVERAGEIF('PMO REAL'!$F$12:$US$12,'PMO PREV'!BQ$63,'PMO REAL'!$F26:$US26),"")</f>
        <v/>
      </c>
      <c r="BR75" s="170" t="str">
        <f ca="1">IFERROR(AVERAGEIF('PMO REAL'!$F$12:$US$12,'PMO PREV'!BR$63,'PMO REAL'!$F26:$US26),"")</f>
        <v/>
      </c>
      <c r="BS75" s="170" t="str">
        <f ca="1">IFERROR(AVERAGEIF('PMO REAL'!$F$12:$US$12,'PMO PREV'!BS$63,'PMO REAL'!$F26:$US26),"")</f>
        <v/>
      </c>
      <c r="BT75" s="170" t="str">
        <f ca="1">IFERROR(AVERAGEIF('PMO REAL'!$F$12:$US$12,'PMO PREV'!BT$63,'PMO REAL'!$F26:$US26),"")</f>
        <v/>
      </c>
      <c r="BU75" s="170" t="str">
        <f ca="1">IFERROR(AVERAGEIF('PMO REAL'!$F$12:$US$12,'PMO PREV'!BU$63,'PMO REAL'!$F26:$US26),"")</f>
        <v/>
      </c>
      <c r="BV75" s="170" t="str">
        <f ca="1">IFERROR(AVERAGEIF('PMO REAL'!$F$12:$US$12,'PMO PREV'!BV$63,'PMO REAL'!$F26:$US26),"")</f>
        <v/>
      </c>
      <c r="BW75" s="170" t="str">
        <f ca="1">IFERROR(AVERAGEIF('PMO REAL'!$F$12:$US$12,'PMO PREV'!BW$63,'PMO REAL'!$F26:$US26),"")</f>
        <v/>
      </c>
      <c r="BX75" s="170" t="str">
        <f ca="1">IFERROR(AVERAGEIF('PMO REAL'!$F$12:$US$12,'PMO PREV'!BX$63,'PMO REAL'!$F26:$US26),"")</f>
        <v/>
      </c>
      <c r="BY75" s="170" t="str">
        <f ca="1">IFERROR(AVERAGEIF('PMO REAL'!$F$12:$US$12,'PMO PREV'!BY$63,'PMO REAL'!$F26:$US26),"")</f>
        <v/>
      </c>
      <c r="BZ75" s="170" t="str">
        <f ca="1">IFERROR(AVERAGEIF('PMO REAL'!$F$12:$US$12,'PMO PREV'!BZ$63,'PMO REAL'!$F26:$US26),"")</f>
        <v/>
      </c>
      <c r="CA75" s="170" t="str">
        <f ca="1">IFERROR(AVERAGEIF('PMO REAL'!$F$12:$US$12,'PMO PREV'!CA$63,'PMO REAL'!$F26:$US26),"")</f>
        <v/>
      </c>
      <c r="CB75" s="170" t="str">
        <f ca="1">IFERROR(AVERAGEIF('PMO REAL'!$F$12:$US$12,'PMO PREV'!CB$63,'PMO REAL'!$F26:$US26),"")</f>
        <v/>
      </c>
      <c r="CC75" s="170" t="str">
        <f ca="1">IFERROR(AVERAGEIF('PMO REAL'!$F$12:$US$12,'PMO PREV'!CC$63,'PMO REAL'!$F26:$US26),"")</f>
        <v/>
      </c>
      <c r="CD75" s="170" t="str">
        <f ca="1">IFERROR(AVERAGEIF('PMO REAL'!$F$12:$US$12,'PMO PREV'!CD$63,'PMO REAL'!$F26:$US26),"")</f>
        <v/>
      </c>
      <c r="CE75" s="170" t="str">
        <f ca="1">IFERROR(AVERAGEIF('PMO REAL'!$F$12:$US$12,'PMO PREV'!CE$63,'PMO REAL'!$F26:$US26),"")</f>
        <v/>
      </c>
      <c r="CF75" s="170" t="str">
        <f ca="1">IFERROR(AVERAGEIF('PMO REAL'!$F$12:$US$12,'PMO PREV'!CF$63,'PMO REAL'!$F26:$US26),"")</f>
        <v/>
      </c>
      <c r="CG75" s="170" t="str">
        <f ca="1">IFERROR(AVERAGEIF('PMO REAL'!$F$12:$US$12,'PMO PREV'!CG$63,'PMO REAL'!$F26:$US26),"")</f>
        <v/>
      </c>
      <c r="CH75" s="120"/>
      <c r="CI75" s="121"/>
      <c r="CJ75" s="92"/>
      <c r="CK75" s="92"/>
      <c r="CL75" s="92"/>
      <c r="CM75" s="92"/>
      <c r="CN75" s="92"/>
      <c r="CO75" s="92"/>
    </row>
    <row r="76" spans="2:93" ht="15.75" customHeight="1" x14ac:dyDescent="0.3">
      <c r="B76" s="169" t="s">
        <v>70</v>
      </c>
      <c r="C76" s="107" t="s">
        <v>153</v>
      </c>
      <c r="D76" s="152" t="str">
        <f t="shared" ca="1" si="18"/>
        <v/>
      </c>
      <c r="E76" s="159" t="str">
        <f t="shared" ca="1" si="19"/>
        <v/>
      </c>
      <c r="F76" s="155" t="str">
        <f ca="1">IFERROR(AVERAGEIF('PMO REAL'!$F$12:$US$12,'PMO PREV'!F$63,'PMO REAL'!$F27:$US27),"")</f>
        <v/>
      </c>
      <c r="G76" s="170" t="str">
        <f ca="1">IFERROR(AVERAGEIF('PMO REAL'!$F$12:$US$12,'PMO PREV'!G$63,'PMO REAL'!$F27:$US27),"")</f>
        <v/>
      </c>
      <c r="H76" s="170" t="str">
        <f ca="1">IFERROR(AVERAGEIF('PMO REAL'!$F$12:$US$12,'PMO PREV'!H$63,'PMO REAL'!$F27:$US27),"")</f>
        <v/>
      </c>
      <c r="I76" s="170" t="str">
        <f ca="1">IFERROR(AVERAGEIF('PMO REAL'!$F$12:$US$12,'PMO PREV'!I$63,'PMO REAL'!$F27:$US27),"")</f>
        <v/>
      </c>
      <c r="J76" s="170" t="str">
        <f ca="1">IFERROR(AVERAGEIF('PMO REAL'!$F$12:$US$12,'PMO PREV'!J$63,'PMO REAL'!$F27:$US27),"")</f>
        <v/>
      </c>
      <c r="K76" s="170" t="str">
        <f ca="1">IFERROR(AVERAGEIF('PMO REAL'!$F$12:$US$12,'PMO PREV'!K$63,'PMO REAL'!$F27:$US27),"")</f>
        <v/>
      </c>
      <c r="L76" s="170" t="str">
        <f ca="1">IFERROR(AVERAGEIF('PMO REAL'!$F$12:$US$12,'PMO PREV'!L$63,'PMO REAL'!$F27:$US27),"")</f>
        <v/>
      </c>
      <c r="M76" s="170" t="str">
        <f ca="1">IFERROR(AVERAGEIF('PMO REAL'!$F$12:$US$12,'PMO PREV'!M$63,'PMO REAL'!$F27:$US27),"")</f>
        <v/>
      </c>
      <c r="N76" s="170" t="str">
        <f ca="1">IFERROR(AVERAGEIF('PMO REAL'!$F$12:$US$12,'PMO PREV'!N$63,'PMO REAL'!$F27:$US27),"")</f>
        <v/>
      </c>
      <c r="O76" s="170" t="str">
        <f ca="1">IFERROR(AVERAGEIF('PMO REAL'!$F$12:$US$12,'PMO PREV'!O$63,'PMO REAL'!$F27:$US27),"")</f>
        <v/>
      </c>
      <c r="P76" s="170" t="str">
        <f ca="1">IFERROR(AVERAGEIF('PMO REAL'!$F$12:$US$12,'PMO PREV'!P$63,'PMO REAL'!$F27:$US27),"")</f>
        <v/>
      </c>
      <c r="Q76" s="170" t="str">
        <f ca="1">IFERROR(AVERAGEIF('PMO REAL'!$F$12:$US$12,'PMO PREV'!Q$63,'PMO REAL'!$F27:$US27),"")</f>
        <v/>
      </c>
      <c r="R76" s="170" t="str">
        <f ca="1">IFERROR(AVERAGEIF('PMO REAL'!$F$12:$US$12,'PMO PREV'!R$63,'PMO REAL'!$F27:$US27),"")</f>
        <v/>
      </c>
      <c r="S76" s="170" t="str">
        <f ca="1">IFERROR(AVERAGEIF('PMO REAL'!$F$12:$US$12,'PMO PREV'!S$63,'PMO REAL'!$F27:$US27),"")</f>
        <v/>
      </c>
      <c r="T76" s="170" t="str">
        <f ca="1">IFERROR(AVERAGEIF('PMO REAL'!$F$12:$US$12,'PMO PREV'!T$63,'PMO REAL'!$F27:$US27),"")</f>
        <v/>
      </c>
      <c r="U76" s="170" t="str">
        <f ca="1">IFERROR(AVERAGEIF('PMO REAL'!$F$12:$US$12,'PMO PREV'!U$63,'PMO REAL'!$F27:$US27),"")</f>
        <v/>
      </c>
      <c r="V76" s="170" t="str">
        <f ca="1">IFERROR(AVERAGEIF('PMO REAL'!$F$12:$US$12,'PMO PREV'!V$63,'PMO REAL'!$F27:$US27),"")</f>
        <v/>
      </c>
      <c r="W76" s="170" t="str">
        <f ca="1">IFERROR(AVERAGEIF('PMO REAL'!$F$12:$US$12,'PMO PREV'!W$63,'PMO REAL'!$F27:$US27),"")</f>
        <v/>
      </c>
      <c r="X76" s="170" t="str">
        <f ca="1">IFERROR(AVERAGEIF('PMO REAL'!$F$12:$US$12,'PMO PREV'!X$63,'PMO REAL'!$F27:$US27),"")</f>
        <v/>
      </c>
      <c r="Y76" s="170" t="str">
        <f ca="1">IFERROR(AVERAGEIF('PMO REAL'!$F$12:$US$12,'PMO PREV'!Y$63,'PMO REAL'!$F27:$US27),"")</f>
        <v/>
      </c>
      <c r="Z76" s="170" t="str">
        <f ca="1">IFERROR(AVERAGEIF('PMO REAL'!$F$12:$US$12,'PMO PREV'!Z$63,'PMO REAL'!$F27:$US27),"")</f>
        <v/>
      </c>
      <c r="AA76" s="170" t="str">
        <f ca="1">IFERROR(AVERAGEIF('PMO REAL'!$F$12:$US$12,'PMO PREV'!AA$63,'PMO REAL'!$F27:$US27),"")</f>
        <v/>
      </c>
      <c r="AB76" s="170" t="str">
        <f ca="1">IFERROR(AVERAGEIF('PMO REAL'!$F$12:$US$12,'PMO PREV'!AB$63,'PMO REAL'!$F27:$US27),"")</f>
        <v/>
      </c>
      <c r="AC76" s="170" t="str">
        <f ca="1">IFERROR(AVERAGEIF('PMO REAL'!$F$12:$US$12,'PMO PREV'!AC$63,'PMO REAL'!$F27:$US27),"")</f>
        <v/>
      </c>
      <c r="AD76" s="170" t="str">
        <f ca="1">IFERROR(AVERAGEIF('PMO REAL'!$F$12:$US$12,'PMO PREV'!AD$63,'PMO REAL'!$F27:$US27),"")</f>
        <v/>
      </c>
      <c r="AE76" s="170" t="str">
        <f ca="1">IFERROR(AVERAGEIF('PMO REAL'!$F$12:$US$12,'PMO PREV'!AE$63,'PMO REAL'!$F27:$US27),"")</f>
        <v/>
      </c>
      <c r="AF76" s="170" t="str">
        <f ca="1">IFERROR(AVERAGEIF('PMO REAL'!$F$12:$US$12,'PMO PREV'!AF$63,'PMO REAL'!$F27:$US27),"")</f>
        <v/>
      </c>
      <c r="AG76" s="170" t="str">
        <f ca="1">IFERROR(AVERAGEIF('PMO REAL'!$F$12:$US$12,'PMO PREV'!AG$63,'PMO REAL'!$F27:$US27),"")</f>
        <v/>
      </c>
      <c r="AH76" s="170" t="str">
        <f ca="1">IFERROR(AVERAGEIF('PMO REAL'!$F$12:$US$12,'PMO PREV'!AH$63,'PMO REAL'!$F27:$US27),"")</f>
        <v/>
      </c>
      <c r="AI76" s="170" t="str">
        <f ca="1">IFERROR(AVERAGEIF('PMO REAL'!$F$12:$US$12,'PMO PREV'!AI$63,'PMO REAL'!$F27:$US27),"")</f>
        <v/>
      </c>
      <c r="AJ76" s="170" t="str">
        <f ca="1">IFERROR(AVERAGEIF('PMO REAL'!$F$12:$US$12,'PMO PREV'!AJ$63,'PMO REAL'!$F27:$US27),"")</f>
        <v/>
      </c>
      <c r="AK76" s="170" t="str">
        <f ca="1">IFERROR(AVERAGEIF('PMO REAL'!$F$12:$US$12,'PMO PREV'!AK$63,'PMO REAL'!$F27:$US27),"")</f>
        <v/>
      </c>
      <c r="AL76" s="170" t="str">
        <f ca="1">IFERROR(AVERAGEIF('PMO REAL'!$F$12:$US$12,'PMO PREV'!AL$63,'PMO REAL'!$F27:$US27),"")</f>
        <v/>
      </c>
      <c r="AM76" s="170" t="str">
        <f ca="1">IFERROR(AVERAGEIF('PMO REAL'!$F$12:$US$12,'PMO PREV'!AM$63,'PMO REAL'!$F27:$US27),"")</f>
        <v/>
      </c>
      <c r="AN76" s="170" t="str">
        <f ca="1">IFERROR(AVERAGEIF('PMO REAL'!$F$12:$US$12,'PMO PREV'!AN$63,'PMO REAL'!$F27:$US27),"")</f>
        <v/>
      </c>
      <c r="AO76" s="170" t="str">
        <f ca="1">IFERROR(AVERAGEIF('PMO REAL'!$F$12:$US$12,'PMO PREV'!AO$63,'PMO REAL'!$F27:$US27),"")</f>
        <v/>
      </c>
      <c r="AP76" s="170" t="str">
        <f ca="1">IFERROR(AVERAGEIF('PMO REAL'!$F$12:$US$12,'PMO PREV'!AP$63,'PMO REAL'!$F27:$US27),"")</f>
        <v/>
      </c>
      <c r="AQ76" s="170" t="str">
        <f ca="1">IFERROR(AVERAGEIF('PMO REAL'!$F$12:$US$12,'PMO PREV'!AQ$63,'PMO REAL'!$F27:$US27),"")</f>
        <v/>
      </c>
      <c r="AR76" s="170" t="str">
        <f ca="1">IFERROR(AVERAGEIF('PMO REAL'!$F$12:$US$12,'PMO PREV'!AR$63,'PMO REAL'!$F27:$US27),"")</f>
        <v/>
      </c>
      <c r="AS76" s="170" t="str">
        <f ca="1">IFERROR(AVERAGEIF('PMO REAL'!$F$12:$US$12,'PMO PREV'!AS$63,'PMO REAL'!$F27:$US27),"")</f>
        <v/>
      </c>
      <c r="AT76" s="170" t="str">
        <f ca="1">IFERROR(AVERAGEIF('PMO REAL'!$F$12:$US$12,'PMO PREV'!AT$63,'PMO REAL'!$F27:$US27),"")</f>
        <v/>
      </c>
      <c r="AU76" s="170" t="str">
        <f ca="1">IFERROR(AVERAGEIF('PMO REAL'!$F$12:$US$12,'PMO PREV'!AU$63,'PMO REAL'!$F27:$US27),"")</f>
        <v/>
      </c>
      <c r="AV76" s="170" t="str">
        <f ca="1">IFERROR(AVERAGEIF('PMO REAL'!$F$12:$US$12,'PMO PREV'!AV$63,'PMO REAL'!$F27:$US27),"")</f>
        <v/>
      </c>
      <c r="AW76" s="170" t="str">
        <f ca="1">IFERROR(AVERAGEIF('PMO REAL'!$F$12:$US$12,'PMO PREV'!AW$63,'PMO REAL'!$F27:$US27),"")</f>
        <v/>
      </c>
      <c r="AX76" s="170" t="str">
        <f ca="1">IFERROR(AVERAGEIF('PMO REAL'!$F$12:$US$12,'PMO PREV'!AX$63,'PMO REAL'!$F27:$US27),"")</f>
        <v/>
      </c>
      <c r="AY76" s="170" t="str">
        <f ca="1">IFERROR(AVERAGEIF('PMO REAL'!$F$12:$US$12,'PMO PREV'!AY$63,'PMO REAL'!$F27:$US27),"")</f>
        <v/>
      </c>
      <c r="AZ76" s="170" t="str">
        <f ca="1">IFERROR(AVERAGEIF('PMO REAL'!$F$12:$US$12,'PMO PREV'!AZ$63,'PMO REAL'!$F27:$US27),"")</f>
        <v/>
      </c>
      <c r="BA76" s="170" t="str">
        <f ca="1">IFERROR(AVERAGEIF('PMO REAL'!$F$12:$US$12,'PMO PREV'!BA$63,'PMO REAL'!$F27:$US27),"")</f>
        <v/>
      </c>
      <c r="BB76" s="170" t="str">
        <f ca="1">IFERROR(AVERAGEIF('PMO REAL'!$F$12:$US$12,'PMO PREV'!BB$63,'PMO REAL'!$F27:$US27),"")</f>
        <v/>
      </c>
      <c r="BC76" s="170" t="str">
        <f ca="1">IFERROR(AVERAGEIF('PMO REAL'!$F$12:$US$12,'PMO PREV'!BC$63,'PMO REAL'!$F27:$US27),"")</f>
        <v/>
      </c>
      <c r="BD76" s="170" t="str">
        <f ca="1">IFERROR(AVERAGEIF('PMO REAL'!$F$12:$US$12,'PMO PREV'!BD$63,'PMO REAL'!$F27:$US27),"")</f>
        <v/>
      </c>
      <c r="BE76" s="170" t="str">
        <f ca="1">IFERROR(AVERAGEIF('PMO REAL'!$F$12:$US$12,'PMO PREV'!BE$63,'PMO REAL'!$F27:$US27),"")</f>
        <v/>
      </c>
      <c r="BF76" s="170" t="str">
        <f ca="1">IFERROR(AVERAGEIF('PMO REAL'!$F$12:$US$12,'PMO PREV'!BF$63,'PMO REAL'!$F27:$US27),"")</f>
        <v/>
      </c>
      <c r="BG76" s="170" t="str">
        <f ca="1">IFERROR(AVERAGEIF('PMO REAL'!$F$12:$US$12,'PMO PREV'!BG$63,'PMO REAL'!$F27:$US27),"")</f>
        <v/>
      </c>
      <c r="BH76" s="170" t="str">
        <f ca="1">IFERROR(AVERAGEIF('PMO REAL'!$F$12:$US$12,'PMO PREV'!BH$63,'PMO REAL'!$F27:$US27),"")</f>
        <v/>
      </c>
      <c r="BI76" s="170" t="str">
        <f ca="1">IFERROR(AVERAGEIF('PMO REAL'!$F$12:$US$12,'PMO PREV'!BI$63,'PMO REAL'!$F27:$US27),"")</f>
        <v/>
      </c>
      <c r="BJ76" s="170" t="str">
        <f ca="1">IFERROR(AVERAGEIF('PMO REAL'!$F$12:$US$12,'PMO PREV'!BJ$63,'PMO REAL'!$F27:$US27),"")</f>
        <v/>
      </c>
      <c r="BK76" s="170" t="str">
        <f ca="1">IFERROR(AVERAGEIF('PMO REAL'!$F$12:$US$12,'PMO PREV'!BK$63,'PMO REAL'!$F27:$US27),"")</f>
        <v/>
      </c>
      <c r="BL76" s="170" t="str">
        <f ca="1">IFERROR(AVERAGEIF('PMO REAL'!$F$12:$US$12,'PMO PREV'!BL$63,'PMO REAL'!$F27:$US27),"")</f>
        <v/>
      </c>
      <c r="BM76" s="170" t="str">
        <f ca="1">IFERROR(AVERAGEIF('PMO REAL'!$F$12:$US$12,'PMO PREV'!BM$63,'PMO REAL'!$F27:$US27),"")</f>
        <v/>
      </c>
      <c r="BN76" s="170" t="str">
        <f ca="1">IFERROR(AVERAGEIF('PMO REAL'!$F$12:$US$12,'PMO PREV'!BN$63,'PMO REAL'!$F27:$US27),"")</f>
        <v/>
      </c>
      <c r="BO76" s="170" t="str">
        <f ca="1">IFERROR(AVERAGEIF('PMO REAL'!$F$12:$US$12,'PMO PREV'!BO$63,'PMO REAL'!$F27:$US27),"")</f>
        <v/>
      </c>
      <c r="BP76" s="170" t="str">
        <f ca="1">IFERROR(AVERAGEIF('PMO REAL'!$F$12:$US$12,'PMO PREV'!BP$63,'PMO REAL'!$F27:$US27),"")</f>
        <v/>
      </c>
      <c r="BQ76" s="170" t="str">
        <f ca="1">IFERROR(AVERAGEIF('PMO REAL'!$F$12:$US$12,'PMO PREV'!BQ$63,'PMO REAL'!$F27:$US27),"")</f>
        <v/>
      </c>
      <c r="BR76" s="170" t="str">
        <f ca="1">IFERROR(AVERAGEIF('PMO REAL'!$F$12:$US$12,'PMO PREV'!BR$63,'PMO REAL'!$F27:$US27),"")</f>
        <v/>
      </c>
      <c r="BS76" s="170" t="str">
        <f ca="1">IFERROR(AVERAGEIF('PMO REAL'!$F$12:$US$12,'PMO PREV'!BS$63,'PMO REAL'!$F27:$US27),"")</f>
        <v/>
      </c>
      <c r="BT76" s="170" t="str">
        <f ca="1">IFERROR(AVERAGEIF('PMO REAL'!$F$12:$US$12,'PMO PREV'!BT$63,'PMO REAL'!$F27:$US27),"")</f>
        <v/>
      </c>
      <c r="BU76" s="170" t="str">
        <f ca="1">IFERROR(AVERAGEIF('PMO REAL'!$F$12:$US$12,'PMO PREV'!BU$63,'PMO REAL'!$F27:$US27),"")</f>
        <v/>
      </c>
      <c r="BV76" s="170" t="str">
        <f ca="1">IFERROR(AVERAGEIF('PMO REAL'!$F$12:$US$12,'PMO PREV'!BV$63,'PMO REAL'!$F27:$US27),"")</f>
        <v/>
      </c>
      <c r="BW76" s="170" t="str">
        <f ca="1">IFERROR(AVERAGEIF('PMO REAL'!$F$12:$US$12,'PMO PREV'!BW$63,'PMO REAL'!$F27:$US27),"")</f>
        <v/>
      </c>
      <c r="BX76" s="170" t="str">
        <f ca="1">IFERROR(AVERAGEIF('PMO REAL'!$F$12:$US$12,'PMO PREV'!BX$63,'PMO REAL'!$F27:$US27),"")</f>
        <v/>
      </c>
      <c r="BY76" s="170" t="str">
        <f ca="1">IFERROR(AVERAGEIF('PMO REAL'!$F$12:$US$12,'PMO PREV'!BY$63,'PMO REAL'!$F27:$US27),"")</f>
        <v/>
      </c>
      <c r="BZ76" s="170" t="str">
        <f ca="1">IFERROR(AVERAGEIF('PMO REAL'!$F$12:$US$12,'PMO PREV'!BZ$63,'PMO REAL'!$F27:$US27),"")</f>
        <v/>
      </c>
      <c r="CA76" s="170" t="str">
        <f ca="1">IFERROR(AVERAGEIF('PMO REAL'!$F$12:$US$12,'PMO PREV'!CA$63,'PMO REAL'!$F27:$US27),"")</f>
        <v/>
      </c>
      <c r="CB76" s="170" t="str">
        <f ca="1">IFERROR(AVERAGEIF('PMO REAL'!$F$12:$US$12,'PMO PREV'!CB$63,'PMO REAL'!$F27:$US27),"")</f>
        <v/>
      </c>
      <c r="CC76" s="170" t="str">
        <f ca="1">IFERROR(AVERAGEIF('PMO REAL'!$F$12:$US$12,'PMO PREV'!CC$63,'PMO REAL'!$F27:$US27),"")</f>
        <v/>
      </c>
      <c r="CD76" s="170" t="str">
        <f ca="1">IFERROR(AVERAGEIF('PMO REAL'!$F$12:$US$12,'PMO PREV'!CD$63,'PMO REAL'!$F27:$US27),"")</f>
        <v/>
      </c>
      <c r="CE76" s="170" t="str">
        <f ca="1">IFERROR(AVERAGEIF('PMO REAL'!$F$12:$US$12,'PMO PREV'!CE$63,'PMO REAL'!$F27:$US27),"")</f>
        <v/>
      </c>
      <c r="CF76" s="170" t="str">
        <f ca="1">IFERROR(AVERAGEIF('PMO REAL'!$F$12:$US$12,'PMO PREV'!CF$63,'PMO REAL'!$F27:$US27),"")</f>
        <v/>
      </c>
      <c r="CG76" s="170" t="str">
        <f ca="1">IFERROR(AVERAGEIF('PMO REAL'!$F$12:$US$12,'PMO PREV'!CG$63,'PMO REAL'!$F27:$US27),"")</f>
        <v/>
      </c>
      <c r="CH76" s="120"/>
      <c r="CI76" s="121"/>
      <c r="CJ76" s="92"/>
      <c r="CK76" s="92"/>
      <c r="CL76" s="92"/>
      <c r="CM76" s="92"/>
      <c r="CN76" s="92"/>
      <c r="CO76" s="92"/>
    </row>
    <row r="77" spans="2:93" ht="15.75" customHeight="1" x14ac:dyDescent="0.3">
      <c r="B77" s="169" t="s">
        <v>68</v>
      </c>
      <c r="C77" s="107" t="s">
        <v>74</v>
      </c>
      <c r="D77" s="152" t="str">
        <f t="shared" ca="1" si="18"/>
        <v/>
      </c>
      <c r="E77" s="159" t="str">
        <f t="shared" ca="1" si="19"/>
        <v/>
      </c>
      <c r="F77" s="155" t="str">
        <f ca="1">IFERROR(AVERAGEIF('PMO REAL'!$F$12:$US$12,'PMO PREV'!F$63,'PMO REAL'!$F28:$US28),"")</f>
        <v/>
      </c>
      <c r="G77" s="170" t="str">
        <f ca="1">IFERROR(AVERAGEIF('PMO REAL'!$F$12:$US$12,'PMO PREV'!G$63,'PMO REAL'!$F28:$US28),"")</f>
        <v/>
      </c>
      <c r="H77" s="170" t="str">
        <f ca="1">IFERROR(AVERAGEIF('PMO REAL'!$F$12:$US$12,'PMO PREV'!H$63,'PMO REAL'!$F28:$US28),"")</f>
        <v/>
      </c>
      <c r="I77" s="170" t="str">
        <f ca="1">IFERROR(AVERAGEIF('PMO REAL'!$F$12:$US$12,'PMO PREV'!I$63,'PMO REAL'!$F28:$US28),"")</f>
        <v/>
      </c>
      <c r="J77" s="170" t="str">
        <f ca="1">IFERROR(AVERAGEIF('PMO REAL'!$F$12:$US$12,'PMO PREV'!J$63,'PMO REAL'!$F28:$US28),"")</f>
        <v/>
      </c>
      <c r="K77" s="170" t="str">
        <f ca="1">IFERROR(AVERAGEIF('PMO REAL'!$F$12:$US$12,'PMO PREV'!K$63,'PMO REAL'!$F28:$US28),"")</f>
        <v/>
      </c>
      <c r="L77" s="170" t="str">
        <f ca="1">IFERROR(AVERAGEIF('PMO REAL'!$F$12:$US$12,'PMO PREV'!L$63,'PMO REAL'!$F28:$US28),"")</f>
        <v/>
      </c>
      <c r="M77" s="170" t="str">
        <f ca="1">IFERROR(AVERAGEIF('PMO REAL'!$F$12:$US$12,'PMO PREV'!M$63,'PMO REAL'!$F28:$US28),"")</f>
        <v/>
      </c>
      <c r="N77" s="170" t="str">
        <f ca="1">IFERROR(AVERAGEIF('PMO REAL'!$F$12:$US$12,'PMO PREV'!N$63,'PMO REAL'!$F28:$US28),"")</f>
        <v/>
      </c>
      <c r="O77" s="170" t="str">
        <f ca="1">IFERROR(AVERAGEIF('PMO REAL'!$F$12:$US$12,'PMO PREV'!O$63,'PMO REAL'!$F28:$US28),"")</f>
        <v/>
      </c>
      <c r="P77" s="170" t="str">
        <f ca="1">IFERROR(AVERAGEIF('PMO REAL'!$F$12:$US$12,'PMO PREV'!P$63,'PMO REAL'!$F28:$US28),"")</f>
        <v/>
      </c>
      <c r="Q77" s="170" t="str">
        <f ca="1">IFERROR(AVERAGEIF('PMO REAL'!$F$12:$US$12,'PMO PREV'!Q$63,'PMO REAL'!$F28:$US28),"")</f>
        <v/>
      </c>
      <c r="R77" s="170" t="str">
        <f ca="1">IFERROR(AVERAGEIF('PMO REAL'!$F$12:$US$12,'PMO PREV'!R$63,'PMO REAL'!$F28:$US28),"")</f>
        <v/>
      </c>
      <c r="S77" s="170" t="str">
        <f ca="1">IFERROR(AVERAGEIF('PMO REAL'!$F$12:$US$12,'PMO PREV'!S$63,'PMO REAL'!$F28:$US28),"")</f>
        <v/>
      </c>
      <c r="T77" s="170" t="str">
        <f ca="1">IFERROR(AVERAGEIF('PMO REAL'!$F$12:$US$12,'PMO PREV'!T$63,'PMO REAL'!$F28:$US28),"")</f>
        <v/>
      </c>
      <c r="U77" s="170" t="str">
        <f ca="1">IFERROR(AVERAGEIF('PMO REAL'!$F$12:$US$12,'PMO PREV'!U$63,'PMO REAL'!$F28:$US28),"")</f>
        <v/>
      </c>
      <c r="V77" s="170" t="str">
        <f ca="1">IFERROR(AVERAGEIF('PMO REAL'!$F$12:$US$12,'PMO PREV'!V$63,'PMO REAL'!$F28:$US28),"")</f>
        <v/>
      </c>
      <c r="W77" s="170" t="str">
        <f ca="1">IFERROR(AVERAGEIF('PMO REAL'!$F$12:$US$12,'PMO PREV'!W$63,'PMO REAL'!$F28:$US28),"")</f>
        <v/>
      </c>
      <c r="X77" s="170" t="str">
        <f ca="1">IFERROR(AVERAGEIF('PMO REAL'!$F$12:$US$12,'PMO PREV'!X$63,'PMO REAL'!$F28:$US28),"")</f>
        <v/>
      </c>
      <c r="Y77" s="170" t="str">
        <f ca="1">IFERROR(AVERAGEIF('PMO REAL'!$F$12:$US$12,'PMO PREV'!Y$63,'PMO REAL'!$F28:$US28),"")</f>
        <v/>
      </c>
      <c r="Z77" s="170" t="str">
        <f ca="1">IFERROR(AVERAGEIF('PMO REAL'!$F$12:$US$12,'PMO PREV'!Z$63,'PMO REAL'!$F28:$US28),"")</f>
        <v/>
      </c>
      <c r="AA77" s="170" t="str">
        <f ca="1">IFERROR(AVERAGEIF('PMO REAL'!$F$12:$US$12,'PMO PREV'!AA$63,'PMO REAL'!$F28:$US28),"")</f>
        <v/>
      </c>
      <c r="AB77" s="170" t="str">
        <f ca="1">IFERROR(AVERAGEIF('PMO REAL'!$F$12:$US$12,'PMO PREV'!AB$63,'PMO REAL'!$F28:$US28),"")</f>
        <v/>
      </c>
      <c r="AC77" s="170" t="str">
        <f ca="1">IFERROR(AVERAGEIF('PMO REAL'!$F$12:$US$12,'PMO PREV'!AC$63,'PMO REAL'!$F28:$US28),"")</f>
        <v/>
      </c>
      <c r="AD77" s="170" t="str">
        <f ca="1">IFERROR(AVERAGEIF('PMO REAL'!$F$12:$US$12,'PMO PREV'!AD$63,'PMO REAL'!$F28:$US28),"")</f>
        <v/>
      </c>
      <c r="AE77" s="170" t="str">
        <f ca="1">IFERROR(AVERAGEIF('PMO REAL'!$F$12:$US$12,'PMO PREV'!AE$63,'PMO REAL'!$F28:$US28),"")</f>
        <v/>
      </c>
      <c r="AF77" s="170" t="str">
        <f ca="1">IFERROR(AVERAGEIF('PMO REAL'!$F$12:$US$12,'PMO PREV'!AF$63,'PMO REAL'!$F28:$US28),"")</f>
        <v/>
      </c>
      <c r="AG77" s="170" t="str">
        <f ca="1">IFERROR(AVERAGEIF('PMO REAL'!$F$12:$US$12,'PMO PREV'!AG$63,'PMO REAL'!$F28:$US28),"")</f>
        <v/>
      </c>
      <c r="AH77" s="170" t="str">
        <f ca="1">IFERROR(AVERAGEIF('PMO REAL'!$F$12:$US$12,'PMO PREV'!AH$63,'PMO REAL'!$F28:$US28),"")</f>
        <v/>
      </c>
      <c r="AI77" s="170" t="str">
        <f ca="1">IFERROR(AVERAGEIF('PMO REAL'!$F$12:$US$12,'PMO PREV'!AI$63,'PMO REAL'!$F28:$US28),"")</f>
        <v/>
      </c>
      <c r="AJ77" s="170" t="str">
        <f ca="1">IFERROR(AVERAGEIF('PMO REAL'!$F$12:$US$12,'PMO PREV'!AJ$63,'PMO REAL'!$F28:$US28),"")</f>
        <v/>
      </c>
      <c r="AK77" s="170" t="str">
        <f ca="1">IFERROR(AVERAGEIF('PMO REAL'!$F$12:$US$12,'PMO PREV'!AK$63,'PMO REAL'!$F28:$US28),"")</f>
        <v/>
      </c>
      <c r="AL77" s="170" t="str">
        <f ca="1">IFERROR(AVERAGEIF('PMO REAL'!$F$12:$US$12,'PMO PREV'!AL$63,'PMO REAL'!$F28:$US28),"")</f>
        <v/>
      </c>
      <c r="AM77" s="170" t="str">
        <f ca="1">IFERROR(AVERAGEIF('PMO REAL'!$F$12:$US$12,'PMO PREV'!AM$63,'PMO REAL'!$F28:$US28),"")</f>
        <v/>
      </c>
      <c r="AN77" s="170" t="str">
        <f ca="1">IFERROR(AVERAGEIF('PMO REAL'!$F$12:$US$12,'PMO PREV'!AN$63,'PMO REAL'!$F28:$US28),"")</f>
        <v/>
      </c>
      <c r="AO77" s="170" t="str">
        <f ca="1">IFERROR(AVERAGEIF('PMO REAL'!$F$12:$US$12,'PMO PREV'!AO$63,'PMO REAL'!$F28:$US28),"")</f>
        <v/>
      </c>
      <c r="AP77" s="170" t="str">
        <f ca="1">IFERROR(AVERAGEIF('PMO REAL'!$F$12:$US$12,'PMO PREV'!AP$63,'PMO REAL'!$F28:$US28),"")</f>
        <v/>
      </c>
      <c r="AQ77" s="170" t="str">
        <f ca="1">IFERROR(AVERAGEIF('PMO REAL'!$F$12:$US$12,'PMO PREV'!AQ$63,'PMO REAL'!$F28:$US28),"")</f>
        <v/>
      </c>
      <c r="AR77" s="170" t="str">
        <f ca="1">IFERROR(AVERAGEIF('PMO REAL'!$F$12:$US$12,'PMO PREV'!AR$63,'PMO REAL'!$F28:$US28),"")</f>
        <v/>
      </c>
      <c r="AS77" s="170" t="str">
        <f ca="1">IFERROR(AVERAGEIF('PMO REAL'!$F$12:$US$12,'PMO PREV'!AS$63,'PMO REAL'!$F28:$US28),"")</f>
        <v/>
      </c>
      <c r="AT77" s="170" t="str">
        <f ca="1">IFERROR(AVERAGEIF('PMO REAL'!$F$12:$US$12,'PMO PREV'!AT$63,'PMO REAL'!$F28:$US28),"")</f>
        <v/>
      </c>
      <c r="AU77" s="170" t="str">
        <f ca="1">IFERROR(AVERAGEIF('PMO REAL'!$F$12:$US$12,'PMO PREV'!AU$63,'PMO REAL'!$F28:$US28),"")</f>
        <v/>
      </c>
      <c r="AV77" s="170" t="str">
        <f ca="1">IFERROR(AVERAGEIF('PMO REAL'!$F$12:$US$12,'PMO PREV'!AV$63,'PMO REAL'!$F28:$US28),"")</f>
        <v/>
      </c>
      <c r="AW77" s="170" t="str">
        <f ca="1">IFERROR(AVERAGEIF('PMO REAL'!$F$12:$US$12,'PMO PREV'!AW$63,'PMO REAL'!$F28:$US28),"")</f>
        <v/>
      </c>
      <c r="AX77" s="170" t="str">
        <f ca="1">IFERROR(AVERAGEIF('PMO REAL'!$F$12:$US$12,'PMO PREV'!AX$63,'PMO REAL'!$F28:$US28),"")</f>
        <v/>
      </c>
      <c r="AY77" s="170" t="str">
        <f ca="1">IFERROR(AVERAGEIF('PMO REAL'!$F$12:$US$12,'PMO PREV'!AY$63,'PMO REAL'!$F28:$US28),"")</f>
        <v/>
      </c>
      <c r="AZ77" s="170" t="str">
        <f ca="1">IFERROR(AVERAGEIF('PMO REAL'!$F$12:$US$12,'PMO PREV'!AZ$63,'PMO REAL'!$F28:$US28),"")</f>
        <v/>
      </c>
      <c r="BA77" s="170" t="str">
        <f ca="1">IFERROR(AVERAGEIF('PMO REAL'!$F$12:$US$12,'PMO PREV'!BA$63,'PMO REAL'!$F28:$US28),"")</f>
        <v/>
      </c>
      <c r="BB77" s="170" t="str">
        <f ca="1">IFERROR(AVERAGEIF('PMO REAL'!$F$12:$US$12,'PMO PREV'!BB$63,'PMO REAL'!$F28:$US28),"")</f>
        <v/>
      </c>
      <c r="BC77" s="170" t="str">
        <f ca="1">IFERROR(AVERAGEIF('PMO REAL'!$F$12:$US$12,'PMO PREV'!BC$63,'PMO REAL'!$F28:$US28),"")</f>
        <v/>
      </c>
      <c r="BD77" s="170" t="str">
        <f ca="1">IFERROR(AVERAGEIF('PMO REAL'!$F$12:$US$12,'PMO PREV'!BD$63,'PMO REAL'!$F28:$US28),"")</f>
        <v/>
      </c>
      <c r="BE77" s="170" t="str">
        <f ca="1">IFERROR(AVERAGEIF('PMO REAL'!$F$12:$US$12,'PMO PREV'!BE$63,'PMO REAL'!$F28:$US28),"")</f>
        <v/>
      </c>
      <c r="BF77" s="170" t="str">
        <f ca="1">IFERROR(AVERAGEIF('PMO REAL'!$F$12:$US$12,'PMO PREV'!BF$63,'PMO REAL'!$F28:$US28),"")</f>
        <v/>
      </c>
      <c r="BG77" s="170" t="str">
        <f ca="1">IFERROR(AVERAGEIF('PMO REAL'!$F$12:$US$12,'PMO PREV'!BG$63,'PMO REAL'!$F28:$US28),"")</f>
        <v/>
      </c>
      <c r="BH77" s="170" t="str">
        <f ca="1">IFERROR(AVERAGEIF('PMO REAL'!$F$12:$US$12,'PMO PREV'!BH$63,'PMO REAL'!$F28:$US28),"")</f>
        <v/>
      </c>
      <c r="BI77" s="170" t="str">
        <f ca="1">IFERROR(AVERAGEIF('PMO REAL'!$F$12:$US$12,'PMO PREV'!BI$63,'PMO REAL'!$F28:$US28),"")</f>
        <v/>
      </c>
      <c r="BJ77" s="170" t="str">
        <f ca="1">IFERROR(AVERAGEIF('PMO REAL'!$F$12:$US$12,'PMO PREV'!BJ$63,'PMO REAL'!$F28:$US28),"")</f>
        <v/>
      </c>
      <c r="BK77" s="170" t="str">
        <f ca="1">IFERROR(AVERAGEIF('PMO REAL'!$F$12:$US$12,'PMO PREV'!BK$63,'PMO REAL'!$F28:$US28),"")</f>
        <v/>
      </c>
      <c r="BL77" s="170" t="str">
        <f ca="1">IFERROR(AVERAGEIF('PMO REAL'!$F$12:$US$12,'PMO PREV'!BL$63,'PMO REAL'!$F28:$US28),"")</f>
        <v/>
      </c>
      <c r="BM77" s="170" t="str">
        <f ca="1">IFERROR(AVERAGEIF('PMO REAL'!$F$12:$US$12,'PMO PREV'!BM$63,'PMO REAL'!$F28:$US28),"")</f>
        <v/>
      </c>
      <c r="BN77" s="170" t="str">
        <f ca="1">IFERROR(AVERAGEIF('PMO REAL'!$F$12:$US$12,'PMO PREV'!BN$63,'PMO REAL'!$F28:$US28),"")</f>
        <v/>
      </c>
      <c r="BO77" s="170" t="str">
        <f ca="1">IFERROR(AVERAGEIF('PMO REAL'!$F$12:$US$12,'PMO PREV'!BO$63,'PMO REAL'!$F28:$US28),"")</f>
        <v/>
      </c>
      <c r="BP77" s="170" t="str">
        <f ca="1">IFERROR(AVERAGEIF('PMO REAL'!$F$12:$US$12,'PMO PREV'!BP$63,'PMO REAL'!$F28:$US28),"")</f>
        <v/>
      </c>
      <c r="BQ77" s="170" t="str">
        <f ca="1">IFERROR(AVERAGEIF('PMO REAL'!$F$12:$US$12,'PMO PREV'!BQ$63,'PMO REAL'!$F28:$US28),"")</f>
        <v/>
      </c>
      <c r="BR77" s="170" t="str">
        <f ca="1">IFERROR(AVERAGEIF('PMO REAL'!$F$12:$US$12,'PMO PREV'!BR$63,'PMO REAL'!$F28:$US28),"")</f>
        <v/>
      </c>
      <c r="BS77" s="170" t="str">
        <f ca="1">IFERROR(AVERAGEIF('PMO REAL'!$F$12:$US$12,'PMO PREV'!BS$63,'PMO REAL'!$F28:$US28),"")</f>
        <v/>
      </c>
      <c r="BT77" s="170" t="str">
        <f ca="1">IFERROR(AVERAGEIF('PMO REAL'!$F$12:$US$12,'PMO PREV'!BT$63,'PMO REAL'!$F28:$US28),"")</f>
        <v/>
      </c>
      <c r="BU77" s="170" t="str">
        <f ca="1">IFERROR(AVERAGEIF('PMO REAL'!$F$12:$US$12,'PMO PREV'!BU$63,'PMO REAL'!$F28:$US28),"")</f>
        <v/>
      </c>
      <c r="BV77" s="170" t="str">
        <f ca="1">IFERROR(AVERAGEIF('PMO REAL'!$F$12:$US$12,'PMO PREV'!BV$63,'PMO REAL'!$F28:$US28),"")</f>
        <v/>
      </c>
      <c r="BW77" s="170" t="str">
        <f ca="1">IFERROR(AVERAGEIF('PMO REAL'!$F$12:$US$12,'PMO PREV'!BW$63,'PMO REAL'!$F28:$US28),"")</f>
        <v/>
      </c>
      <c r="BX77" s="170" t="str">
        <f ca="1">IFERROR(AVERAGEIF('PMO REAL'!$F$12:$US$12,'PMO PREV'!BX$63,'PMO REAL'!$F28:$US28),"")</f>
        <v/>
      </c>
      <c r="BY77" s="170" t="str">
        <f ca="1">IFERROR(AVERAGEIF('PMO REAL'!$F$12:$US$12,'PMO PREV'!BY$63,'PMO REAL'!$F28:$US28),"")</f>
        <v/>
      </c>
      <c r="BZ77" s="170" t="str">
        <f ca="1">IFERROR(AVERAGEIF('PMO REAL'!$F$12:$US$12,'PMO PREV'!BZ$63,'PMO REAL'!$F28:$US28),"")</f>
        <v/>
      </c>
      <c r="CA77" s="170" t="str">
        <f ca="1">IFERROR(AVERAGEIF('PMO REAL'!$F$12:$US$12,'PMO PREV'!CA$63,'PMO REAL'!$F28:$US28),"")</f>
        <v/>
      </c>
      <c r="CB77" s="170" t="str">
        <f ca="1">IFERROR(AVERAGEIF('PMO REAL'!$F$12:$US$12,'PMO PREV'!CB$63,'PMO REAL'!$F28:$US28),"")</f>
        <v/>
      </c>
      <c r="CC77" s="170" t="str">
        <f ca="1">IFERROR(AVERAGEIF('PMO REAL'!$F$12:$US$12,'PMO PREV'!CC$63,'PMO REAL'!$F28:$US28),"")</f>
        <v/>
      </c>
      <c r="CD77" s="170" t="str">
        <f ca="1">IFERROR(AVERAGEIF('PMO REAL'!$F$12:$US$12,'PMO PREV'!CD$63,'PMO REAL'!$F28:$US28),"")</f>
        <v/>
      </c>
      <c r="CE77" s="170" t="str">
        <f ca="1">IFERROR(AVERAGEIF('PMO REAL'!$F$12:$US$12,'PMO PREV'!CE$63,'PMO REAL'!$F28:$US28),"")</f>
        <v/>
      </c>
      <c r="CF77" s="170" t="str">
        <f ca="1">IFERROR(AVERAGEIF('PMO REAL'!$F$12:$US$12,'PMO PREV'!CF$63,'PMO REAL'!$F28:$US28),"")</f>
        <v/>
      </c>
      <c r="CG77" s="170" t="str">
        <f ca="1">IFERROR(AVERAGEIF('PMO REAL'!$F$12:$US$12,'PMO PREV'!CG$63,'PMO REAL'!$F28:$US28),"")</f>
        <v/>
      </c>
      <c r="CH77" s="120"/>
      <c r="CI77" s="121"/>
      <c r="CJ77" s="92"/>
      <c r="CK77" s="92"/>
      <c r="CL77" s="92"/>
      <c r="CM77" s="92"/>
      <c r="CN77" s="92"/>
      <c r="CO77" s="92"/>
    </row>
    <row r="78" spans="2:93" ht="15.75" customHeight="1" x14ac:dyDescent="0.3">
      <c r="B78" s="169" t="s">
        <v>67</v>
      </c>
      <c r="C78" s="107" t="s">
        <v>154</v>
      </c>
      <c r="D78" s="152" t="str">
        <f t="shared" ca="1" si="18"/>
        <v/>
      </c>
      <c r="E78" s="159" t="str">
        <f t="shared" ca="1" si="19"/>
        <v/>
      </c>
      <c r="F78" s="155" t="str">
        <f ca="1">IFERROR(AVERAGEIF('PMO REAL'!$F$12:$US$12,'PMO PREV'!F$63,'PMO REAL'!$F29:$US29),"")</f>
        <v/>
      </c>
      <c r="G78" s="170" t="str">
        <f ca="1">IFERROR(AVERAGEIF('PMO REAL'!$F$12:$US$12,'PMO PREV'!G$63,'PMO REAL'!$F29:$US29),"")</f>
        <v/>
      </c>
      <c r="H78" s="170" t="str">
        <f ca="1">IFERROR(AVERAGEIF('PMO REAL'!$F$12:$US$12,'PMO PREV'!H$63,'PMO REAL'!$F29:$US29),"")</f>
        <v/>
      </c>
      <c r="I78" s="170" t="str">
        <f ca="1">IFERROR(AVERAGEIF('PMO REAL'!$F$12:$US$12,'PMO PREV'!I$63,'PMO REAL'!$F29:$US29),"")</f>
        <v/>
      </c>
      <c r="J78" s="170" t="str">
        <f ca="1">IFERROR(AVERAGEIF('PMO REAL'!$F$12:$US$12,'PMO PREV'!J$63,'PMO REAL'!$F29:$US29),"")</f>
        <v/>
      </c>
      <c r="K78" s="170" t="str">
        <f ca="1">IFERROR(AVERAGEIF('PMO REAL'!$F$12:$US$12,'PMO PREV'!K$63,'PMO REAL'!$F29:$US29),"")</f>
        <v/>
      </c>
      <c r="L78" s="170" t="str">
        <f ca="1">IFERROR(AVERAGEIF('PMO REAL'!$F$12:$US$12,'PMO PREV'!L$63,'PMO REAL'!$F29:$US29),"")</f>
        <v/>
      </c>
      <c r="M78" s="170" t="str">
        <f ca="1">IFERROR(AVERAGEIF('PMO REAL'!$F$12:$US$12,'PMO PREV'!M$63,'PMO REAL'!$F29:$US29),"")</f>
        <v/>
      </c>
      <c r="N78" s="170" t="str">
        <f ca="1">IFERROR(AVERAGEIF('PMO REAL'!$F$12:$US$12,'PMO PREV'!N$63,'PMO REAL'!$F29:$US29),"")</f>
        <v/>
      </c>
      <c r="O78" s="170" t="str">
        <f ca="1">IFERROR(AVERAGEIF('PMO REAL'!$F$12:$US$12,'PMO PREV'!O$63,'PMO REAL'!$F29:$US29),"")</f>
        <v/>
      </c>
      <c r="P78" s="170" t="str">
        <f ca="1">IFERROR(AVERAGEIF('PMO REAL'!$F$12:$US$12,'PMO PREV'!P$63,'PMO REAL'!$F29:$US29),"")</f>
        <v/>
      </c>
      <c r="Q78" s="170" t="str">
        <f ca="1">IFERROR(AVERAGEIF('PMO REAL'!$F$12:$US$12,'PMO PREV'!Q$63,'PMO REAL'!$F29:$US29),"")</f>
        <v/>
      </c>
      <c r="R78" s="170" t="str">
        <f ca="1">IFERROR(AVERAGEIF('PMO REAL'!$F$12:$US$12,'PMO PREV'!R$63,'PMO REAL'!$F29:$US29),"")</f>
        <v/>
      </c>
      <c r="S78" s="170" t="str">
        <f ca="1">IFERROR(AVERAGEIF('PMO REAL'!$F$12:$US$12,'PMO PREV'!S$63,'PMO REAL'!$F29:$US29),"")</f>
        <v/>
      </c>
      <c r="T78" s="170" t="str">
        <f ca="1">IFERROR(AVERAGEIF('PMO REAL'!$F$12:$US$12,'PMO PREV'!T$63,'PMO REAL'!$F29:$US29),"")</f>
        <v/>
      </c>
      <c r="U78" s="170" t="str">
        <f ca="1">IFERROR(AVERAGEIF('PMO REAL'!$F$12:$US$12,'PMO PREV'!U$63,'PMO REAL'!$F29:$US29),"")</f>
        <v/>
      </c>
      <c r="V78" s="170" t="str">
        <f ca="1">IFERROR(AVERAGEIF('PMO REAL'!$F$12:$US$12,'PMO PREV'!V$63,'PMO REAL'!$F29:$US29),"")</f>
        <v/>
      </c>
      <c r="W78" s="170" t="str">
        <f ca="1">IFERROR(AVERAGEIF('PMO REAL'!$F$12:$US$12,'PMO PREV'!W$63,'PMO REAL'!$F29:$US29),"")</f>
        <v/>
      </c>
      <c r="X78" s="170" t="str">
        <f ca="1">IFERROR(AVERAGEIF('PMO REAL'!$F$12:$US$12,'PMO PREV'!X$63,'PMO REAL'!$F29:$US29),"")</f>
        <v/>
      </c>
      <c r="Y78" s="170" t="str">
        <f ca="1">IFERROR(AVERAGEIF('PMO REAL'!$F$12:$US$12,'PMO PREV'!Y$63,'PMO REAL'!$F29:$US29),"")</f>
        <v/>
      </c>
      <c r="Z78" s="170" t="str">
        <f ca="1">IFERROR(AVERAGEIF('PMO REAL'!$F$12:$US$12,'PMO PREV'!Z$63,'PMO REAL'!$F29:$US29),"")</f>
        <v/>
      </c>
      <c r="AA78" s="170" t="str">
        <f ca="1">IFERROR(AVERAGEIF('PMO REAL'!$F$12:$US$12,'PMO PREV'!AA$63,'PMO REAL'!$F29:$US29),"")</f>
        <v/>
      </c>
      <c r="AB78" s="170" t="str">
        <f ca="1">IFERROR(AVERAGEIF('PMO REAL'!$F$12:$US$12,'PMO PREV'!AB$63,'PMO REAL'!$F29:$US29),"")</f>
        <v/>
      </c>
      <c r="AC78" s="170" t="str">
        <f ca="1">IFERROR(AVERAGEIF('PMO REAL'!$F$12:$US$12,'PMO PREV'!AC$63,'PMO REAL'!$F29:$US29),"")</f>
        <v/>
      </c>
      <c r="AD78" s="170" t="str">
        <f ca="1">IFERROR(AVERAGEIF('PMO REAL'!$F$12:$US$12,'PMO PREV'!AD$63,'PMO REAL'!$F29:$US29),"")</f>
        <v/>
      </c>
      <c r="AE78" s="170" t="str">
        <f ca="1">IFERROR(AVERAGEIF('PMO REAL'!$F$12:$US$12,'PMO PREV'!AE$63,'PMO REAL'!$F29:$US29),"")</f>
        <v/>
      </c>
      <c r="AF78" s="170" t="str">
        <f ca="1">IFERROR(AVERAGEIF('PMO REAL'!$F$12:$US$12,'PMO PREV'!AF$63,'PMO REAL'!$F29:$US29),"")</f>
        <v/>
      </c>
      <c r="AG78" s="170" t="str">
        <f ca="1">IFERROR(AVERAGEIF('PMO REAL'!$F$12:$US$12,'PMO PREV'!AG$63,'PMO REAL'!$F29:$US29),"")</f>
        <v/>
      </c>
      <c r="AH78" s="170" t="str">
        <f ca="1">IFERROR(AVERAGEIF('PMO REAL'!$F$12:$US$12,'PMO PREV'!AH$63,'PMO REAL'!$F29:$US29),"")</f>
        <v/>
      </c>
      <c r="AI78" s="170" t="str">
        <f ca="1">IFERROR(AVERAGEIF('PMO REAL'!$F$12:$US$12,'PMO PREV'!AI$63,'PMO REAL'!$F29:$US29),"")</f>
        <v/>
      </c>
      <c r="AJ78" s="170" t="str">
        <f ca="1">IFERROR(AVERAGEIF('PMO REAL'!$F$12:$US$12,'PMO PREV'!AJ$63,'PMO REAL'!$F29:$US29),"")</f>
        <v/>
      </c>
      <c r="AK78" s="170" t="str">
        <f ca="1">IFERROR(AVERAGEIF('PMO REAL'!$F$12:$US$12,'PMO PREV'!AK$63,'PMO REAL'!$F29:$US29),"")</f>
        <v/>
      </c>
      <c r="AL78" s="170" t="str">
        <f ca="1">IFERROR(AVERAGEIF('PMO REAL'!$F$12:$US$12,'PMO PREV'!AL$63,'PMO REAL'!$F29:$US29),"")</f>
        <v/>
      </c>
      <c r="AM78" s="170" t="str">
        <f ca="1">IFERROR(AVERAGEIF('PMO REAL'!$F$12:$US$12,'PMO PREV'!AM$63,'PMO REAL'!$F29:$US29),"")</f>
        <v/>
      </c>
      <c r="AN78" s="170" t="str">
        <f ca="1">IFERROR(AVERAGEIF('PMO REAL'!$F$12:$US$12,'PMO PREV'!AN$63,'PMO REAL'!$F29:$US29),"")</f>
        <v/>
      </c>
      <c r="AO78" s="170" t="str">
        <f ca="1">IFERROR(AVERAGEIF('PMO REAL'!$F$12:$US$12,'PMO PREV'!AO$63,'PMO REAL'!$F29:$US29),"")</f>
        <v/>
      </c>
      <c r="AP78" s="170" t="str">
        <f ca="1">IFERROR(AVERAGEIF('PMO REAL'!$F$12:$US$12,'PMO PREV'!AP$63,'PMO REAL'!$F29:$US29),"")</f>
        <v/>
      </c>
      <c r="AQ78" s="170" t="str">
        <f ca="1">IFERROR(AVERAGEIF('PMO REAL'!$F$12:$US$12,'PMO PREV'!AQ$63,'PMO REAL'!$F29:$US29),"")</f>
        <v/>
      </c>
      <c r="AR78" s="170" t="str">
        <f ca="1">IFERROR(AVERAGEIF('PMO REAL'!$F$12:$US$12,'PMO PREV'!AR$63,'PMO REAL'!$F29:$US29),"")</f>
        <v/>
      </c>
      <c r="AS78" s="170" t="str">
        <f ca="1">IFERROR(AVERAGEIF('PMO REAL'!$F$12:$US$12,'PMO PREV'!AS$63,'PMO REAL'!$F29:$US29),"")</f>
        <v/>
      </c>
      <c r="AT78" s="170" t="str">
        <f ca="1">IFERROR(AVERAGEIF('PMO REAL'!$F$12:$US$12,'PMO PREV'!AT$63,'PMO REAL'!$F29:$US29),"")</f>
        <v/>
      </c>
      <c r="AU78" s="170" t="str">
        <f ca="1">IFERROR(AVERAGEIF('PMO REAL'!$F$12:$US$12,'PMO PREV'!AU$63,'PMO REAL'!$F29:$US29),"")</f>
        <v/>
      </c>
      <c r="AV78" s="170" t="str">
        <f ca="1">IFERROR(AVERAGEIF('PMO REAL'!$F$12:$US$12,'PMO PREV'!AV$63,'PMO REAL'!$F29:$US29),"")</f>
        <v/>
      </c>
      <c r="AW78" s="170" t="str">
        <f ca="1">IFERROR(AVERAGEIF('PMO REAL'!$F$12:$US$12,'PMO PREV'!AW$63,'PMO REAL'!$F29:$US29),"")</f>
        <v/>
      </c>
      <c r="AX78" s="170" t="str">
        <f ca="1">IFERROR(AVERAGEIF('PMO REAL'!$F$12:$US$12,'PMO PREV'!AX$63,'PMO REAL'!$F29:$US29),"")</f>
        <v/>
      </c>
      <c r="AY78" s="170" t="str">
        <f ca="1">IFERROR(AVERAGEIF('PMO REAL'!$F$12:$US$12,'PMO PREV'!AY$63,'PMO REAL'!$F29:$US29),"")</f>
        <v/>
      </c>
      <c r="AZ78" s="170" t="str">
        <f ca="1">IFERROR(AVERAGEIF('PMO REAL'!$F$12:$US$12,'PMO PREV'!AZ$63,'PMO REAL'!$F29:$US29),"")</f>
        <v/>
      </c>
      <c r="BA78" s="170" t="str">
        <f ca="1">IFERROR(AVERAGEIF('PMO REAL'!$F$12:$US$12,'PMO PREV'!BA$63,'PMO REAL'!$F29:$US29),"")</f>
        <v/>
      </c>
      <c r="BB78" s="170" t="str">
        <f ca="1">IFERROR(AVERAGEIF('PMO REAL'!$F$12:$US$12,'PMO PREV'!BB$63,'PMO REAL'!$F29:$US29),"")</f>
        <v/>
      </c>
      <c r="BC78" s="170" t="str">
        <f ca="1">IFERROR(AVERAGEIF('PMO REAL'!$F$12:$US$12,'PMO PREV'!BC$63,'PMO REAL'!$F29:$US29),"")</f>
        <v/>
      </c>
      <c r="BD78" s="170" t="str">
        <f ca="1">IFERROR(AVERAGEIF('PMO REAL'!$F$12:$US$12,'PMO PREV'!BD$63,'PMO REAL'!$F29:$US29),"")</f>
        <v/>
      </c>
      <c r="BE78" s="170" t="str">
        <f ca="1">IFERROR(AVERAGEIF('PMO REAL'!$F$12:$US$12,'PMO PREV'!BE$63,'PMO REAL'!$F29:$US29),"")</f>
        <v/>
      </c>
      <c r="BF78" s="170" t="str">
        <f ca="1">IFERROR(AVERAGEIF('PMO REAL'!$F$12:$US$12,'PMO PREV'!BF$63,'PMO REAL'!$F29:$US29),"")</f>
        <v/>
      </c>
      <c r="BG78" s="170" t="str">
        <f ca="1">IFERROR(AVERAGEIF('PMO REAL'!$F$12:$US$12,'PMO PREV'!BG$63,'PMO REAL'!$F29:$US29),"")</f>
        <v/>
      </c>
      <c r="BH78" s="170" t="str">
        <f ca="1">IFERROR(AVERAGEIF('PMO REAL'!$F$12:$US$12,'PMO PREV'!BH$63,'PMO REAL'!$F29:$US29),"")</f>
        <v/>
      </c>
      <c r="BI78" s="170" t="str">
        <f ca="1">IFERROR(AVERAGEIF('PMO REAL'!$F$12:$US$12,'PMO PREV'!BI$63,'PMO REAL'!$F29:$US29),"")</f>
        <v/>
      </c>
      <c r="BJ78" s="170" t="str">
        <f ca="1">IFERROR(AVERAGEIF('PMO REAL'!$F$12:$US$12,'PMO PREV'!BJ$63,'PMO REAL'!$F29:$US29),"")</f>
        <v/>
      </c>
      <c r="BK78" s="170" t="str">
        <f ca="1">IFERROR(AVERAGEIF('PMO REAL'!$F$12:$US$12,'PMO PREV'!BK$63,'PMO REAL'!$F29:$US29),"")</f>
        <v/>
      </c>
      <c r="BL78" s="170" t="str">
        <f ca="1">IFERROR(AVERAGEIF('PMO REAL'!$F$12:$US$12,'PMO PREV'!BL$63,'PMO REAL'!$F29:$US29),"")</f>
        <v/>
      </c>
      <c r="BM78" s="170" t="str">
        <f ca="1">IFERROR(AVERAGEIF('PMO REAL'!$F$12:$US$12,'PMO PREV'!BM$63,'PMO REAL'!$F29:$US29),"")</f>
        <v/>
      </c>
      <c r="BN78" s="170" t="str">
        <f ca="1">IFERROR(AVERAGEIF('PMO REAL'!$F$12:$US$12,'PMO PREV'!BN$63,'PMO REAL'!$F29:$US29),"")</f>
        <v/>
      </c>
      <c r="BO78" s="170" t="str">
        <f ca="1">IFERROR(AVERAGEIF('PMO REAL'!$F$12:$US$12,'PMO PREV'!BO$63,'PMO REAL'!$F29:$US29),"")</f>
        <v/>
      </c>
      <c r="BP78" s="170" t="str">
        <f ca="1">IFERROR(AVERAGEIF('PMO REAL'!$F$12:$US$12,'PMO PREV'!BP$63,'PMO REAL'!$F29:$US29),"")</f>
        <v/>
      </c>
      <c r="BQ78" s="170" t="str">
        <f ca="1">IFERROR(AVERAGEIF('PMO REAL'!$F$12:$US$12,'PMO PREV'!BQ$63,'PMO REAL'!$F29:$US29),"")</f>
        <v/>
      </c>
      <c r="BR78" s="170" t="str">
        <f ca="1">IFERROR(AVERAGEIF('PMO REAL'!$F$12:$US$12,'PMO PREV'!BR$63,'PMO REAL'!$F29:$US29),"")</f>
        <v/>
      </c>
      <c r="BS78" s="170" t="str">
        <f ca="1">IFERROR(AVERAGEIF('PMO REAL'!$F$12:$US$12,'PMO PREV'!BS$63,'PMO REAL'!$F29:$US29),"")</f>
        <v/>
      </c>
      <c r="BT78" s="170" t="str">
        <f ca="1">IFERROR(AVERAGEIF('PMO REAL'!$F$12:$US$12,'PMO PREV'!BT$63,'PMO REAL'!$F29:$US29),"")</f>
        <v/>
      </c>
      <c r="BU78" s="170" t="str">
        <f ca="1">IFERROR(AVERAGEIF('PMO REAL'!$F$12:$US$12,'PMO PREV'!BU$63,'PMO REAL'!$F29:$US29),"")</f>
        <v/>
      </c>
      <c r="BV78" s="170" t="str">
        <f ca="1">IFERROR(AVERAGEIF('PMO REAL'!$F$12:$US$12,'PMO PREV'!BV$63,'PMO REAL'!$F29:$US29),"")</f>
        <v/>
      </c>
      <c r="BW78" s="170" t="str">
        <f ca="1">IFERROR(AVERAGEIF('PMO REAL'!$F$12:$US$12,'PMO PREV'!BW$63,'PMO REAL'!$F29:$US29),"")</f>
        <v/>
      </c>
      <c r="BX78" s="170" t="str">
        <f ca="1">IFERROR(AVERAGEIF('PMO REAL'!$F$12:$US$12,'PMO PREV'!BX$63,'PMO REAL'!$F29:$US29),"")</f>
        <v/>
      </c>
      <c r="BY78" s="170" t="str">
        <f ca="1">IFERROR(AVERAGEIF('PMO REAL'!$F$12:$US$12,'PMO PREV'!BY$63,'PMO REAL'!$F29:$US29),"")</f>
        <v/>
      </c>
      <c r="BZ78" s="170" t="str">
        <f ca="1">IFERROR(AVERAGEIF('PMO REAL'!$F$12:$US$12,'PMO PREV'!BZ$63,'PMO REAL'!$F29:$US29),"")</f>
        <v/>
      </c>
      <c r="CA78" s="170" t="str">
        <f ca="1">IFERROR(AVERAGEIF('PMO REAL'!$F$12:$US$12,'PMO PREV'!CA$63,'PMO REAL'!$F29:$US29),"")</f>
        <v/>
      </c>
      <c r="CB78" s="170" t="str">
        <f ca="1">IFERROR(AVERAGEIF('PMO REAL'!$F$12:$US$12,'PMO PREV'!CB$63,'PMO REAL'!$F29:$US29),"")</f>
        <v/>
      </c>
      <c r="CC78" s="170" t="str">
        <f ca="1">IFERROR(AVERAGEIF('PMO REAL'!$F$12:$US$12,'PMO PREV'!CC$63,'PMO REAL'!$F29:$US29),"")</f>
        <v/>
      </c>
      <c r="CD78" s="170" t="str">
        <f ca="1">IFERROR(AVERAGEIF('PMO REAL'!$F$12:$US$12,'PMO PREV'!CD$63,'PMO REAL'!$F29:$US29),"")</f>
        <v/>
      </c>
      <c r="CE78" s="170" t="str">
        <f ca="1">IFERROR(AVERAGEIF('PMO REAL'!$F$12:$US$12,'PMO PREV'!CE$63,'PMO REAL'!$F29:$US29),"")</f>
        <v/>
      </c>
      <c r="CF78" s="170" t="str">
        <f ca="1">IFERROR(AVERAGEIF('PMO REAL'!$F$12:$US$12,'PMO PREV'!CF$63,'PMO REAL'!$F29:$US29),"")</f>
        <v/>
      </c>
      <c r="CG78" s="170" t="str">
        <f ca="1">IFERROR(AVERAGEIF('PMO REAL'!$F$12:$US$12,'PMO PREV'!CG$63,'PMO REAL'!$F29:$US29),"")</f>
        <v/>
      </c>
      <c r="CH78" s="120"/>
      <c r="CI78" s="121"/>
      <c r="CJ78" s="92"/>
      <c r="CK78" s="92"/>
      <c r="CL78" s="92"/>
      <c r="CM78" s="92"/>
      <c r="CN78" s="92"/>
      <c r="CO78" s="92"/>
    </row>
    <row r="79" spans="2:93" ht="15.75" customHeight="1" x14ac:dyDescent="0.3">
      <c r="B79" s="169" t="s">
        <v>66</v>
      </c>
      <c r="C79" s="107" t="s">
        <v>149</v>
      </c>
      <c r="D79" s="152" t="str">
        <f t="shared" ca="1" si="18"/>
        <v/>
      </c>
      <c r="E79" s="159" t="str">
        <f t="shared" ca="1" si="19"/>
        <v/>
      </c>
      <c r="F79" s="155" t="str">
        <f ca="1">IFERROR(AVERAGEIF('PMO REAL'!$F$12:$US$12,'PMO PREV'!F$63,'PMO REAL'!$F30:$US30),"")</f>
        <v/>
      </c>
      <c r="G79" s="170" t="str">
        <f ca="1">IFERROR(AVERAGEIF('PMO REAL'!$F$12:$US$12,'PMO PREV'!G$63,'PMO REAL'!$F30:$US30),"")</f>
        <v/>
      </c>
      <c r="H79" s="170" t="str">
        <f ca="1">IFERROR(AVERAGEIF('PMO REAL'!$F$12:$US$12,'PMO PREV'!H$63,'PMO REAL'!$F30:$US30),"")</f>
        <v/>
      </c>
      <c r="I79" s="170" t="str">
        <f ca="1">IFERROR(AVERAGEIF('PMO REAL'!$F$12:$US$12,'PMO PREV'!I$63,'PMO REAL'!$F30:$US30),"")</f>
        <v/>
      </c>
      <c r="J79" s="170" t="str">
        <f ca="1">IFERROR(AVERAGEIF('PMO REAL'!$F$12:$US$12,'PMO PREV'!J$63,'PMO REAL'!$F30:$US30),"")</f>
        <v/>
      </c>
      <c r="K79" s="170" t="str">
        <f ca="1">IFERROR(AVERAGEIF('PMO REAL'!$F$12:$US$12,'PMO PREV'!K$63,'PMO REAL'!$F30:$US30),"")</f>
        <v/>
      </c>
      <c r="L79" s="170" t="str">
        <f ca="1">IFERROR(AVERAGEIF('PMO REAL'!$F$12:$US$12,'PMO PREV'!L$63,'PMO REAL'!$F30:$US30),"")</f>
        <v/>
      </c>
      <c r="M79" s="170" t="str">
        <f ca="1">IFERROR(AVERAGEIF('PMO REAL'!$F$12:$US$12,'PMO PREV'!M$63,'PMO REAL'!$F30:$US30),"")</f>
        <v/>
      </c>
      <c r="N79" s="170" t="str">
        <f ca="1">IFERROR(AVERAGEIF('PMO REAL'!$F$12:$US$12,'PMO PREV'!N$63,'PMO REAL'!$F30:$US30),"")</f>
        <v/>
      </c>
      <c r="O79" s="170" t="str">
        <f ca="1">IFERROR(AVERAGEIF('PMO REAL'!$F$12:$US$12,'PMO PREV'!O$63,'PMO REAL'!$F30:$US30),"")</f>
        <v/>
      </c>
      <c r="P79" s="170" t="str">
        <f ca="1">IFERROR(AVERAGEIF('PMO REAL'!$F$12:$US$12,'PMO PREV'!P$63,'PMO REAL'!$F30:$US30),"")</f>
        <v/>
      </c>
      <c r="Q79" s="170" t="str">
        <f ca="1">IFERROR(AVERAGEIF('PMO REAL'!$F$12:$US$12,'PMO PREV'!Q$63,'PMO REAL'!$F30:$US30),"")</f>
        <v/>
      </c>
      <c r="R79" s="170" t="str">
        <f ca="1">IFERROR(AVERAGEIF('PMO REAL'!$F$12:$US$12,'PMO PREV'!R$63,'PMO REAL'!$F30:$US30),"")</f>
        <v/>
      </c>
      <c r="S79" s="170" t="str">
        <f ca="1">IFERROR(AVERAGEIF('PMO REAL'!$F$12:$US$12,'PMO PREV'!S$63,'PMO REAL'!$F30:$US30),"")</f>
        <v/>
      </c>
      <c r="T79" s="170" t="str">
        <f ca="1">IFERROR(AVERAGEIF('PMO REAL'!$F$12:$US$12,'PMO PREV'!T$63,'PMO REAL'!$F30:$US30),"")</f>
        <v/>
      </c>
      <c r="U79" s="170" t="str">
        <f ca="1">IFERROR(AVERAGEIF('PMO REAL'!$F$12:$US$12,'PMO PREV'!U$63,'PMO REAL'!$F30:$US30),"")</f>
        <v/>
      </c>
      <c r="V79" s="170" t="str">
        <f ca="1">IFERROR(AVERAGEIF('PMO REAL'!$F$12:$US$12,'PMO PREV'!V$63,'PMO REAL'!$F30:$US30),"")</f>
        <v/>
      </c>
      <c r="W79" s="170" t="str">
        <f ca="1">IFERROR(AVERAGEIF('PMO REAL'!$F$12:$US$12,'PMO PREV'!W$63,'PMO REAL'!$F30:$US30),"")</f>
        <v/>
      </c>
      <c r="X79" s="170" t="str">
        <f ca="1">IFERROR(AVERAGEIF('PMO REAL'!$F$12:$US$12,'PMO PREV'!X$63,'PMO REAL'!$F30:$US30),"")</f>
        <v/>
      </c>
      <c r="Y79" s="170" t="str">
        <f ca="1">IFERROR(AVERAGEIF('PMO REAL'!$F$12:$US$12,'PMO PREV'!Y$63,'PMO REAL'!$F30:$US30),"")</f>
        <v/>
      </c>
      <c r="Z79" s="170" t="str">
        <f ca="1">IFERROR(AVERAGEIF('PMO REAL'!$F$12:$US$12,'PMO PREV'!Z$63,'PMO REAL'!$F30:$US30),"")</f>
        <v/>
      </c>
      <c r="AA79" s="170" t="str">
        <f ca="1">IFERROR(AVERAGEIF('PMO REAL'!$F$12:$US$12,'PMO PREV'!AA$63,'PMO REAL'!$F30:$US30),"")</f>
        <v/>
      </c>
      <c r="AB79" s="170" t="str">
        <f ca="1">IFERROR(AVERAGEIF('PMO REAL'!$F$12:$US$12,'PMO PREV'!AB$63,'PMO REAL'!$F30:$US30),"")</f>
        <v/>
      </c>
      <c r="AC79" s="170" t="str">
        <f ca="1">IFERROR(AVERAGEIF('PMO REAL'!$F$12:$US$12,'PMO PREV'!AC$63,'PMO REAL'!$F30:$US30),"")</f>
        <v/>
      </c>
      <c r="AD79" s="170" t="str">
        <f ca="1">IFERROR(AVERAGEIF('PMO REAL'!$F$12:$US$12,'PMO PREV'!AD$63,'PMO REAL'!$F30:$US30),"")</f>
        <v/>
      </c>
      <c r="AE79" s="170" t="str">
        <f ca="1">IFERROR(AVERAGEIF('PMO REAL'!$F$12:$US$12,'PMO PREV'!AE$63,'PMO REAL'!$F30:$US30),"")</f>
        <v/>
      </c>
      <c r="AF79" s="170" t="str">
        <f ca="1">IFERROR(AVERAGEIF('PMO REAL'!$F$12:$US$12,'PMO PREV'!AF$63,'PMO REAL'!$F30:$US30),"")</f>
        <v/>
      </c>
      <c r="AG79" s="170" t="str">
        <f ca="1">IFERROR(AVERAGEIF('PMO REAL'!$F$12:$US$12,'PMO PREV'!AG$63,'PMO REAL'!$F30:$US30),"")</f>
        <v/>
      </c>
      <c r="AH79" s="170" t="str">
        <f ca="1">IFERROR(AVERAGEIF('PMO REAL'!$F$12:$US$12,'PMO PREV'!AH$63,'PMO REAL'!$F30:$US30),"")</f>
        <v/>
      </c>
      <c r="AI79" s="170" t="str">
        <f ca="1">IFERROR(AVERAGEIF('PMO REAL'!$F$12:$US$12,'PMO PREV'!AI$63,'PMO REAL'!$F30:$US30),"")</f>
        <v/>
      </c>
      <c r="AJ79" s="170" t="str">
        <f ca="1">IFERROR(AVERAGEIF('PMO REAL'!$F$12:$US$12,'PMO PREV'!AJ$63,'PMO REAL'!$F30:$US30),"")</f>
        <v/>
      </c>
      <c r="AK79" s="170" t="str">
        <f ca="1">IFERROR(AVERAGEIF('PMO REAL'!$F$12:$US$12,'PMO PREV'!AK$63,'PMO REAL'!$F30:$US30),"")</f>
        <v/>
      </c>
      <c r="AL79" s="170" t="str">
        <f ca="1">IFERROR(AVERAGEIF('PMO REAL'!$F$12:$US$12,'PMO PREV'!AL$63,'PMO REAL'!$F30:$US30),"")</f>
        <v/>
      </c>
      <c r="AM79" s="170" t="str">
        <f ca="1">IFERROR(AVERAGEIF('PMO REAL'!$F$12:$US$12,'PMO PREV'!AM$63,'PMO REAL'!$F30:$US30),"")</f>
        <v/>
      </c>
      <c r="AN79" s="170" t="str">
        <f ca="1">IFERROR(AVERAGEIF('PMO REAL'!$F$12:$US$12,'PMO PREV'!AN$63,'PMO REAL'!$F30:$US30),"")</f>
        <v/>
      </c>
      <c r="AO79" s="170" t="str">
        <f ca="1">IFERROR(AVERAGEIF('PMO REAL'!$F$12:$US$12,'PMO PREV'!AO$63,'PMO REAL'!$F30:$US30),"")</f>
        <v/>
      </c>
      <c r="AP79" s="170" t="str">
        <f ca="1">IFERROR(AVERAGEIF('PMO REAL'!$F$12:$US$12,'PMO PREV'!AP$63,'PMO REAL'!$F30:$US30),"")</f>
        <v/>
      </c>
      <c r="AQ79" s="170" t="str">
        <f ca="1">IFERROR(AVERAGEIF('PMO REAL'!$F$12:$US$12,'PMO PREV'!AQ$63,'PMO REAL'!$F30:$US30),"")</f>
        <v/>
      </c>
      <c r="AR79" s="170" t="str">
        <f ca="1">IFERROR(AVERAGEIF('PMO REAL'!$F$12:$US$12,'PMO PREV'!AR$63,'PMO REAL'!$F30:$US30),"")</f>
        <v/>
      </c>
      <c r="AS79" s="170" t="str">
        <f ca="1">IFERROR(AVERAGEIF('PMO REAL'!$F$12:$US$12,'PMO PREV'!AS$63,'PMO REAL'!$F30:$US30),"")</f>
        <v/>
      </c>
      <c r="AT79" s="170" t="str">
        <f ca="1">IFERROR(AVERAGEIF('PMO REAL'!$F$12:$US$12,'PMO PREV'!AT$63,'PMO REAL'!$F30:$US30),"")</f>
        <v/>
      </c>
      <c r="AU79" s="170" t="str">
        <f ca="1">IFERROR(AVERAGEIF('PMO REAL'!$F$12:$US$12,'PMO PREV'!AU$63,'PMO REAL'!$F30:$US30),"")</f>
        <v/>
      </c>
      <c r="AV79" s="170" t="str">
        <f ca="1">IFERROR(AVERAGEIF('PMO REAL'!$F$12:$US$12,'PMO PREV'!AV$63,'PMO REAL'!$F30:$US30),"")</f>
        <v/>
      </c>
      <c r="AW79" s="170" t="str">
        <f ca="1">IFERROR(AVERAGEIF('PMO REAL'!$F$12:$US$12,'PMO PREV'!AW$63,'PMO REAL'!$F30:$US30),"")</f>
        <v/>
      </c>
      <c r="AX79" s="170" t="str">
        <f ca="1">IFERROR(AVERAGEIF('PMO REAL'!$F$12:$US$12,'PMO PREV'!AX$63,'PMO REAL'!$F30:$US30),"")</f>
        <v/>
      </c>
      <c r="AY79" s="170" t="str">
        <f ca="1">IFERROR(AVERAGEIF('PMO REAL'!$F$12:$US$12,'PMO PREV'!AY$63,'PMO REAL'!$F30:$US30),"")</f>
        <v/>
      </c>
      <c r="AZ79" s="170" t="str">
        <f ca="1">IFERROR(AVERAGEIF('PMO REAL'!$F$12:$US$12,'PMO PREV'!AZ$63,'PMO REAL'!$F30:$US30),"")</f>
        <v/>
      </c>
      <c r="BA79" s="170" t="str">
        <f ca="1">IFERROR(AVERAGEIF('PMO REAL'!$F$12:$US$12,'PMO PREV'!BA$63,'PMO REAL'!$F30:$US30),"")</f>
        <v/>
      </c>
      <c r="BB79" s="170" t="str">
        <f ca="1">IFERROR(AVERAGEIF('PMO REAL'!$F$12:$US$12,'PMO PREV'!BB$63,'PMO REAL'!$F30:$US30),"")</f>
        <v/>
      </c>
      <c r="BC79" s="170" t="str">
        <f ca="1">IFERROR(AVERAGEIF('PMO REAL'!$F$12:$US$12,'PMO PREV'!BC$63,'PMO REAL'!$F30:$US30),"")</f>
        <v/>
      </c>
      <c r="BD79" s="170" t="str">
        <f ca="1">IFERROR(AVERAGEIF('PMO REAL'!$F$12:$US$12,'PMO PREV'!BD$63,'PMO REAL'!$F30:$US30),"")</f>
        <v/>
      </c>
      <c r="BE79" s="170" t="str">
        <f ca="1">IFERROR(AVERAGEIF('PMO REAL'!$F$12:$US$12,'PMO PREV'!BE$63,'PMO REAL'!$F30:$US30),"")</f>
        <v/>
      </c>
      <c r="BF79" s="170" t="str">
        <f ca="1">IFERROR(AVERAGEIF('PMO REAL'!$F$12:$US$12,'PMO PREV'!BF$63,'PMO REAL'!$F30:$US30),"")</f>
        <v/>
      </c>
      <c r="BG79" s="170" t="str">
        <f ca="1">IFERROR(AVERAGEIF('PMO REAL'!$F$12:$US$12,'PMO PREV'!BG$63,'PMO REAL'!$F30:$US30),"")</f>
        <v/>
      </c>
      <c r="BH79" s="170" t="str">
        <f ca="1">IFERROR(AVERAGEIF('PMO REAL'!$F$12:$US$12,'PMO PREV'!BH$63,'PMO REAL'!$F30:$US30),"")</f>
        <v/>
      </c>
      <c r="BI79" s="170" t="str">
        <f ca="1">IFERROR(AVERAGEIF('PMO REAL'!$F$12:$US$12,'PMO PREV'!BI$63,'PMO REAL'!$F30:$US30),"")</f>
        <v/>
      </c>
      <c r="BJ79" s="170" t="str">
        <f ca="1">IFERROR(AVERAGEIF('PMO REAL'!$F$12:$US$12,'PMO PREV'!BJ$63,'PMO REAL'!$F30:$US30),"")</f>
        <v/>
      </c>
      <c r="BK79" s="170" t="str">
        <f ca="1">IFERROR(AVERAGEIF('PMO REAL'!$F$12:$US$12,'PMO PREV'!BK$63,'PMO REAL'!$F30:$US30),"")</f>
        <v/>
      </c>
      <c r="BL79" s="170" t="str">
        <f ca="1">IFERROR(AVERAGEIF('PMO REAL'!$F$12:$US$12,'PMO PREV'!BL$63,'PMO REAL'!$F30:$US30),"")</f>
        <v/>
      </c>
      <c r="BM79" s="170" t="str">
        <f ca="1">IFERROR(AVERAGEIF('PMO REAL'!$F$12:$US$12,'PMO PREV'!BM$63,'PMO REAL'!$F30:$US30),"")</f>
        <v/>
      </c>
      <c r="BN79" s="170" t="str">
        <f ca="1">IFERROR(AVERAGEIF('PMO REAL'!$F$12:$US$12,'PMO PREV'!BN$63,'PMO REAL'!$F30:$US30),"")</f>
        <v/>
      </c>
      <c r="BO79" s="170" t="str">
        <f ca="1">IFERROR(AVERAGEIF('PMO REAL'!$F$12:$US$12,'PMO PREV'!BO$63,'PMO REAL'!$F30:$US30),"")</f>
        <v/>
      </c>
      <c r="BP79" s="170" t="str">
        <f ca="1">IFERROR(AVERAGEIF('PMO REAL'!$F$12:$US$12,'PMO PREV'!BP$63,'PMO REAL'!$F30:$US30),"")</f>
        <v/>
      </c>
      <c r="BQ79" s="170" t="str">
        <f ca="1">IFERROR(AVERAGEIF('PMO REAL'!$F$12:$US$12,'PMO PREV'!BQ$63,'PMO REAL'!$F30:$US30),"")</f>
        <v/>
      </c>
      <c r="BR79" s="170" t="str">
        <f ca="1">IFERROR(AVERAGEIF('PMO REAL'!$F$12:$US$12,'PMO PREV'!BR$63,'PMO REAL'!$F30:$US30),"")</f>
        <v/>
      </c>
      <c r="BS79" s="170" t="str">
        <f ca="1">IFERROR(AVERAGEIF('PMO REAL'!$F$12:$US$12,'PMO PREV'!BS$63,'PMO REAL'!$F30:$US30),"")</f>
        <v/>
      </c>
      <c r="BT79" s="170" t="str">
        <f ca="1">IFERROR(AVERAGEIF('PMO REAL'!$F$12:$US$12,'PMO PREV'!BT$63,'PMO REAL'!$F30:$US30),"")</f>
        <v/>
      </c>
      <c r="BU79" s="170" t="str">
        <f ca="1">IFERROR(AVERAGEIF('PMO REAL'!$F$12:$US$12,'PMO PREV'!BU$63,'PMO REAL'!$F30:$US30),"")</f>
        <v/>
      </c>
      <c r="BV79" s="170" t="str">
        <f ca="1">IFERROR(AVERAGEIF('PMO REAL'!$F$12:$US$12,'PMO PREV'!BV$63,'PMO REAL'!$F30:$US30),"")</f>
        <v/>
      </c>
      <c r="BW79" s="170" t="str">
        <f ca="1">IFERROR(AVERAGEIF('PMO REAL'!$F$12:$US$12,'PMO PREV'!BW$63,'PMO REAL'!$F30:$US30),"")</f>
        <v/>
      </c>
      <c r="BX79" s="170" t="str">
        <f ca="1">IFERROR(AVERAGEIF('PMO REAL'!$F$12:$US$12,'PMO PREV'!BX$63,'PMO REAL'!$F30:$US30),"")</f>
        <v/>
      </c>
      <c r="BY79" s="170" t="str">
        <f ca="1">IFERROR(AVERAGEIF('PMO REAL'!$F$12:$US$12,'PMO PREV'!BY$63,'PMO REAL'!$F30:$US30),"")</f>
        <v/>
      </c>
      <c r="BZ79" s="170" t="str">
        <f ca="1">IFERROR(AVERAGEIF('PMO REAL'!$F$12:$US$12,'PMO PREV'!BZ$63,'PMO REAL'!$F30:$US30),"")</f>
        <v/>
      </c>
      <c r="CA79" s="170" t="str">
        <f ca="1">IFERROR(AVERAGEIF('PMO REAL'!$F$12:$US$12,'PMO PREV'!CA$63,'PMO REAL'!$F30:$US30),"")</f>
        <v/>
      </c>
      <c r="CB79" s="170" t="str">
        <f ca="1">IFERROR(AVERAGEIF('PMO REAL'!$F$12:$US$12,'PMO PREV'!CB$63,'PMO REAL'!$F30:$US30),"")</f>
        <v/>
      </c>
      <c r="CC79" s="170" t="str">
        <f ca="1">IFERROR(AVERAGEIF('PMO REAL'!$F$12:$US$12,'PMO PREV'!CC$63,'PMO REAL'!$F30:$US30),"")</f>
        <v/>
      </c>
      <c r="CD79" s="170" t="str">
        <f ca="1">IFERROR(AVERAGEIF('PMO REAL'!$F$12:$US$12,'PMO PREV'!CD$63,'PMO REAL'!$F30:$US30),"")</f>
        <v/>
      </c>
      <c r="CE79" s="170" t="str">
        <f ca="1">IFERROR(AVERAGEIF('PMO REAL'!$F$12:$US$12,'PMO PREV'!CE$63,'PMO REAL'!$F30:$US30),"")</f>
        <v/>
      </c>
      <c r="CF79" s="170" t="str">
        <f ca="1">IFERROR(AVERAGEIF('PMO REAL'!$F$12:$US$12,'PMO PREV'!CF$63,'PMO REAL'!$F30:$US30),"")</f>
        <v/>
      </c>
      <c r="CG79" s="170" t="str">
        <f ca="1">IFERROR(AVERAGEIF('PMO REAL'!$F$12:$US$12,'PMO PREV'!CG$63,'PMO REAL'!$F30:$US30),"")</f>
        <v/>
      </c>
      <c r="CH79" s="120"/>
      <c r="CI79" s="121"/>
      <c r="CJ79" s="92"/>
      <c r="CK79" s="92"/>
      <c r="CL79" s="92"/>
      <c r="CM79" s="92"/>
      <c r="CN79" s="92"/>
      <c r="CO79" s="92"/>
    </row>
    <row r="80" spans="2:93" ht="15.75" customHeight="1" x14ac:dyDescent="0.3">
      <c r="B80" s="169" t="s">
        <v>65</v>
      </c>
      <c r="C80" s="107" t="s">
        <v>155</v>
      </c>
      <c r="D80" s="152" t="str">
        <f t="shared" ca="1" si="18"/>
        <v/>
      </c>
      <c r="E80" s="159" t="str">
        <f t="shared" ca="1" si="19"/>
        <v/>
      </c>
      <c r="F80" s="155" t="str">
        <f ca="1">IFERROR(AVERAGEIF('PMO REAL'!$F$12:$US$12,'PMO PREV'!F$63,'PMO REAL'!$F31:$US31),"")</f>
        <v/>
      </c>
      <c r="G80" s="170" t="str">
        <f ca="1">IFERROR(AVERAGEIF('PMO REAL'!$F$12:$US$12,'PMO PREV'!G$63,'PMO REAL'!$F31:$US31),"")</f>
        <v/>
      </c>
      <c r="H80" s="170" t="str">
        <f ca="1">IFERROR(AVERAGEIF('PMO REAL'!$F$12:$US$12,'PMO PREV'!H$63,'PMO REAL'!$F31:$US31),"")</f>
        <v/>
      </c>
      <c r="I80" s="170" t="str">
        <f ca="1">IFERROR(AVERAGEIF('PMO REAL'!$F$12:$US$12,'PMO PREV'!I$63,'PMO REAL'!$F31:$US31),"")</f>
        <v/>
      </c>
      <c r="J80" s="170" t="str">
        <f ca="1">IFERROR(AVERAGEIF('PMO REAL'!$F$12:$US$12,'PMO PREV'!J$63,'PMO REAL'!$F31:$US31),"")</f>
        <v/>
      </c>
      <c r="K80" s="170" t="str">
        <f ca="1">IFERROR(AVERAGEIF('PMO REAL'!$F$12:$US$12,'PMO PREV'!K$63,'PMO REAL'!$F31:$US31),"")</f>
        <v/>
      </c>
      <c r="L80" s="170" t="str">
        <f ca="1">IFERROR(AVERAGEIF('PMO REAL'!$F$12:$US$12,'PMO PREV'!L$63,'PMO REAL'!$F31:$US31),"")</f>
        <v/>
      </c>
      <c r="M80" s="170" t="str">
        <f ca="1">IFERROR(AVERAGEIF('PMO REAL'!$F$12:$US$12,'PMO PREV'!M$63,'PMO REAL'!$F31:$US31),"")</f>
        <v/>
      </c>
      <c r="N80" s="170" t="str">
        <f ca="1">IFERROR(AVERAGEIF('PMO REAL'!$F$12:$US$12,'PMO PREV'!N$63,'PMO REAL'!$F31:$US31),"")</f>
        <v/>
      </c>
      <c r="O80" s="170" t="str">
        <f ca="1">IFERROR(AVERAGEIF('PMO REAL'!$F$12:$US$12,'PMO PREV'!O$63,'PMO REAL'!$F31:$US31),"")</f>
        <v/>
      </c>
      <c r="P80" s="170" t="str">
        <f ca="1">IFERROR(AVERAGEIF('PMO REAL'!$F$12:$US$12,'PMO PREV'!P$63,'PMO REAL'!$F31:$US31),"")</f>
        <v/>
      </c>
      <c r="Q80" s="170" t="str">
        <f ca="1">IFERROR(AVERAGEIF('PMO REAL'!$F$12:$US$12,'PMO PREV'!Q$63,'PMO REAL'!$F31:$US31),"")</f>
        <v/>
      </c>
      <c r="R80" s="170" t="str">
        <f ca="1">IFERROR(AVERAGEIF('PMO REAL'!$F$12:$US$12,'PMO PREV'!R$63,'PMO REAL'!$F31:$US31),"")</f>
        <v/>
      </c>
      <c r="S80" s="170" t="str">
        <f ca="1">IFERROR(AVERAGEIF('PMO REAL'!$F$12:$US$12,'PMO PREV'!S$63,'PMO REAL'!$F31:$US31),"")</f>
        <v/>
      </c>
      <c r="T80" s="170" t="str">
        <f ca="1">IFERROR(AVERAGEIF('PMO REAL'!$F$12:$US$12,'PMO PREV'!T$63,'PMO REAL'!$F31:$US31),"")</f>
        <v/>
      </c>
      <c r="U80" s="170" t="str">
        <f ca="1">IFERROR(AVERAGEIF('PMO REAL'!$F$12:$US$12,'PMO PREV'!U$63,'PMO REAL'!$F31:$US31),"")</f>
        <v/>
      </c>
      <c r="V80" s="170" t="str">
        <f ca="1">IFERROR(AVERAGEIF('PMO REAL'!$F$12:$US$12,'PMO PREV'!V$63,'PMO REAL'!$F31:$US31),"")</f>
        <v/>
      </c>
      <c r="W80" s="170" t="str">
        <f ca="1">IFERROR(AVERAGEIF('PMO REAL'!$F$12:$US$12,'PMO PREV'!W$63,'PMO REAL'!$F31:$US31),"")</f>
        <v/>
      </c>
      <c r="X80" s="170" t="str">
        <f ca="1">IFERROR(AVERAGEIF('PMO REAL'!$F$12:$US$12,'PMO PREV'!X$63,'PMO REAL'!$F31:$US31),"")</f>
        <v/>
      </c>
      <c r="Y80" s="170" t="str">
        <f ca="1">IFERROR(AVERAGEIF('PMO REAL'!$F$12:$US$12,'PMO PREV'!Y$63,'PMO REAL'!$F31:$US31),"")</f>
        <v/>
      </c>
      <c r="Z80" s="170" t="str">
        <f ca="1">IFERROR(AVERAGEIF('PMO REAL'!$F$12:$US$12,'PMO PREV'!Z$63,'PMO REAL'!$F31:$US31),"")</f>
        <v/>
      </c>
      <c r="AA80" s="170" t="str">
        <f ca="1">IFERROR(AVERAGEIF('PMO REAL'!$F$12:$US$12,'PMO PREV'!AA$63,'PMO REAL'!$F31:$US31),"")</f>
        <v/>
      </c>
      <c r="AB80" s="170" t="str">
        <f ca="1">IFERROR(AVERAGEIF('PMO REAL'!$F$12:$US$12,'PMO PREV'!AB$63,'PMO REAL'!$F31:$US31),"")</f>
        <v/>
      </c>
      <c r="AC80" s="170" t="str">
        <f ca="1">IFERROR(AVERAGEIF('PMO REAL'!$F$12:$US$12,'PMO PREV'!AC$63,'PMO REAL'!$F31:$US31),"")</f>
        <v/>
      </c>
      <c r="AD80" s="170" t="str">
        <f ca="1">IFERROR(AVERAGEIF('PMO REAL'!$F$12:$US$12,'PMO PREV'!AD$63,'PMO REAL'!$F31:$US31),"")</f>
        <v/>
      </c>
      <c r="AE80" s="170" t="str">
        <f ca="1">IFERROR(AVERAGEIF('PMO REAL'!$F$12:$US$12,'PMO PREV'!AE$63,'PMO REAL'!$F31:$US31),"")</f>
        <v/>
      </c>
      <c r="AF80" s="170" t="str">
        <f ca="1">IFERROR(AVERAGEIF('PMO REAL'!$F$12:$US$12,'PMO PREV'!AF$63,'PMO REAL'!$F31:$US31),"")</f>
        <v/>
      </c>
      <c r="AG80" s="170" t="str">
        <f ca="1">IFERROR(AVERAGEIF('PMO REAL'!$F$12:$US$12,'PMO PREV'!AG$63,'PMO REAL'!$F31:$US31),"")</f>
        <v/>
      </c>
      <c r="AH80" s="170" t="str">
        <f ca="1">IFERROR(AVERAGEIF('PMO REAL'!$F$12:$US$12,'PMO PREV'!AH$63,'PMO REAL'!$F31:$US31),"")</f>
        <v/>
      </c>
      <c r="AI80" s="170" t="str">
        <f ca="1">IFERROR(AVERAGEIF('PMO REAL'!$F$12:$US$12,'PMO PREV'!AI$63,'PMO REAL'!$F31:$US31),"")</f>
        <v/>
      </c>
      <c r="AJ80" s="170" t="str">
        <f ca="1">IFERROR(AVERAGEIF('PMO REAL'!$F$12:$US$12,'PMO PREV'!AJ$63,'PMO REAL'!$F31:$US31),"")</f>
        <v/>
      </c>
      <c r="AK80" s="170" t="str">
        <f ca="1">IFERROR(AVERAGEIF('PMO REAL'!$F$12:$US$12,'PMO PREV'!AK$63,'PMO REAL'!$F31:$US31),"")</f>
        <v/>
      </c>
      <c r="AL80" s="170" t="str">
        <f ca="1">IFERROR(AVERAGEIF('PMO REAL'!$F$12:$US$12,'PMO PREV'!AL$63,'PMO REAL'!$F31:$US31),"")</f>
        <v/>
      </c>
      <c r="AM80" s="170" t="str">
        <f ca="1">IFERROR(AVERAGEIF('PMO REAL'!$F$12:$US$12,'PMO PREV'!AM$63,'PMO REAL'!$F31:$US31),"")</f>
        <v/>
      </c>
      <c r="AN80" s="170" t="str">
        <f ca="1">IFERROR(AVERAGEIF('PMO REAL'!$F$12:$US$12,'PMO PREV'!AN$63,'PMO REAL'!$F31:$US31),"")</f>
        <v/>
      </c>
      <c r="AO80" s="170" t="str">
        <f ca="1">IFERROR(AVERAGEIF('PMO REAL'!$F$12:$US$12,'PMO PREV'!AO$63,'PMO REAL'!$F31:$US31),"")</f>
        <v/>
      </c>
      <c r="AP80" s="170" t="str">
        <f ca="1">IFERROR(AVERAGEIF('PMO REAL'!$F$12:$US$12,'PMO PREV'!AP$63,'PMO REAL'!$F31:$US31),"")</f>
        <v/>
      </c>
      <c r="AQ80" s="170" t="str">
        <f ca="1">IFERROR(AVERAGEIF('PMO REAL'!$F$12:$US$12,'PMO PREV'!AQ$63,'PMO REAL'!$F31:$US31),"")</f>
        <v/>
      </c>
      <c r="AR80" s="170" t="str">
        <f ca="1">IFERROR(AVERAGEIF('PMO REAL'!$F$12:$US$12,'PMO PREV'!AR$63,'PMO REAL'!$F31:$US31),"")</f>
        <v/>
      </c>
      <c r="AS80" s="170" t="str">
        <f ca="1">IFERROR(AVERAGEIF('PMO REAL'!$F$12:$US$12,'PMO PREV'!AS$63,'PMO REAL'!$F31:$US31),"")</f>
        <v/>
      </c>
      <c r="AT80" s="170" t="str">
        <f ca="1">IFERROR(AVERAGEIF('PMO REAL'!$F$12:$US$12,'PMO PREV'!AT$63,'PMO REAL'!$F31:$US31),"")</f>
        <v/>
      </c>
      <c r="AU80" s="170" t="str">
        <f ca="1">IFERROR(AVERAGEIF('PMO REAL'!$F$12:$US$12,'PMO PREV'!AU$63,'PMO REAL'!$F31:$US31),"")</f>
        <v/>
      </c>
      <c r="AV80" s="170" t="str">
        <f ca="1">IFERROR(AVERAGEIF('PMO REAL'!$F$12:$US$12,'PMO PREV'!AV$63,'PMO REAL'!$F31:$US31),"")</f>
        <v/>
      </c>
      <c r="AW80" s="170" t="str">
        <f ca="1">IFERROR(AVERAGEIF('PMO REAL'!$F$12:$US$12,'PMO PREV'!AW$63,'PMO REAL'!$F31:$US31),"")</f>
        <v/>
      </c>
      <c r="AX80" s="170" t="str">
        <f ca="1">IFERROR(AVERAGEIF('PMO REAL'!$F$12:$US$12,'PMO PREV'!AX$63,'PMO REAL'!$F31:$US31),"")</f>
        <v/>
      </c>
      <c r="AY80" s="170" t="str">
        <f ca="1">IFERROR(AVERAGEIF('PMO REAL'!$F$12:$US$12,'PMO PREV'!AY$63,'PMO REAL'!$F31:$US31),"")</f>
        <v/>
      </c>
      <c r="AZ80" s="170" t="str">
        <f ca="1">IFERROR(AVERAGEIF('PMO REAL'!$F$12:$US$12,'PMO PREV'!AZ$63,'PMO REAL'!$F31:$US31),"")</f>
        <v/>
      </c>
      <c r="BA80" s="170" t="str">
        <f ca="1">IFERROR(AVERAGEIF('PMO REAL'!$F$12:$US$12,'PMO PREV'!BA$63,'PMO REAL'!$F31:$US31),"")</f>
        <v/>
      </c>
      <c r="BB80" s="170" t="str">
        <f ca="1">IFERROR(AVERAGEIF('PMO REAL'!$F$12:$US$12,'PMO PREV'!BB$63,'PMO REAL'!$F31:$US31),"")</f>
        <v/>
      </c>
      <c r="BC80" s="170" t="str">
        <f ca="1">IFERROR(AVERAGEIF('PMO REAL'!$F$12:$US$12,'PMO PREV'!BC$63,'PMO REAL'!$F31:$US31),"")</f>
        <v/>
      </c>
      <c r="BD80" s="170" t="str">
        <f ca="1">IFERROR(AVERAGEIF('PMO REAL'!$F$12:$US$12,'PMO PREV'!BD$63,'PMO REAL'!$F31:$US31),"")</f>
        <v/>
      </c>
      <c r="BE80" s="170" t="str">
        <f ca="1">IFERROR(AVERAGEIF('PMO REAL'!$F$12:$US$12,'PMO PREV'!BE$63,'PMO REAL'!$F31:$US31),"")</f>
        <v/>
      </c>
      <c r="BF80" s="170" t="str">
        <f ca="1">IFERROR(AVERAGEIF('PMO REAL'!$F$12:$US$12,'PMO PREV'!BF$63,'PMO REAL'!$F31:$US31),"")</f>
        <v/>
      </c>
      <c r="BG80" s="170" t="str">
        <f ca="1">IFERROR(AVERAGEIF('PMO REAL'!$F$12:$US$12,'PMO PREV'!BG$63,'PMO REAL'!$F31:$US31),"")</f>
        <v/>
      </c>
      <c r="BH80" s="170" t="str">
        <f ca="1">IFERROR(AVERAGEIF('PMO REAL'!$F$12:$US$12,'PMO PREV'!BH$63,'PMO REAL'!$F31:$US31),"")</f>
        <v/>
      </c>
      <c r="BI80" s="170" t="str">
        <f ca="1">IFERROR(AVERAGEIF('PMO REAL'!$F$12:$US$12,'PMO PREV'!BI$63,'PMO REAL'!$F31:$US31),"")</f>
        <v/>
      </c>
      <c r="BJ80" s="170" t="str">
        <f ca="1">IFERROR(AVERAGEIF('PMO REAL'!$F$12:$US$12,'PMO PREV'!BJ$63,'PMO REAL'!$F31:$US31),"")</f>
        <v/>
      </c>
      <c r="BK80" s="170" t="str">
        <f ca="1">IFERROR(AVERAGEIF('PMO REAL'!$F$12:$US$12,'PMO PREV'!BK$63,'PMO REAL'!$F31:$US31),"")</f>
        <v/>
      </c>
      <c r="BL80" s="170" t="str">
        <f ca="1">IFERROR(AVERAGEIF('PMO REAL'!$F$12:$US$12,'PMO PREV'!BL$63,'PMO REAL'!$F31:$US31),"")</f>
        <v/>
      </c>
      <c r="BM80" s="170" t="str">
        <f ca="1">IFERROR(AVERAGEIF('PMO REAL'!$F$12:$US$12,'PMO PREV'!BM$63,'PMO REAL'!$F31:$US31),"")</f>
        <v/>
      </c>
      <c r="BN80" s="170" t="str">
        <f ca="1">IFERROR(AVERAGEIF('PMO REAL'!$F$12:$US$12,'PMO PREV'!BN$63,'PMO REAL'!$F31:$US31),"")</f>
        <v/>
      </c>
      <c r="BO80" s="170" t="str">
        <f ca="1">IFERROR(AVERAGEIF('PMO REAL'!$F$12:$US$12,'PMO PREV'!BO$63,'PMO REAL'!$F31:$US31),"")</f>
        <v/>
      </c>
      <c r="BP80" s="170" t="str">
        <f ca="1">IFERROR(AVERAGEIF('PMO REAL'!$F$12:$US$12,'PMO PREV'!BP$63,'PMO REAL'!$F31:$US31),"")</f>
        <v/>
      </c>
      <c r="BQ80" s="170" t="str">
        <f ca="1">IFERROR(AVERAGEIF('PMO REAL'!$F$12:$US$12,'PMO PREV'!BQ$63,'PMO REAL'!$F31:$US31),"")</f>
        <v/>
      </c>
      <c r="BR80" s="170" t="str">
        <f ca="1">IFERROR(AVERAGEIF('PMO REAL'!$F$12:$US$12,'PMO PREV'!BR$63,'PMO REAL'!$F31:$US31),"")</f>
        <v/>
      </c>
      <c r="BS80" s="170" t="str">
        <f ca="1">IFERROR(AVERAGEIF('PMO REAL'!$F$12:$US$12,'PMO PREV'!BS$63,'PMO REAL'!$F31:$US31),"")</f>
        <v/>
      </c>
      <c r="BT80" s="170" t="str">
        <f ca="1">IFERROR(AVERAGEIF('PMO REAL'!$F$12:$US$12,'PMO PREV'!BT$63,'PMO REAL'!$F31:$US31),"")</f>
        <v/>
      </c>
      <c r="BU80" s="170" t="str">
        <f ca="1">IFERROR(AVERAGEIF('PMO REAL'!$F$12:$US$12,'PMO PREV'!BU$63,'PMO REAL'!$F31:$US31),"")</f>
        <v/>
      </c>
      <c r="BV80" s="170" t="str">
        <f ca="1">IFERROR(AVERAGEIF('PMO REAL'!$F$12:$US$12,'PMO PREV'!BV$63,'PMO REAL'!$F31:$US31),"")</f>
        <v/>
      </c>
      <c r="BW80" s="170" t="str">
        <f ca="1">IFERROR(AVERAGEIF('PMO REAL'!$F$12:$US$12,'PMO PREV'!BW$63,'PMO REAL'!$F31:$US31),"")</f>
        <v/>
      </c>
      <c r="BX80" s="170" t="str">
        <f ca="1">IFERROR(AVERAGEIF('PMO REAL'!$F$12:$US$12,'PMO PREV'!BX$63,'PMO REAL'!$F31:$US31),"")</f>
        <v/>
      </c>
      <c r="BY80" s="170" t="str">
        <f ca="1">IFERROR(AVERAGEIF('PMO REAL'!$F$12:$US$12,'PMO PREV'!BY$63,'PMO REAL'!$F31:$US31),"")</f>
        <v/>
      </c>
      <c r="BZ80" s="170" t="str">
        <f ca="1">IFERROR(AVERAGEIF('PMO REAL'!$F$12:$US$12,'PMO PREV'!BZ$63,'PMO REAL'!$F31:$US31),"")</f>
        <v/>
      </c>
      <c r="CA80" s="170" t="str">
        <f ca="1">IFERROR(AVERAGEIF('PMO REAL'!$F$12:$US$12,'PMO PREV'!CA$63,'PMO REAL'!$F31:$US31),"")</f>
        <v/>
      </c>
      <c r="CB80" s="170" t="str">
        <f ca="1">IFERROR(AVERAGEIF('PMO REAL'!$F$12:$US$12,'PMO PREV'!CB$63,'PMO REAL'!$F31:$US31),"")</f>
        <v/>
      </c>
      <c r="CC80" s="170" t="str">
        <f ca="1">IFERROR(AVERAGEIF('PMO REAL'!$F$12:$US$12,'PMO PREV'!CC$63,'PMO REAL'!$F31:$US31),"")</f>
        <v/>
      </c>
      <c r="CD80" s="170" t="str">
        <f ca="1">IFERROR(AVERAGEIF('PMO REAL'!$F$12:$US$12,'PMO PREV'!CD$63,'PMO REAL'!$F31:$US31),"")</f>
        <v/>
      </c>
      <c r="CE80" s="170" t="str">
        <f ca="1">IFERROR(AVERAGEIF('PMO REAL'!$F$12:$US$12,'PMO PREV'!CE$63,'PMO REAL'!$F31:$US31),"")</f>
        <v/>
      </c>
      <c r="CF80" s="170" t="str">
        <f ca="1">IFERROR(AVERAGEIF('PMO REAL'!$F$12:$US$12,'PMO PREV'!CF$63,'PMO REAL'!$F31:$US31),"")</f>
        <v/>
      </c>
      <c r="CG80" s="170" t="str">
        <f ca="1">IFERROR(AVERAGEIF('PMO REAL'!$F$12:$US$12,'PMO PREV'!CG$63,'PMO REAL'!$F31:$US31),"")</f>
        <v/>
      </c>
      <c r="CH80" s="120"/>
      <c r="CI80" s="121"/>
      <c r="CJ80" s="92"/>
      <c r="CK80" s="92"/>
      <c r="CL80" s="92"/>
      <c r="CM80" s="92"/>
      <c r="CN80" s="92"/>
      <c r="CO80" s="92"/>
    </row>
    <row r="81" spans="2:93" ht="15.75" customHeight="1" x14ac:dyDescent="0.3">
      <c r="B81" s="169" t="s">
        <v>64</v>
      </c>
      <c r="C81" s="107" t="s">
        <v>156</v>
      </c>
      <c r="D81" s="152" t="str">
        <f t="shared" ca="1" si="18"/>
        <v/>
      </c>
      <c r="E81" s="159" t="str">
        <f t="shared" ca="1" si="19"/>
        <v/>
      </c>
      <c r="F81" s="155" t="str">
        <f ca="1">IFERROR(AVERAGEIF('PMO REAL'!$F$12:$US$12,'PMO PREV'!F$63,'PMO REAL'!$F32:$US32),"")</f>
        <v/>
      </c>
      <c r="G81" s="170" t="str">
        <f ca="1">IFERROR(AVERAGEIF('PMO REAL'!$F$12:$US$12,'PMO PREV'!G$63,'PMO REAL'!$F32:$US32),"")</f>
        <v/>
      </c>
      <c r="H81" s="170" t="str">
        <f ca="1">IFERROR(AVERAGEIF('PMO REAL'!$F$12:$US$12,'PMO PREV'!H$63,'PMO REAL'!$F32:$US32),"")</f>
        <v/>
      </c>
      <c r="I81" s="170" t="str">
        <f ca="1">IFERROR(AVERAGEIF('PMO REAL'!$F$12:$US$12,'PMO PREV'!I$63,'PMO REAL'!$F32:$US32),"")</f>
        <v/>
      </c>
      <c r="J81" s="170" t="str">
        <f ca="1">IFERROR(AVERAGEIF('PMO REAL'!$F$12:$US$12,'PMO PREV'!J$63,'PMO REAL'!$F32:$US32),"")</f>
        <v/>
      </c>
      <c r="K81" s="170" t="str">
        <f ca="1">IFERROR(AVERAGEIF('PMO REAL'!$F$12:$US$12,'PMO PREV'!K$63,'PMO REAL'!$F32:$US32),"")</f>
        <v/>
      </c>
      <c r="L81" s="170" t="str">
        <f ca="1">IFERROR(AVERAGEIF('PMO REAL'!$F$12:$US$12,'PMO PREV'!L$63,'PMO REAL'!$F32:$US32),"")</f>
        <v/>
      </c>
      <c r="M81" s="170" t="str">
        <f ca="1">IFERROR(AVERAGEIF('PMO REAL'!$F$12:$US$12,'PMO PREV'!M$63,'PMO REAL'!$F32:$US32),"")</f>
        <v/>
      </c>
      <c r="N81" s="170" t="str">
        <f ca="1">IFERROR(AVERAGEIF('PMO REAL'!$F$12:$US$12,'PMO PREV'!N$63,'PMO REAL'!$F32:$US32),"")</f>
        <v/>
      </c>
      <c r="O81" s="170" t="str">
        <f ca="1">IFERROR(AVERAGEIF('PMO REAL'!$F$12:$US$12,'PMO PREV'!O$63,'PMO REAL'!$F32:$US32),"")</f>
        <v/>
      </c>
      <c r="P81" s="170" t="str">
        <f ca="1">IFERROR(AVERAGEIF('PMO REAL'!$F$12:$US$12,'PMO PREV'!P$63,'PMO REAL'!$F32:$US32),"")</f>
        <v/>
      </c>
      <c r="Q81" s="170" t="str">
        <f ca="1">IFERROR(AVERAGEIF('PMO REAL'!$F$12:$US$12,'PMO PREV'!Q$63,'PMO REAL'!$F32:$US32),"")</f>
        <v/>
      </c>
      <c r="R81" s="170" t="str">
        <f ca="1">IFERROR(AVERAGEIF('PMO REAL'!$F$12:$US$12,'PMO PREV'!R$63,'PMO REAL'!$F32:$US32),"")</f>
        <v/>
      </c>
      <c r="S81" s="170" t="str">
        <f ca="1">IFERROR(AVERAGEIF('PMO REAL'!$F$12:$US$12,'PMO PREV'!S$63,'PMO REAL'!$F32:$US32),"")</f>
        <v/>
      </c>
      <c r="T81" s="170" t="str">
        <f ca="1">IFERROR(AVERAGEIF('PMO REAL'!$F$12:$US$12,'PMO PREV'!T$63,'PMO REAL'!$F32:$US32),"")</f>
        <v/>
      </c>
      <c r="U81" s="170" t="str">
        <f ca="1">IFERROR(AVERAGEIF('PMO REAL'!$F$12:$US$12,'PMO PREV'!U$63,'PMO REAL'!$F32:$US32),"")</f>
        <v/>
      </c>
      <c r="V81" s="170" t="str">
        <f ca="1">IFERROR(AVERAGEIF('PMO REAL'!$F$12:$US$12,'PMO PREV'!V$63,'PMO REAL'!$F32:$US32),"")</f>
        <v/>
      </c>
      <c r="W81" s="170" t="str">
        <f ca="1">IFERROR(AVERAGEIF('PMO REAL'!$F$12:$US$12,'PMO PREV'!W$63,'PMO REAL'!$F32:$US32),"")</f>
        <v/>
      </c>
      <c r="X81" s="170" t="str">
        <f ca="1">IFERROR(AVERAGEIF('PMO REAL'!$F$12:$US$12,'PMO PREV'!X$63,'PMO REAL'!$F32:$US32),"")</f>
        <v/>
      </c>
      <c r="Y81" s="170" t="str">
        <f ca="1">IFERROR(AVERAGEIF('PMO REAL'!$F$12:$US$12,'PMO PREV'!Y$63,'PMO REAL'!$F32:$US32),"")</f>
        <v/>
      </c>
      <c r="Z81" s="170" t="str">
        <f ca="1">IFERROR(AVERAGEIF('PMO REAL'!$F$12:$US$12,'PMO PREV'!Z$63,'PMO REAL'!$F32:$US32),"")</f>
        <v/>
      </c>
      <c r="AA81" s="170" t="str">
        <f ca="1">IFERROR(AVERAGEIF('PMO REAL'!$F$12:$US$12,'PMO PREV'!AA$63,'PMO REAL'!$F32:$US32),"")</f>
        <v/>
      </c>
      <c r="AB81" s="170" t="str">
        <f ca="1">IFERROR(AVERAGEIF('PMO REAL'!$F$12:$US$12,'PMO PREV'!AB$63,'PMO REAL'!$F32:$US32),"")</f>
        <v/>
      </c>
      <c r="AC81" s="170" t="str">
        <f ca="1">IFERROR(AVERAGEIF('PMO REAL'!$F$12:$US$12,'PMO PREV'!AC$63,'PMO REAL'!$F32:$US32),"")</f>
        <v/>
      </c>
      <c r="AD81" s="170" t="str">
        <f ca="1">IFERROR(AVERAGEIF('PMO REAL'!$F$12:$US$12,'PMO PREV'!AD$63,'PMO REAL'!$F32:$US32),"")</f>
        <v/>
      </c>
      <c r="AE81" s="170" t="str">
        <f ca="1">IFERROR(AVERAGEIF('PMO REAL'!$F$12:$US$12,'PMO PREV'!AE$63,'PMO REAL'!$F32:$US32),"")</f>
        <v/>
      </c>
      <c r="AF81" s="170" t="str">
        <f ca="1">IFERROR(AVERAGEIF('PMO REAL'!$F$12:$US$12,'PMO PREV'!AF$63,'PMO REAL'!$F32:$US32),"")</f>
        <v/>
      </c>
      <c r="AG81" s="170" t="str">
        <f ca="1">IFERROR(AVERAGEIF('PMO REAL'!$F$12:$US$12,'PMO PREV'!AG$63,'PMO REAL'!$F32:$US32),"")</f>
        <v/>
      </c>
      <c r="AH81" s="170" t="str">
        <f ca="1">IFERROR(AVERAGEIF('PMO REAL'!$F$12:$US$12,'PMO PREV'!AH$63,'PMO REAL'!$F32:$US32),"")</f>
        <v/>
      </c>
      <c r="AI81" s="170" t="str">
        <f ca="1">IFERROR(AVERAGEIF('PMO REAL'!$F$12:$US$12,'PMO PREV'!AI$63,'PMO REAL'!$F32:$US32),"")</f>
        <v/>
      </c>
      <c r="AJ81" s="170" t="str">
        <f ca="1">IFERROR(AVERAGEIF('PMO REAL'!$F$12:$US$12,'PMO PREV'!AJ$63,'PMO REAL'!$F32:$US32),"")</f>
        <v/>
      </c>
      <c r="AK81" s="170" t="str">
        <f ca="1">IFERROR(AVERAGEIF('PMO REAL'!$F$12:$US$12,'PMO PREV'!AK$63,'PMO REAL'!$F32:$US32),"")</f>
        <v/>
      </c>
      <c r="AL81" s="170" t="str">
        <f ca="1">IFERROR(AVERAGEIF('PMO REAL'!$F$12:$US$12,'PMO PREV'!AL$63,'PMO REAL'!$F32:$US32),"")</f>
        <v/>
      </c>
      <c r="AM81" s="170" t="str">
        <f ca="1">IFERROR(AVERAGEIF('PMO REAL'!$F$12:$US$12,'PMO PREV'!AM$63,'PMO REAL'!$F32:$US32),"")</f>
        <v/>
      </c>
      <c r="AN81" s="170" t="str">
        <f ca="1">IFERROR(AVERAGEIF('PMO REAL'!$F$12:$US$12,'PMO PREV'!AN$63,'PMO REAL'!$F32:$US32),"")</f>
        <v/>
      </c>
      <c r="AO81" s="170" t="str">
        <f ca="1">IFERROR(AVERAGEIF('PMO REAL'!$F$12:$US$12,'PMO PREV'!AO$63,'PMO REAL'!$F32:$US32),"")</f>
        <v/>
      </c>
      <c r="AP81" s="170" t="str">
        <f ca="1">IFERROR(AVERAGEIF('PMO REAL'!$F$12:$US$12,'PMO PREV'!AP$63,'PMO REAL'!$F32:$US32),"")</f>
        <v/>
      </c>
      <c r="AQ81" s="170" t="str">
        <f ca="1">IFERROR(AVERAGEIF('PMO REAL'!$F$12:$US$12,'PMO PREV'!AQ$63,'PMO REAL'!$F32:$US32),"")</f>
        <v/>
      </c>
      <c r="AR81" s="170" t="str">
        <f ca="1">IFERROR(AVERAGEIF('PMO REAL'!$F$12:$US$12,'PMO PREV'!AR$63,'PMO REAL'!$F32:$US32),"")</f>
        <v/>
      </c>
      <c r="AS81" s="170" t="str">
        <f ca="1">IFERROR(AVERAGEIF('PMO REAL'!$F$12:$US$12,'PMO PREV'!AS$63,'PMO REAL'!$F32:$US32),"")</f>
        <v/>
      </c>
      <c r="AT81" s="170" t="str">
        <f ca="1">IFERROR(AVERAGEIF('PMO REAL'!$F$12:$US$12,'PMO PREV'!AT$63,'PMO REAL'!$F32:$US32),"")</f>
        <v/>
      </c>
      <c r="AU81" s="170" t="str">
        <f ca="1">IFERROR(AVERAGEIF('PMO REAL'!$F$12:$US$12,'PMO PREV'!AU$63,'PMO REAL'!$F32:$US32),"")</f>
        <v/>
      </c>
      <c r="AV81" s="170" t="str">
        <f ca="1">IFERROR(AVERAGEIF('PMO REAL'!$F$12:$US$12,'PMO PREV'!AV$63,'PMO REAL'!$F32:$US32),"")</f>
        <v/>
      </c>
      <c r="AW81" s="170" t="str">
        <f ca="1">IFERROR(AVERAGEIF('PMO REAL'!$F$12:$US$12,'PMO PREV'!AW$63,'PMO REAL'!$F32:$US32),"")</f>
        <v/>
      </c>
      <c r="AX81" s="170" t="str">
        <f ca="1">IFERROR(AVERAGEIF('PMO REAL'!$F$12:$US$12,'PMO PREV'!AX$63,'PMO REAL'!$F32:$US32),"")</f>
        <v/>
      </c>
      <c r="AY81" s="170" t="str">
        <f ca="1">IFERROR(AVERAGEIF('PMO REAL'!$F$12:$US$12,'PMO PREV'!AY$63,'PMO REAL'!$F32:$US32),"")</f>
        <v/>
      </c>
      <c r="AZ81" s="170" t="str">
        <f ca="1">IFERROR(AVERAGEIF('PMO REAL'!$F$12:$US$12,'PMO PREV'!AZ$63,'PMO REAL'!$F32:$US32),"")</f>
        <v/>
      </c>
      <c r="BA81" s="170" t="str">
        <f ca="1">IFERROR(AVERAGEIF('PMO REAL'!$F$12:$US$12,'PMO PREV'!BA$63,'PMO REAL'!$F32:$US32),"")</f>
        <v/>
      </c>
      <c r="BB81" s="170" t="str">
        <f ca="1">IFERROR(AVERAGEIF('PMO REAL'!$F$12:$US$12,'PMO PREV'!BB$63,'PMO REAL'!$F32:$US32),"")</f>
        <v/>
      </c>
      <c r="BC81" s="170" t="str">
        <f ca="1">IFERROR(AVERAGEIF('PMO REAL'!$F$12:$US$12,'PMO PREV'!BC$63,'PMO REAL'!$F32:$US32),"")</f>
        <v/>
      </c>
      <c r="BD81" s="170" t="str">
        <f ca="1">IFERROR(AVERAGEIF('PMO REAL'!$F$12:$US$12,'PMO PREV'!BD$63,'PMO REAL'!$F32:$US32),"")</f>
        <v/>
      </c>
      <c r="BE81" s="170" t="str">
        <f ca="1">IFERROR(AVERAGEIF('PMO REAL'!$F$12:$US$12,'PMO PREV'!BE$63,'PMO REAL'!$F32:$US32),"")</f>
        <v/>
      </c>
      <c r="BF81" s="170" t="str">
        <f ca="1">IFERROR(AVERAGEIF('PMO REAL'!$F$12:$US$12,'PMO PREV'!BF$63,'PMO REAL'!$F32:$US32),"")</f>
        <v/>
      </c>
      <c r="BG81" s="170" t="str">
        <f ca="1">IFERROR(AVERAGEIF('PMO REAL'!$F$12:$US$12,'PMO PREV'!BG$63,'PMO REAL'!$F32:$US32),"")</f>
        <v/>
      </c>
      <c r="BH81" s="170" t="str">
        <f ca="1">IFERROR(AVERAGEIF('PMO REAL'!$F$12:$US$12,'PMO PREV'!BH$63,'PMO REAL'!$F32:$US32),"")</f>
        <v/>
      </c>
      <c r="BI81" s="170" t="str">
        <f ca="1">IFERROR(AVERAGEIF('PMO REAL'!$F$12:$US$12,'PMO PREV'!BI$63,'PMO REAL'!$F32:$US32),"")</f>
        <v/>
      </c>
      <c r="BJ81" s="170" t="str">
        <f ca="1">IFERROR(AVERAGEIF('PMO REAL'!$F$12:$US$12,'PMO PREV'!BJ$63,'PMO REAL'!$F32:$US32),"")</f>
        <v/>
      </c>
      <c r="BK81" s="170" t="str">
        <f ca="1">IFERROR(AVERAGEIF('PMO REAL'!$F$12:$US$12,'PMO PREV'!BK$63,'PMO REAL'!$F32:$US32),"")</f>
        <v/>
      </c>
      <c r="BL81" s="170" t="str">
        <f ca="1">IFERROR(AVERAGEIF('PMO REAL'!$F$12:$US$12,'PMO PREV'!BL$63,'PMO REAL'!$F32:$US32),"")</f>
        <v/>
      </c>
      <c r="BM81" s="170" t="str">
        <f ca="1">IFERROR(AVERAGEIF('PMO REAL'!$F$12:$US$12,'PMO PREV'!BM$63,'PMO REAL'!$F32:$US32),"")</f>
        <v/>
      </c>
      <c r="BN81" s="170" t="str">
        <f ca="1">IFERROR(AVERAGEIF('PMO REAL'!$F$12:$US$12,'PMO PREV'!BN$63,'PMO REAL'!$F32:$US32),"")</f>
        <v/>
      </c>
      <c r="BO81" s="170" t="str">
        <f ca="1">IFERROR(AVERAGEIF('PMO REAL'!$F$12:$US$12,'PMO PREV'!BO$63,'PMO REAL'!$F32:$US32),"")</f>
        <v/>
      </c>
      <c r="BP81" s="170" t="str">
        <f ca="1">IFERROR(AVERAGEIF('PMO REAL'!$F$12:$US$12,'PMO PREV'!BP$63,'PMO REAL'!$F32:$US32),"")</f>
        <v/>
      </c>
      <c r="BQ81" s="170" t="str">
        <f ca="1">IFERROR(AVERAGEIF('PMO REAL'!$F$12:$US$12,'PMO PREV'!BQ$63,'PMO REAL'!$F32:$US32),"")</f>
        <v/>
      </c>
      <c r="BR81" s="170" t="str">
        <f ca="1">IFERROR(AVERAGEIF('PMO REAL'!$F$12:$US$12,'PMO PREV'!BR$63,'PMO REAL'!$F32:$US32),"")</f>
        <v/>
      </c>
      <c r="BS81" s="170" t="str">
        <f ca="1">IFERROR(AVERAGEIF('PMO REAL'!$F$12:$US$12,'PMO PREV'!BS$63,'PMO REAL'!$F32:$US32),"")</f>
        <v/>
      </c>
      <c r="BT81" s="170" t="str">
        <f ca="1">IFERROR(AVERAGEIF('PMO REAL'!$F$12:$US$12,'PMO PREV'!BT$63,'PMO REAL'!$F32:$US32),"")</f>
        <v/>
      </c>
      <c r="BU81" s="170" t="str">
        <f ca="1">IFERROR(AVERAGEIF('PMO REAL'!$F$12:$US$12,'PMO PREV'!BU$63,'PMO REAL'!$F32:$US32),"")</f>
        <v/>
      </c>
      <c r="BV81" s="170" t="str">
        <f ca="1">IFERROR(AVERAGEIF('PMO REAL'!$F$12:$US$12,'PMO PREV'!BV$63,'PMO REAL'!$F32:$US32),"")</f>
        <v/>
      </c>
      <c r="BW81" s="170" t="str">
        <f ca="1">IFERROR(AVERAGEIF('PMO REAL'!$F$12:$US$12,'PMO PREV'!BW$63,'PMO REAL'!$F32:$US32),"")</f>
        <v/>
      </c>
      <c r="BX81" s="170" t="str">
        <f ca="1">IFERROR(AVERAGEIF('PMO REAL'!$F$12:$US$12,'PMO PREV'!BX$63,'PMO REAL'!$F32:$US32),"")</f>
        <v/>
      </c>
      <c r="BY81" s="170" t="str">
        <f ca="1">IFERROR(AVERAGEIF('PMO REAL'!$F$12:$US$12,'PMO PREV'!BY$63,'PMO REAL'!$F32:$US32),"")</f>
        <v/>
      </c>
      <c r="BZ81" s="170" t="str">
        <f ca="1">IFERROR(AVERAGEIF('PMO REAL'!$F$12:$US$12,'PMO PREV'!BZ$63,'PMO REAL'!$F32:$US32),"")</f>
        <v/>
      </c>
      <c r="CA81" s="170" t="str">
        <f ca="1">IFERROR(AVERAGEIF('PMO REAL'!$F$12:$US$12,'PMO PREV'!CA$63,'PMO REAL'!$F32:$US32),"")</f>
        <v/>
      </c>
      <c r="CB81" s="170" t="str">
        <f ca="1">IFERROR(AVERAGEIF('PMO REAL'!$F$12:$US$12,'PMO PREV'!CB$63,'PMO REAL'!$F32:$US32),"")</f>
        <v/>
      </c>
      <c r="CC81" s="170" t="str">
        <f ca="1">IFERROR(AVERAGEIF('PMO REAL'!$F$12:$US$12,'PMO PREV'!CC$63,'PMO REAL'!$F32:$US32),"")</f>
        <v/>
      </c>
      <c r="CD81" s="170" t="str">
        <f ca="1">IFERROR(AVERAGEIF('PMO REAL'!$F$12:$US$12,'PMO PREV'!CD$63,'PMO REAL'!$F32:$US32),"")</f>
        <v/>
      </c>
      <c r="CE81" s="170" t="str">
        <f ca="1">IFERROR(AVERAGEIF('PMO REAL'!$F$12:$US$12,'PMO PREV'!CE$63,'PMO REAL'!$F32:$US32),"")</f>
        <v/>
      </c>
      <c r="CF81" s="170" t="str">
        <f ca="1">IFERROR(AVERAGEIF('PMO REAL'!$F$12:$US$12,'PMO PREV'!CF$63,'PMO REAL'!$F32:$US32),"")</f>
        <v/>
      </c>
      <c r="CG81" s="170" t="str">
        <f ca="1">IFERROR(AVERAGEIF('PMO REAL'!$F$12:$US$12,'PMO PREV'!CG$63,'PMO REAL'!$F32:$US32),"")</f>
        <v/>
      </c>
      <c r="CH81" s="120"/>
      <c r="CI81" s="121"/>
      <c r="CJ81" s="92"/>
      <c r="CK81" s="92"/>
      <c r="CL81" s="92"/>
      <c r="CM81" s="92"/>
      <c r="CN81" s="92"/>
      <c r="CO81" s="92"/>
    </row>
    <row r="82" spans="2:93" ht="15.75" customHeight="1" x14ac:dyDescent="0.3">
      <c r="B82" s="169" t="s">
        <v>63</v>
      </c>
      <c r="C82" s="107" t="s">
        <v>157</v>
      </c>
      <c r="D82" s="152" t="str">
        <f t="shared" ca="1" si="18"/>
        <v/>
      </c>
      <c r="E82" s="159" t="str">
        <f t="shared" ca="1" si="19"/>
        <v/>
      </c>
      <c r="F82" s="155" t="str">
        <f ca="1">IFERROR(AVERAGEIF('PMO REAL'!$F$12:$US$12,'PMO PREV'!F$63,'PMO REAL'!$F33:$US33),"")</f>
        <v/>
      </c>
      <c r="G82" s="170" t="str">
        <f ca="1">IFERROR(AVERAGEIF('PMO REAL'!$F$12:$US$12,'PMO PREV'!G$63,'PMO REAL'!$F33:$US33),"")</f>
        <v/>
      </c>
      <c r="H82" s="170" t="str">
        <f ca="1">IFERROR(AVERAGEIF('PMO REAL'!$F$12:$US$12,'PMO PREV'!H$63,'PMO REAL'!$F33:$US33),"")</f>
        <v/>
      </c>
      <c r="I82" s="170" t="str">
        <f ca="1">IFERROR(AVERAGEIF('PMO REAL'!$F$12:$US$12,'PMO PREV'!I$63,'PMO REAL'!$F33:$US33),"")</f>
        <v/>
      </c>
      <c r="J82" s="170" t="str">
        <f ca="1">IFERROR(AVERAGEIF('PMO REAL'!$F$12:$US$12,'PMO PREV'!J$63,'PMO REAL'!$F33:$US33),"")</f>
        <v/>
      </c>
      <c r="K82" s="170" t="str">
        <f ca="1">IFERROR(AVERAGEIF('PMO REAL'!$F$12:$US$12,'PMO PREV'!K$63,'PMO REAL'!$F33:$US33),"")</f>
        <v/>
      </c>
      <c r="L82" s="170" t="str">
        <f ca="1">IFERROR(AVERAGEIF('PMO REAL'!$F$12:$US$12,'PMO PREV'!L$63,'PMO REAL'!$F33:$US33),"")</f>
        <v/>
      </c>
      <c r="M82" s="170" t="str">
        <f ca="1">IFERROR(AVERAGEIF('PMO REAL'!$F$12:$US$12,'PMO PREV'!M$63,'PMO REAL'!$F33:$US33),"")</f>
        <v/>
      </c>
      <c r="N82" s="170" t="str">
        <f ca="1">IFERROR(AVERAGEIF('PMO REAL'!$F$12:$US$12,'PMO PREV'!N$63,'PMO REAL'!$F33:$US33),"")</f>
        <v/>
      </c>
      <c r="O82" s="170" t="str">
        <f ca="1">IFERROR(AVERAGEIF('PMO REAL'!$F$12:$US$12,'PMO PREV'!O$63,'PMO REAL'!$F33:$US33),"")</f>
        <v/>
      </c>
      <c r="P82" s="170" t="str">
        <f ca="1">IFERROR(AVERAGEIF('PMO REAL'!$F$12:$US$12,'PMO PREV'!P$63,'PMO REAL'!$F33:$US33),"")</f>
        <v/>
      </c>
      <c r="Q82" s="170" t="str">
        <f ca="1">IFERROR(AVERAGEIF('PMO REAL'!$F$12:$US$12,'PMO PREV'!Q$63,'PMO REAL'!$F33:$US33),"")</f>
        <v/>
      </c>
      <c r="R82" s="170" t="str">
        <f ca="1">IFERROR(AVERAGEIF('PMO REAL'!$F$12:$US$12,'PMO PREV'!R$63,'PMO REAL'!$F33:$US33),"")</f>
        <v/>
      </c>
      <c r="S82" s="170" t="str">
        <f ca="1">IFERROR(AVERAGEIF('PMO REAL'!$F$12:$US$12,'PMO PREV'!S$63,'PMO REAL'!$F33:$US33),"")</f>
        <v/>
      </c>
      <c r="T82" s="170" t="str">
        <f ca="1">IFERROR(AVERAGEIF('PMO REAL'!$F$12:$US$12,'PMO PREV'!T$63,'PMO REAL'!$F33:$US33),"")</f>
        <v/>
      </c>
      <c r="U82" s="170" t="str">
        <f ca="1">IFERROR(AVERAGEIF('PMO REAL'!$F$12:$US$12,'PMO PREV'!U$63,'PMO REAL'!$F33:$US33),"")</f>
        <v/>
      </c>
      <c r="V82" s="170" t="str">
        <f ca="1">IFERROR(AVERAGEIF('PMO REAL'!$F$12:$US$12,'PMO PREV'!V$63,'PMO REAL'!$F33:$US33),"")</f>
        <v/>
      </c>
      <c r="W82" s="170" t="str">
        <f ca="1">IFERROR(AVERAGEIF('PMO REAL'!$F$12:$US$12,'PMO PREV'!W$63,'PMO REAL'!$F33:$US33),"")</f>
        <v/>
      </c>
      <c r="X82" s="170" t="str">
        <f ca="1">IFERROR(AVERAGEIF('PMO REAL'!$F$12:$US$12,'PMO PREV'!X$63,'PMO REAL'!$F33:$US33),"")</f>
        <v/>
      </c>
      <c r="Y82" s="170" t="str">
        <f ca="1">IFERROR(AVERAGEIF('PMO REAL'!$F$12:$US$12,'PMO PREV'!Y$63,'PMO REAL'!$F33:$US33),"")</f>
        <v/>
      </c>
      <c r="Z82" s="170" t="str">
        <f ca="1">IFERROR(AVERAGEIF('PMO REAL'!$F$12:$US$12,'PMO PREV'!Z$63,'PMO REAL'!$F33:$US33),"")</f>
        <v/>
      </c>
      <c r="AA82" s="170" t="str">
        <f ca="1">IFERROR(AVERAGEIF('PMO REAL'!$F$12:$US$12,'PMO PREV'!AA$63,'PMO REAL'!$F33:$US33),"")</f>
        <v/>
      </c>
      <c r="AB82" s="170" t="str">
        <f ca="1">IFERROR(AVERAGEIF('PMO REAL'!$F$12:$US$12,'PMO PREV'!AB$63,'PMO REAL'!$F33:$US33),"")</f>
        <v/>
      </c>
      <c r="AC82" s="170" t="str">
        <f ca="1">IFERROR(AVERAGEIF('PMO REAL'!$F$12:$US$12,'PMO PREV'!AC$63,'PMO REAL'!$F33:$US33),"")</f>
        <v/>
      </c>
      <c r="AD82" s="170" t="str">
        <f ca="1">IFERROR(AVERAGEIF('PMO REAL'!$F$12:$US$12,'PMO PREV'!AD$63,'PMO REAL'!$F33:$US33),"")</f>
        <v/>
      </c>
      <c r="AE82" s="170" t="str">
        <f ca="1">IFERROR(AVERAGEIF('PMO REAL'!$F$12:$US$12,'PMO PREV'!AE$63,'PMO REAL'!$F33:$US33),"")</f>
        <v/>
      </c>
      <c r="AF82" s="170" t="str">
        <f ca="1">IFERROR(AVERAGEIF('PMO REAL'!$F$12:$US$12,'PMO PREV'!AF$63,'PMO REAL'!$F33:$US33),"")</f>
        <v/>
      </c>
      <c r="AG82" s="170" t="str">
        <f ca="1">IFERROR(AVERAGEIF('PMO REAL'!$F$12:$US$12,'PMO PREV'!AG$63,'PMO REAL'!$F33:$US33),"")</f>
        <v/>
      </c>
      <c r="AH82" s="170" t="str">
        <f ca="1">IFERROR(AVERAGEIF('PMO REAL'!$F$12:$US$12,'PMO PREV'!AH$63,'PMO REAL'!$F33:$US33),"")</f>
        <v/>
      </c>
      <c r="AI82" s="170" t="str">
        <f ca="1">IFERROR(AVERAGEIF('PMO REAL'!$F$12:$US$12,'PMO PREV'!AI$63,'PMO REAL'!$F33:$US33),"")</f>
        <v/>
      </c>
      <c r="AJ82" s="170" t="str">
        <f ca="1">IFERROR(AVERAGEIF('PMO REAL'!$F$12:$US$12,'PMO PREV'!AJ$63,'PMO REAL'!$F33:$US33),"")</f>
        <v/>
      </c>
      <c r="AK82" s="170" t="str">
        <f ca="1">IFERROR(AVERAGEIF('PMO REAL'!$F$12:$US$12,'PMO PREV'!AK$63,'PMO REAL'!$F33:$US33),"")</f>
        <v/>
      </c>
      <c r="AL82" s="170" t="str">
        <f ca="1">IFERROR(AVERAGEIF('PMO REAL'!$F$12:$US$12,'PMO PREV'!AL$63,'PMO REAL'!$F33:$US33),"")</f>
        <v/>
      </c>
      <c r="AM82" s="170" t="str">
        <f ca="1">IFERROR(AVERAGEIF('PMO REAL'!$F$12:$US$12,'PMO PREV'!AM$63,'PMO REAL'!$F33:$US33),"")</f>
        <v/>
      </c>
      <c r="AN82" s="170" t="str">
        <f ca="1">IFERROR(AVERAGEIF('PMO REAL'!$F$12:$US$12,'PMO PREV'!AN$63,'PMO REAL'!$F33:$US33),"")</f>
        <v/>
      </c>
      <c r="AO82" s="170" t="str">
        <f ca="1">IFERROR(AVERAGEIF('PMO REAL'!$F$12:$US$12,'PMO PREV'!AO$63,'PMO REAL'!$F33:$US33),"")</f>
        <v/>
      </c>
      <c r="AP82" s="170" t="str">
        <f ca="1">IFERROR(AVERAGEIF('PMO REAL'!$F$12:$US$12,'PMO PREV'!AP$63,'PMO REAL'!$F33:$US33),"")</f>
        <v/>
      </c>
      <c r="AQ82" s="170" t="str">
        <f ca="1">IFERROR(AVERAGEIF('PMO REAL'!$F$12:$US$12,'PMO PREV'!AQ$63,'PMO REAL'!$F33:$US33),"")</f>
        <v/>
      </c>
      <c r="AR82" s="170" t="str">
        <f ca="1">IFERROR(AVERAGEIF('PMO REAL'!$F$12:$US$12,'PMO PREV'!AR$63,'PMO REAL'!$F33:$US33),"")</f>
        <v/>
      </c>
      <c r="AS82" s="170" t="str">
        <f ca="1">IFERROR(AVERAGEIF('PMO REAL'!$F$12:$US$12,'PMO PREV'!AS$63,'PMO REAL'!$F33:$US33),"")</f>
        <v/>
      </c>
      <c r="AT82" s="170" t="str">
        <f ca="1">IFERROR(AVERAGEIF('PMO REAL'!$F$12:$US$12,'PMO PREV'!AT$63,'PMO REAL'!$F33:$US33),"")</f>
        <v/>
      </c>
      <c r="AU82" s="170" t="str">
        <f ca="1">IFERROR(AVERAGEIF('PMO REAL'!$F$12:$US$12,'PMO PREV'!AU$63,'PMO REAL'!$F33:$US33),"")</f>
        <v/>
      </c>
      <c r="AV82" s="170" t="str">
        <f ca="1">IFERROR(AVERAGEIF('PMO REAL'!$F$12:$US$12,'PMO PREV'!AV$63,'PMO REAL'!$F33:$US33),"")</f>
        <v/>
      </c>
      <c r="AW82" s="170" t="str">
        <f ca="1">IFERROR(AVERAGEIF('PMO REAL'!$F$12:$US$12,'PMO PREV'!AW$63,'PMO REAL'!$F33:$US33),"")</f>
        <v/>
      </c>
      <c r="AX82" s="170" t="str">
        <f ca="1">IFERROR(AVERAGEIF('PMO REAL'!$F$12:$US$12,'PMO PREV'!AX$63,'PMO REAL'!$F33:$US33),"")</f>
        <v/>
      </c>
      <c r="AY82" s="170" t="str">
        <f ca="1">IFERROR(AVERAGEIF('PMO REAL'!$F$12:$US$12,'PMO PREV'!AY$63,'PMO REAL'!$F33:$US33),"")</f>
        <v/>
      </c>
      <c r="AZ82" s="170" t="str">
        <f ca="1">IFERROR(AVERAGEIF('PMO REAL'!$F$12:$US$12,'PMO PREV'!AZ$63,'PMO REAL'!$F33:$US33),"")</f>
        <v/>
      </c>
      <c r="BA82" s="170" t="str">
        <f ca="1">IFERROR(AVERAGEIF('PMO REAL'!$F$12:$US$12,'PMO PREV'!BA$63,'PMO REAL'!$F33:$US33),"")</f>
        <v/>
      </c>
      <c r="BB82" s="170" t="str">
        <f ca="1">IFERROR(AVERAGEIF('PMO REAL'!$F$12:$US$12,'PMO PREV'!BB$63,'PMO REAL'!$F33:$US33),"")</f>
        <v/>
      </c>
      <c r="BC82" s="170" t="str">
        <f ca="1">IFERROR(AVERAGEIF('PMO REAL'!$F$12:$US$12,'PMO PREV'!BC$63,'PMO REAL'!$F33:$US33),"")</f>
        <v/>
      </c>
      <c r="BD82" s="170" t="str">
        <f ca="1">IFERROR(AVERAGEIF('PMO REAL'!$F$12:$US$12,'PMO PREV'!BD$63,'PMO REAL'!$F33:$US33),"")</f>
        <v/>
      </c>
      <c r="BE82" s="170" t="str">
        <f ca="1">IFERROR(AVERAGEIF('PMO REAL'!$F$12:$US$12,'PMO PREV'!BE$63,'PMO REAL'!$F33:$US33),"")</f>
        <v/>
      </c>
      <c r="BF82" s="170" t="str">
        <f ca="1">IFERROR(AVERAGEIF('PMO REAL'!$F$12:$US$12,'PMO PREV'!BF$63,'PMO REAL'!$F33:$US33),"")</f>
        <v/>
      </c>
      <c r="BG82" s="170" t="str">
        <f ca="1">IFERROR(AVERAGEIF('PMO REAL'!$F$12:$US$12,'PMO PREV'!BG$63,'PMO REAL'!$F33:$US33),"")</f>
        <v/>
      </c>
      <c r="BH82" s="170" t="str">
        <f ca="1">IFERROR(AVERAGEIF('PMO REAL'!$F$12:$US$12,'PMO PREV'!BH$63,'PMO REAL'!$F33:$US33),"")</f>
        <v/>
      </c>
      <c r="BI82" s="170" t="str">
        <f ca="1">IFERROR(AVERAGEIF('PMO REAL'!$F$12:$US$12,'PMO PREV'!BI$63,'PMO REAL'!$F33:$US33),"")</f>
        <v/>
      </c>
      <c r="BJ82" s="170" t="str">
        <f ca="1">IFERROR(AVERAGEIF('PMO REAL'!$F$12:$US$12,'PMO PREV'!BJ$63,'PMO REAL'!$F33:$US33),"")</f>
        <v/>
      </c>
      <c r="BK82" s="170" t="str">
        <f ca="1">IFERROR(AVERAGEIF('PMO REAL'!$F$12:$US$12,'PMO PREV'!BK$63,'PMO REAL'!$F33:$US33),"")</f>
        <v/>
      </c>
      <c r="BL82" s="170" t="str">
        <f ca="1">IFERROR(AVERAGEIF('PMO REAL'!$F$12:$US$12,'PMO PREV'!BL$63,'PMO REAL'!$F33:$US33),"")</f>
        <v/>
      </c>
      <c r="BM82" s="170" t="str">
        <f ca="1">IFERROR(AVERAGEIF('PMO REAL'!$F$12:$US$12,'PMO PREV'!BM$63,'PMO REAL'!$F33:$US33),"")</f>
        <v/>
      </c>
      <c r="BN82" s="170" t="str">
        <f ca="1">IFERROR(AVERAGEIF('PMO REAL'!$F$12:$US$12,'PMO PREV'!BN$63,'PMO REAL'!$F33:$US33),"")</f>
        <v/>
      </c>
      <c r="BO82" s="170" t="str">
        <f ca="1">IFERROR(AVERAGEIF('PMO REAL'!$F$12:$US$12,'PMO PREV'!BO$63,'PMO REAL'!$F33:$US33),"")</f>
        <v/>
      </c>
      <c r="BP82" s="170" t="str">
        <f ca="1">IFERROR(AVERAGEIF('PMO REAL'!$F$12:$US$12,'PMO PREV'!BP$63,'PMO REAL'!$F33:$US33),"")</f>
        <v/>
      </c>
      <c r="BQ82" s="170" t="str">
        <f ca="1">IFERROR(AVERAGEIF('PMO REAL'!$F$12:$US$12,'PMO PREV'!BQ$63,'PMO REAL'!$F33:$US33),"")</f>
        <v/>
      </c>
      <c r="BR82" s="170" t="str">
        <f ca="1">IFERROR(AVERAGEIF('PMO REAL'!$F$12:$US$12,'PMO PREV'!BR$63,'PMO REAL'!$F33:$US33),"")</f>
        <v/>
      </c>
      <c r="BS82" s="170" t="str">
        <f ca="1">IFERROR(AVERAGEIF('PMO REAL'!$F$12:$US$12,'PMO PREV'!BS$63,'PMO REAL'!$F33:$US33),"")</f>
        <v/>
      </c>
      <c r="BT82" s="170" t="str">
        <f ca="1">IFERROR(AVERAGEIF('PMO REAL'!$F$12:$US$12,'PMO PREV'!BT$63,'PMO REAL'!$F33:$US33),"")</f>
        <v/>
      </c>
      <c r="BU82" s="170" t="str">
        <f ca="1">IFERROR(AVERAGEIF('PMO REAL'!$F$12:$US$12,'PMO PREV'!BU$63,'PMO REAL'!$F33:$US33),"")</f>
        <v/>
      </c>
      <c r="BV82" s="170" t="str">
        <f ca="1">IFERROR(AVERAGEIF('PMO REAL'!$F$12:$US$12,'PMO PREV'!BV$63,'PMO REAL'!$F33:$US33),"")</f>
        <v/>
      </c>
      <c r="BW82" s="170" t="str">
        <f ca="1">IFERROR(AVERAGEIF('PMO REAL'!$F$12:$US$12,'PMO PREV'!BW$63,'PMO REAL'!$F33:$US33),"")</f>
        <v/>
      </c>
      <c r="BX82" s="170" t="str">
        <f ca="1">IFERROR(AVERAGEIF('PMO REAL'!$F$12:$US$12,'PMO PREV'!BX$63,'PMO REAL'!$F33:$US33),"")</f>
        <v/>
      </c>
      <c r="BY82" s="170" t="str">
        <f ca="1">IFERROR(AVERAGEIF('PMO REAL'!$F$12:$US$12,'PMO PREV'!BY$63,'PMO REAL'!$F33:$US33),"")</f>
        <v/>
      </c>
      <c r="BZ82" s="170" t="str">
        <f ca="1">IFERROR(AVERAGEIF('PMO REAL'!$F$12:$US$12,'PMO PREV'!BZ$63,'PMO REAL'!$F33:$US33),"")</f>
        <v/>
      </c>
      <c r="CA82" s="170" t="str">
        <f ca="1">IFERROR(AVERAGEIF('PMO REAL'!$F$12:$US$12,'PMO PREV'!CA$63,'PMO REAL'!$F33:$US33),"")</f>
        <v/>
      </c>
      <c r="CB82" s="170" t="str">
        <f ca="1">IFERROR(AVERAGEIF('PMO REAL'!$F$12:$US$12,'PMO PREV'!CB$63,'PMO REAL'!$F33:$US33),"")</f>
        <v/>
      </c>
      <c r="CC82" s="170" t="str">
        <f ca="1">IFERROR(AVERAGEIF('PMO REAL'!$F$12:$US$12,'PMO PREV'!CC$63,'PMO REAL'!$F33:$US33),"")</f>
        <v/>
      </c>
      <c r="CD82" s="170" t="str">
        <f ca="1">IFERROR(AVERAGEIF('PMO REAL'!$F$12:$US$12,'PMO PREV'!CD$63,'PMO REAL'!$F33:$US33),"")</f>
        <v/>
      </c>
      <c r="CE82" s="170" t="str">
        <f ca="1">IFERROR(AVERAGEIF('PMO REAL'!$F$12:$US$12,'PMO PREV'!CE$63,'PMO REAL'!$F33:$US33),"")</f>
        <v/>
      </c>
      <c r="CF82" s="170" t="str">
        <f ca="1">IFERROR(AVERAGEIF('PMO REAL'!$F$12:$US$12,'PMO PREV'!CF$63,'PMO REAL'!$F33:$US33),"")</f>
        <v/>
      </c>
      <c r="CG82" s="170" t="str">
        <f ca="1">IFERROR(AVERAGEIF('PMO REAL'!$F$12:$US$12,'PMO PREV'!CG$63,'PMO REAL'!$F33:$US33),"")</f>
        <v/>
      </c>
      <c r="CH82" s="120"/>
      <c r="CI82" s="121"/>
      <c r="CJ82" s="92"/>
      <c r="CK82" s="92"/>
      <c r="CL82" s="92"/>
      <c r="CM82" s="92"/>
      <c r="CN82" s="92"/>
      <c r="CO82" s="92"/>
    </row>
    <row r="83" spans="2:93" ht="15.75" customHeight="1" x14ac:dyDescent="0.3">
      <c r="B83" s="169" t="s">
        <v>62</v>
      </c>
      <c r="C83" s="107" t="s">
        <v>59</v>
      </c>
      <c r="D83" s="152" t="str">
        <f t="shared" ca="1" si="18"/>
        <v/>
      </c>
      <c r="E83" s="159" t="str">
        <f t="shared" ca="1" si="19"/>
        <v/>
      </c>
      <c r="F83" s="155" t="str">
        <f ca="1">IFERROR(AVERAGEIF('PMO REAL'!$F$12:$US$12,'PMO PREV'!F$63,'PMO REAL'!$F34:$US34),"")</f>
        <v/>
      </c>
      <c r="G83" s="170" t="str">
        <f ca="1">IFERROR(AVERAGEIF('PMO REAL'!$F$12:$US$12,'PMO PREV'!G$63,'PMO REAL'!$F34:$US34),"")</f>
        <v/>
      </c>
      <c r="H83" s="170" t="str">
        <f ca="1">IFERROR(AVERAGEIF('PMO REAL'!$F$12:$US$12,'PMO PREV'!H$63,'PMO REAL'!$F34:$US34),"")</f>
        <v/>
      </c>
      <c r="I83" s="170" t="str">
        <f ca="1">IFERROR(AVERAGEIF('PMO REAL'!$F$12:$US$12,'PMO PREV'!I$63,'PMO REAL'!$F34:$US34),"")</f>
        <v/>
      </c>
      <c r="J83" s="170" t="str">
        <f ca="1">IFERROR(AVERAGEIF('PMO REAL'!$F$12:$US$12,'PMO PREV'!J$63,'PMO REAL'!$F34:$US34),"")</f>
        <v/>
      </c>
      <c r="K83" s="170" t="str">
        <f ca="1">IFERROR(AVERAGEIF('PMO REAL'!$F$12:$US$12,'PMO PREV'!K$63,'PMO REAL'!$F34:$US34),"")</f>
        <v/>
      </c>
      <c r="L83" s="170" t="str">
        <f ca="1">IFERROR(AVERAGEIF('PMO REAL'!$F$12:$US$12,'PMO PREV'!L$63,'PMO REAL'!$F34:$US34),"")</f>
        <v/>
      </c>
      <c r="M83" s="170" t="str">
        <f ca="1">IFERROR(AVERAGEIF('PMO REAL'!$F$12:$US$12,'PMO PREV'!M$63,'PMO REAL'!$F34:$US34),"")</f>
        <v/>
      </c>
      <c r="N83" s="170" t="str">
        <f ca="1">IFERROR(AVERAGEIF('PMO REAL'!$F$12:$US$12,'PMO PREV'!N$63,'PMO REAL'!$F34:$US34),"")</f>
        <v/>
      </c>
      <c r="O83" s="170" t="str">
        <f ca="1">IFERROR(AVERAGEIF('PMO REAL'!$F$12:$US$12,'PMO PREV'!O$63,'PMO REAL'!$F34:$US34),"")</f>
        <v/>
      </c>
      <c r="P83" s="170" t="str">
        <f ca="1">IFERROR(AVERAGEIF('PMO REAL'!$F$12:$US$12,'PMO PREV'!P$63,'PMO REAL'!$F34:$US34),"")</f>
        <v/>
      </c>
      <c r="Q83" s="170" t="str">
        <f ca="1">IFERROR(AVERAGEIF('PMO REAL'!$F$12:$US$12,'PMO PREV'!Q$63,'PMO REAL'!$F34:$US34),"")</f>
        <v/>
      </c>
      <c r="R83" s="170" t="str">
        <f ca="1">IFERROR(AVERAGEIF('PMO REAL'!$F$12:$US$12,'PMO PREV'!R$63,'PMO REAL'!$F34:$US34),"")</f>
        <v/>
      </c>
      <c r="S83" s="170" t="str">
        <f ca="1">IFERROR(AVERAGEIF('PMO REAL'!$F$12:$US$12,'PMO PREV'!S$63,'PMO REAL'!$F34:$US34),"")</f>
        <v/>
      </c>
      <c r="T83" s="170" t="str">
        <f ca="1">IFERROR(AVERAGEIF('PMO REAL'!$F$12:$US$12,'PMO PREV'!T$63,'PMO REAL'!$F34:$US34),"")</f>
        <v/>
      </c>
      <c r="U83" s="170" t="str">
        <f ca="1">IFERROR(AVERAGEIF('PMO REAL'!$F$12:$US$12,'PMO PREV'!U$63,'PMO REAL'!$F34:$US34),"")</f>
        <v/>
      </c>
      <c r="V83" s="170" t="str">
        <f ca="1">IFERROR(AVERAGEIF('PMO REAL'!$F$12:$US$12,'PMO PREV'!V$63,'PMO REAL'!$F34:$US34),"")</f>
        <v/>
      </c>
      <c r="W83" s="170" t="str">
        <f ca="1">IFERROR(AVERAGEIF('PMO REAL'!$F$12:$US$12,'PMO PREV'!W$63,'PMO REAL'!$F34:$US34),"")</f>
        <v/>
      </c>
      <c r="X83" s="170" t="str">
        <f ca="1">IFERROR(AVERAGEIF('PMO REAL'!$F$12:$US$12,'PMO PREV'!X$63,'PMO REAL'!$F34:$US34),"")</f>
        <v/>
      </c>
      <c r="Y83" s="170" t="str">
        <f ca="1">IFERROR(AVERAGEIF('PMO REAL'!$F$12:$US$12,'PMO PREV'!Y$63,'PMO REAL'!$F34:$US34),"")</f>
        <v/>
      </c>
      <c r="Z83" s="170" t="str">
        <f ca="1">IFERROR(AVERAGEIF('PMO REAL'!$F$12:$US$12,'PMO PREV'!Z$63,'PMO REAL'!$F34:$US34),"")</f>
        <v/>
      </c>
      <c r="AA83" s="170" t="str">
        <f ca="1">IFERROR(AVERAGEIF('PMO REAL'!$F$12:$US$12,'PMO PREV'!AA$63,'PMO REAL'!$F34:$US34),"")</f>
        <v/>
      </c>
      <c r="AB83" s="170" t="str">
        <f ca="1">IFERROR(AVERAGEIF('PMO REAL'!$F$12:$US$12,'PMO PREV'!AB$63,'PMO REAL'!$F34:$US34),"")</f>
        <v/>
      </c>
      <c r="AC83" s="170" t="str">
        <f ca="1">IFERROR(AVERAGEIF('PMO REAL'!$F$12:$US$12,'PMO PREV'!AC$63,'PMO REAL'!$F34:$US34),"")</f>
        <v/>
      </c>
      <c r="AD83" s="170" t="str">
        <f ca="1">IFERROR(AVERAGEIF('PMO REAL'!$F$12:$US$12,'PMO PREV'!AD$63,'PMO REAL'!$F34:$US34),"")</f>
        <v/>
      </c>
      <c r="AE83" s="170" t="str">
        <f ca="1">IFERROR(AVERAGEIF('PMO REAL'!$F$12:$US$12,'PMO PREV'!AE$63,'PMO REAL'!$F34:$US34),"")</f>
        <v/>
      </c>
      <c r="AF83" s="170" t="str">
        <f ca="1">IFERROR(AVERAGEIF('PMO REAL'!$F$12:$US$12,'PMO PREV'!AF$63,'PMO REAL'!$F34:$US34),"")</f>
        <v/>
      </c>
      <c r="AG83" s="170" t="str">
        <f ca="1">IFERROR(AVERAGEIF('PMO REAL'!$F$12:$US$12,'PMO PREV'!AG$63,'PMO REAL'!$F34:$US34),"")</f>
        <v/>
      </c>
      <c r="AH83" s="170" t="str">
        <f ca="1">IFERROR(AVERAGEIF('PMO REAL'!$F$12:$US$12,'PMO PREV'!AH$63,'PMO REAL'!$F34:$US34),"")</f>
        <v/>
      </c>
      <c r="AI83" s="170" t="str">
        <f ca="1">IFERROR(AVERAGEIF('PMO REAL'!$F$12:$US$12,'PMO PREV'!AI$63,'PMO REAL'!$F34:$US34),"")</f>
        <v/>
      </c>
      <c r="AJ83" s="170" t="str">
        <f ca="1">IFERROR(AVERAGEIF('PMO REAL'!$F$12:$US$12,'PMO PREV'!AJ$63,'PMO REAL'!$F34:$US34),"")</f>
        <v/>
      </c>
      <c r="AK83" s="170" t="str">
        <f ca="1">IFERROR(AVERAGEIF('PMO REAL'!$F$12:$US$12,'PMO PREV'!AK$63,'PMO REAL'!$F34:$US34),"")</f>
        <v/>
      </c>
      <c r="AL83" s="170" t="str">
        <f ca="1">IFERROR(AVERAGEIF('PMO REAL'!$F$12:$US$12,'PMO PREV'!AL$63,'PMO REAL'!$F34:$US34),"")</f>
        <v/>
      </c>
      <c r="AM83" s="170" t="str">
        <f ca="1">IFERROR(AVERAGEIF('PMO REAL'!$F$12:$US$12,'PMO PREV'!AM$63,'PMO REAL'!$F34:$US34),"")</f>
        <v/>
      </c>
      <c r="AN83" s="170" t="str">
        <f ca="1">IFERROR(AVERAGEIF('PMO REAL'!$F$12:$US$12,'PMO PREV'!AN$63,'PMO REAL'!$F34:$US34),"")</f>
        <v/>
      </c>
      <c r="AO83" s="170" t="str">
        <f ca="1">IFERROR(AVERAGEIF('PMO REAL'!$F$12:$US$12,'PMO PREV'!AO$63,'PMO REAL'!$F34:$US34),"")</f>
        <v/>
      </c>
      <c r="AP83" s="170" t="str">
        <f ca="1">IFERROR(AVERAGEIF('PMO REAL'!$F$12:$US$12,'PMO PREV'!AP$63,'PMO REAL'!$F34:$US34),"")</f>
        <v/>
      </c>
      <c r="AQ83" s="170" t="str">
        <f ca="1">IFERROR(AVERAGEIF('PMO REAL'!$F$12:$US$12,'PMO PREV'!AQ$63,'PMO REAL'!$F34:$US34),"")</f>
        <v/>
      </c>
      <c r="AR83" s="170" t="str">
        <f ca="1">IFERROR(AVERAGEIF('PMO REAL'!$F$12:$US$12,'PMO PREV'!AR$63,'PMO REAL'!$F34:$US34),"")</f>
        <v/>
      </c>
      <c r="AS83" s="170" t="str">
        <f ca="1">IFERROR(AVERAGEIF('PMO REAL'!$F$12:$US$12,'PMO PREV'!AS$63,'PMO REAL'!$F34:$US34),"")</f>
        <v/>
      </c>
      <c r="AT83" s="170" t="str">
        <f ca="1">IFERROR(AVERAGEIF('PMO REAL'!$F$12:$US$12,'PMO PREV'!AT$63,'PMO REAL'!$F34:$US34),"")</f>
        <v/>
      </c>
      <c r="AU83" s="170" t="str">
        <f ca="1">IFERROR(AVERAGEIF('PMO REAL'!$F$12:$US$12,'PMO PREV'!AU$63,'PMO REAL'!$F34:$US34),"")</f>
        <v/>
      </c>
      <c r="AV83" s="170" t="str">
        <f ca="1">IFERROR(AVERAGEIF('PMO REAL'!$F$12:$US$12,'PMO PREV'!AV$63,'PMO REAL'!$F34:$US34),"")</f>
        <v/>
      </c>
      <c r="AW83" s="170" t="str">
        <f ca="1">IFERROR(AVERAGEIF('PMO REAL'!$F$12:$US$12,'PMO PREV'!AW$63,'PMO REAL'!$F34:$US34),"")</f>
        <v/>
      </c>
      <c r="AX83" s="170" t="str">
        <f ca="1">IFERROR(AVERAGEIF('PMO REAL'!$F$12:$US$12,'PMO PREV'!AX$63,'PMO REAL'!$F34:$US34),"")</f>
        <v/>
      </c>
      <c r="AY83" s="170" t="str">
        <f ca="1">IFERROR(AVERAGEIF('PMO REAL'!$F$12:$US$12,'PMO PREV'!AY$63,'PMO REAL'!$F34:$US34),"")</f>
        <v/>
      </c>
      <c r="AZ83" s="170" t="str">
        <f ca="1">IFERROR(AVERAGEIF('PMO REAL'!$F$12:$US$12,'PMO PREV'!AZ$63,'PMO REAL'!$F34:$US34),"")</f>
        <v/>
      </c>
      <c r="BA83" s="170" t="str">
        <f ca="1">IFERROR(AVERAGEIF('PMO REAL'!$F$12:$US$12,'PMO PREV'!BA$63,'PMO REAL'!$F34:$US34),"")</f>
        <v/>
      </c>
      <c r="BB83" s="170" t="str">
        <f ca="1">IFERROR(AVERAGEIF('PMO REAL'!$F$12:$US$12,'PMO PREV'!BB$63,'PMO REAL'!$F34:$US34),"")</f>
        <v/>
      </c>
      <c r="BC83" s="170" t="str">
        <f ca="1">IFERROR(AVERAGEIF('PMO REAL'!$F$12:$US$12,'PMO PREV'!BC$63,'PMO REAL'!$F34:$US34),"")</f>
        <v/>
      </c>
      <c r="BD83" s="170" t="str">
        <f ca="1">IFERROR(AVERAGEIF('PMO REAL'!$F$12:$US$12,'PMO PREV'!BD$63,'PMO REAL'!$F34:$US34),"")</f>
        <v/>
      </c>
      <c r="BE83" s="170" t="str">
        <f ca="1">IFERROR(AVERAGEIF('PMO REAL'!$F$12:$US$12,'PMO PREV'!BE$63,'PMO REAL'!$F34:$US34),"")</f>
        <v/>
      </c>
      <c r="BF83" s="170" t="str">
        <f ca="1">IFERROR(AVERAGEIF('PMO REAL'!$F$12:$US$12,'PMO PREV'!BF$63,'PMO REAL'!$F34:$US34),"")</f>
        <v/>
      </c>
      <c r="BG83" s="170" t="str">
        <f ca="1">IFERROR(AVERAGEIF('PMO REAL'!$F$12:$US$12,'PMO PREV'!BG$63,'PMO REAL'!$F34:$US34),"")</f>
        <v/>
      </c>
      <c r="BH83" s="170" t="str">
        <f ca="1">IFERROR(AVERAGEIF('PMO REAL'!$F$12:$US$12,'PMO PREV'!BH$63,'PMO REAL'!$F34:$US34),"")</f>
        <v/>
      </c>
      <c r="BI83" s="170" t="str">
        <f ca="1">IFERROR(AVERAGEIF('PMO REAL'!$F$12:$US$12,'PMO PREV'!BI$63,'PMO REAL'!$F34:$US34),"")</f>
        <v/>
      </c>
      <c r="BJ83" s="170" t="str">
        <f ca="1">IFERROR(AVERAGEIF('PMO REAL'!$F$12:$US$12,'PMO PREV'!BJ$63,'PMO REAL'!$F34:$US34),"")</f>
        <v/>
      </c>
      <c r="BK83" s="170" t="str">
        <f ca="1">IFERROR(AVERAGEIF('PMO REAL'!$F$12:$US$12,'PMO PREV'!BK$63,'PMO REAL'!$F34:$US34),"")</f>
        <v/>
      </c>
      <c r="BL83" s="170" t="str">
        <f ca="1">IFERROR(AVERAGEIF('PMO REAL'!$F$12:$US$12,'PMO PREV'!BL$63,'PMO REAL'!$F34:$US34),"")</f>
        <v/>
      </c>
      <c r="BM83" s="170" t="str">
        <f ca="1">IFERROR(AVERAGEIF('PMO REAL'!$F$12:$US$12,'PMO PREV'!BM$63,'PMO REAL'!$F34:$US34),"")</f>
        <v/>
      </c>
      <c r="BN83" s="170" t="str">
        <f ca="1">IFERROR(AVERAGEIF('PMO REAL'!$F$12:$US$12,'PMO PREV'!BN$63,'PMO REAL'!$F34:$US34),"")</f>
        <v/>
      </c>
      <c r="BO83" s="170" t="str">
        <f ca="1">IFERROR(AVERAGEIF('PMO REAL'!$F$12:$US$12,'PMO PREV'!BO$63,'PMO REAL'!$F34:$US34),"")</f>
        <v/>
      </c>
      <c r="BP83" s="170" t="str">
        <f ca="1">IFERROR(AVERAGEIF('PMO REAL'!$F$12:$US$12,'PMO PREV'!BP$63,'PMO REAL'!$F34:$US34),"")</f>
        <v/>
      </c>
      <c r="BQ83" s="170" t="str">
        <f ca="1">IFERROR(AVERAGEIF('PMO REAL'!$F$12:$US$12,'PMO PREV'!BQ$63,'PMO REAL'!$F34:$US34),"")</f>
        <v/>
      </c>
      <c r="BR83" s="170" t="str">
        <f ca="1">IFERROR(AVERAGEIF('PMO REAL'!$F$12:$US$12,'PMO PREV'!BR$63,'PMO REAL'!$F34:$US34),"")</f>
        <v/>
      </c>
      <c r="BS83" s="170" t="str">
        <f ca="1">IFERROR(AVERAGEIF('PMO REAL'!$F$12:$US$12,'PMO PREV'!BS$63,'PMO REAL'!$F34:$US34),"")</f>
        <v/>
      </c>
      <c r="BT83" s="170" t="str">
        <f ca="1">IFERROR(AVERAGEIF('PMO REAL'!$F$12:$US$12,'PMO PREV'!BT$63,'PMO REAL'!$F34:$US34),"")</f>
        <v/>
      </c>
      <c r="BU83" s="170" t="str">
        <f ca="1">IFERROR(AVERAGEIF('PMO REAL'!$F$12:$US$12,'PMO PREV'!BU$63,'PMO REAL'!$F34:$US34),"")</f>
        <v/>
      </c>
      <c r="BV83" s="170" t="str">
        <f ca="1">IFERROR(AVERAGEIF('PMO REAL'!$F$12:$US$12,'PMO PREV'!BV$63,'PMO REAL'!$F34:$US34),"")</f>
        <v/>
      </c>
      <c r="BW83" s="170" t="str">
        <f ca="1">IFERROR(AVERAGEIF('PMO REAL'!$F$12:$US$12,'PMO PREV'!BW$63,'PMO REAL'!$F34:$US34),"")</f>
        <v/>
      </c>
      <c r="BX83" s="170" t="str">
        <f ca="1">IFERROR(AVERAGEIF('PMO REAL'!$F$12:$US$12,'PMO PREV'!BX$63,'PMO REAL'!$F34:$US34),"")</f>
        <v/>
      </c>
      <c r="BY83" s="170" t="str">
        <f ca="1">IFERROR(AVERAGEIF('PMO REAL'!$F$12:$US$12,'PMO PREV'!BY$63,'PMO REAL'!$F34:$US34),"")</f>
        <v/>
      </c>
      <c r="BZ83" s="170" t="str">
        <f ca="1">IFERROR(AVERAGEIF('PMO REAL'!$F$12:$US$12,'PMO PREV'!BZ$63,'PMO REAL'!$F34:$US34),"")</f>
        <v/>
      </c>
      <c r="CA83" s="170" t="str">
        <f ca="1">IFERROR(AVERAGEIF('PMO REAL'!$F$12:$US$12,'PMO PREV'!CA$63,'PMO REAL'!$F34:$US34),"")</f>
        <v/>
      </c>
      <c r="CB83" s="170" t="str">
        <f ca="1">IFERROR(AVERAGEIF('PMO REAL'!$F$12:$US$12,'PMO PREV'!CB$63,'PMO REAL'!$F34:$US34),"")</f>
        <v/>
      </c>
      <c r="CC83" s="170" t="str">
        <f ca="1">IFERROR(AVERAGEIF('PMO REAL'!$F$12:$US$12,'PMO PREV'!CC$63,'PMO REAL'!$F34:$US34),"")</f>
        <v/>
      </c>
      <c r="CD83" s="170" t="str">
        <f ca="1">IFERROR(AVERAGEIF('PMO REAL'!$F$12:$US$12,'PMO PREV'!CD$63,'PMO REAL'!$F34:$US34),"")</f>
        <v/>
      </c>
      <c r="CE83" s="170" t="str">
        <f ca="1">IFERROR(AVERAGEIF('PMO REAL'!$F$12:$US$12,'PMO PREV'!CE$63,'PMO REAL'!$F34:$US34),"")</f>
        <v/>
      </c>
      <c r="CF83" s="170" t="str">
        <f ca="1">IFERROR(AVERAGEIF('PMO REAL'!$F$12:$US$12,'PMO PREV'!CF$63,'PMO REAL'!$F34:$US34),"")</f>
        <v/>
      </c>
      <c r="CG83" s="170" t="str">
        <f ca="1">IFERROR(AVERAGEIF('PMO REAL'!$F$12:$US$12,'PMO PREV'!CG$63,'PMO REAL'!$F34:$US34),"")</f>
        <v/>
      </c>
      <c r="CH83" s="120"/>
      <c r="CI83" s="121"/>
      <c r="CJ83" s="92"/>
      <c r="CK83" s="92"/>
      <c r="CL83" s="92"/>
      <c r="CM83" s="92"/>
      <c r="CN83" s="92"/>
      <c r="CO83" s="92"/>
    </row>
    <row r="84" spans="2:93" ht="15.75" customHeight="1" x14ac:dyDescent="0.3">
      <c r="B84" s="169" t="s">
        <v>61</v>
      </c>
      <c r="C84" s="107" t="s">
        <v>158</v>
      </c>
      <c r="D84" s="152" t="str">
        <f t="shared" ca="1" si="18"/>
        <v/>
      </c>
      <c r="E84" s="159" t="str">
        <f t="shared" ca="1" si="19"/>
        <v/>
      </c>
      <c r="F84" s="155" t="str">
        <f ca="1">IFERROR(AVERAGEIF('PMO REAL'!$F$12:$US$12,'PMO PREV'!F$63,'PMO REAL'!$F35:$US35),"")</f>
        <v/>
      </c>
      <c r="G84" s="170" t="str">
        <f ca="1">IFERROR(AVERAGEIF('PMO REAL'!$F$12:$US$12,'PMO PREV'!G$63,'PMO REAL'!$F35:$US35),"")</f>
        <v/>
      </c>
      <c r="H84" s="170" t="str">
        <f ca="1">IFERROR(AVERAGEIF('PMO REAL'!$F$12:$US$12,'PMO PREV'!H$63,'PMO REAL'!$F35:$US35),"")</f>
        <v/>
      </c>
      <c r="I84" s="170" t="str">
        <f ca="1">IFERROR(AVERAGEIF('PMO REAL'!$F$12:$US$12,'PMO PREV'!I$63,'PMO REAL'!$F35:$US35),"")</f>
        <v/>
      </c>
      <c r="J84" s="170" t="str">
        <f ca="1">IFERROR(AVERAGEIF('PMO REAL'!$F$12:$US$12,'PMO PREV'!J$63,'PMO REAL'!$F35:$US35),"")</f>
        <v/>
      </c>
      <c r="K84" s="170" t="str">
        <f ca="1">IFERROR(AVERAGEIF('PMO REAL'!$F$12:$US$12,'PMO PREV'!K$63,'PMO REAL'!$F35:$US35),"")</f>
        <v/>
      </c>
      <c r="L84" s="170" t="str">
        <f ca="1">IFERROR(AVERAGEIF('PMO REAL'!$F$12:$US$12,'PMO PREV'!L$63,'PMO REAL'!$F35:$US35),"")</f>
        <v/>
      </c>
      <c r="M84" s="170" t="str">
        <f ca="1">IFERROR(AVERAGEIF('PMO REAL'!$F$12:$US$12,'PMO PREV'!M$63,'PMO REAL'!$F35:$US35),"")</f>
        <v/>
      </c>
      <c r="N84" s="170" t="str">
        <f ca="1">IFERROR(AVERAGEIF('PMO REAL'!$F$12:$US$12,'PMO PREV'!N$63,'PMO REAL'!$F35:$US35),"")</f>
        <v/>
      </c>
      <c r="O84" s="170" t="str">
        <f ca="1">IFERROR(AVERAGEIF('PMO REAL'!$F$12:$US$12,'PMO PREV'!O$63,'PMO REAL'!$F35:$US35),"")</f>
        <v/>
      </c>
      <c r="P84" s="170" t="str">
        <f ca="1">IFERROR(AVERAGEIF('PMO REAL'!$F$12:$US$12,'PMO PREV'!P$63,'PMO REAL'!$F35:$US35),"")</f>
        <v/>
      </c>
      <c r="Q84" s="170" t="str">
        <f ca="1">IFERROR(AVERAGEIF('PMO REAL'!$F$12:$US$12,'PMO PREV'!Q$63,'PMO REAL'!$F35:$US35),"")</f>
        <v/>
      </c>
      <c r="R84" s="170" t="str">
        <f ca="1">IFERROR(AVERAGEIF('PMO REAL'!$F$12:$US$12,'PMO PREV'!R$63,'PMO REAL'!$F35:$US35),"")</f>
        <v/>
      </c>
      <c r="S84" s="170" t="str">
        <f ca="1">IFERROR(AVERAGEIF('PMO REAL'!$F$12:$US$12,'PMO PREV'!S$63,'PMO REAL'!$F35:$US35),"")</f>
        <v/>
      </c>
      <c r="T84" s="170" t="str">
        <f ca="1">IFERROR(AVERAGEIF('PMO REAL'!$F$12:$US$12,'PMO PREV'!T$63,'PMO REAL'!$F35:$US35),"")</f>
        <v/>
      </c>
      <c r="U84" s="170" t="str">
        <f ca="1">IFERROR(AVERAGEIF('PMO REAL'!$F$12:$US$12,'PMO PREV'!U$63,'PMO REAL'!$F35:$US35),"")</f>
        <v/>
      </c>
      <c r="V84" s="170" t="str">
        <f ca="1">IFERROR(AVERAGEIF('PMO REAL'!$F$12:$US$12,'PMO PREV'!V$63,'PMO REAL'!$F35:$US35),"")</f>
        <v/>
      </c>
      <c r="W84" s="170" t="str">
        <f ca="1">IFERROR(AVERAGEIF('PMO REAL'!$F$12:$US$12,'PMO PREV'!W$63,'PMO REAL'!$F35:$US35),"")</f>
        <v/>
      </c>
      <c r="X84" s="170" t="str">
        <f ca="1">IFERROR(AVERAGEIF('PMO REAL'!$F$12:$US$12,'PMO PREV'!X$63,'PMO REAL'!$F35:$US35),"")</f>
        <v/>
      </c>
      <c r="Y84" s="170" t="str">
        <f ca="1">IFERROR(AVERAGEIF('PMO REAL'!$F$12:$US$12,'PMO PREV'!Y$63,'PMO REAL'!$F35:$US35),"")</f>
        <v/>
      </c>
      <c r="Z84" s="170" t="str">
        <f ca="1">IFERROR(AVERAGEIF('PMO REAL'!$F$12:$US$12,'PMO PREV'!Z$63,'PMO REAL'!$F35:$US35),"")</f>
        <v/>
      </c>
      <c r="AA84" s="170" t="str">
        <f ca="1">IFERROR(AVERAGEIF('PMO REAL'!$F$12:$US$12,'PMO PREV'!AA$63,'PMO REAL'!$F35:$US35),"")</f>
        <v/>
      </c>
      <c r="AB84" s="170" t="str">
        <f ca="1">IFERROR(AVERAGEIF('PMO REAL'!$F$12:$US$12,'PMO PREV'!AB$63,'PMO REAL'!$F35:$US35),"")</f>
        <v/>
      </c>
      <c r="AC84" s="170" t="str">
        <f ca="1">IFERROR(AVERAGEIF('PMO REAL'!$F$12:$US$12,'PMO PREV'!AC$63,'PMO REAL'!$F35:$US35),"")</f>
        <v/>
      </c>
      <c r="AD84" s="170" t="str">
        <f ca="1">IFERROR(AVERAGEIF('PMO REAL'!$F$12:$US$12,'PMO PREV'!AD$63,'PMO REAL'!$F35:$US35),"")</f>
        <v/>
      </c>
      <c r="AE84" s="170" t="str">
        <f ca="1">IFERROR(AVERAGEIF('PMO REAL'!$F$12:$US$12,'PMO PREV'!AE$63,'PMO REAL'!$F35:$US35),"")</f>
        <v/>
      </c>
      <c r="AF84" s="170" t="str">
        <f ca="1">IFERROR(AVERAGEIF('PMO REAL'!$F$12:$US$12,'PMO PREV'!AF$63,'PMO REAL'!$F35:$US35),"")</f>
        <v/>
      </c>
      <c r="AG84" s="170" t="str">
        <f ca="1">IFERROR(AVERAGEIF('PMO REAL'!$F$12:$US$12,'PMO PREV'!AG$63,'PMO REAL'!$F35:$US35),"")</f>
        <v/>
      </c>
      <c r="AH84" s="170" t="str">
        <f ca="1">IFERROR(AVERAGEIF('PMO REAL'!$F$12:$US$12,'PMO PREV'!AH$63,'PMO REAL'!$F35:$US35),"")</f>
        <v/>
      </c>
      <c r="AI84" s="170" t="str">
        <f ca="1">IFERROR(AVERAGEIF('PMO REAL'!$F$12:$US$12,'PMO PREV'!AI$63,'PMO REAL'!$F35:$US35),"")</f>
        <v/>
      </c>
      <c r="AJ84" s="170" t="str">
        <f ca="1">IFERROR(AVERAGEIF('PMO REAL'!$F$12:$US$12,'PMO PREV'!AJ$63,'PMO REAL'!$F35:$US35),"")</f>
        <v/>
      </c>
      <c r="AK84" s="170" t="str">
        <f ca="1">IFERROR(AVERAGEIF('PMO REAL'!$F$12:$US$12,'PMO PREV'!AK$63,'PMO REAL'!$F35:$US35),"")</f>
        <v/>
      </c>
      <c r="AL84" s="170" t="str">
        <f ca="1">IFERROR(AVERAGEIF('PMO REAL'!$F$12:$US$12,'PMO PREV'!AL$63,'PMO REAL'!$F35:$US35),"")</f>
        <v/>
      </c>
      <c r="AM84" s="170" t="str">
        <f ca="1">IFERROR(AVERAGEIF('PMO REAL'!$F$12:$US$12,'PMO PREV'!AM$63,'PMO REAL'!$F35:$US35),"")</f>
        <v/>
      </c>
      <c r="AN84" s="170" t="str">
        <f ca="1">IFERROR(AVERAGEIF('PMO REAL'!$F$12:$US$12,'PMO PREV'!AN$63,'PMO REAL'!$F35:$US35),"")</f>
        <v/>
      </c>
      <c r="AO84" s="170" t="str">
        <f ca="1">IFERROR(AVERAGEIF('PMO REAL'!$F$12:$US$12,'PMO PREV'!AO$63,'PMO REAL'!$F35:$US35),"")</f>
        <v/>
      </c>
      <c r="AP84" s="170" t="str">
        <f ca="1">IFERROR(AVERAGEIF('PMO REAL'!$F$12:$US$12,'PMO PREV'!AP$63,'PMO REAL'!$F35:$US35),"")</f>
        <v/>
      </c>
      <c r="AQ84" s="170" t="str">
        <f ca="1">IFERROR(AVERAGEIF('PMO REAL'!$F$12:$US$12,'PMO PREV'!AQ$63,'PMO REAL'!$F35:$US35),"")</f>
        <v/>
      </c>
      <c r="AR84" s="170" t="str">
        <f ca="1">IFERROR(AVERAGEIF('PMO REAL'!$F$12:$US$12,'PMO PREV'!AR$63,'PMO REAL'!$F35:$US35),"")</f>
        <v/>
      </c>
      <c r="AS84" s="170" t="str">
        <f ca="1">IFERROR(AVERAGEIF('PMO REAL'!$F$12:$US$12,'PMO PREV'!AS$63,'PMO REAL'!$F35:$US35),"")</f>
        <v/>
      </c>
      <c r="AT84" s="170" t="str">
        <f ca="1">IFERROR(AVERAGEIF('PMO REAL'!$F$12:$US$12,'PMO PREV'!AT$63,'PMO REAL'!$F35:$US35),"")</f>
        <v/>
      </c>
      <c r="AU84" s="170" t="str">
        <f ca="1">IFERROR(AVERAGEIF('PMO REAL'!$F$12:$US$12,'PMO PREV'!AU$63,'PMO REAL'!$F35:$US35),"")</f>
        <v/>
      </c>
      <c r="AV84" s="170" t="str">
        <f ca="1">IFERROR(AVERAGEIF('PMO REAL'!$F$12:$US$12,'PMO PREV'!AV$63,'PMO REAL'!$F35:$US35),"")</f>
        <v/>
      </c>
      <c r="AW84" s="170" t="str">
        <f ca="1">IFERROR(AVERAGEIF('PMO REAL'!$F$12:$US$12,'PMO PREV'!AW$63,'PMO REAL'!$F35:$US35),"")</f>
        <v/>
      </c>
      <c r="AX84" s="170" t="str">
        <f ca="1">IFERROR(AVERAGEIF('PMO REAL'!$F$12:$US$12,'PMO PREV'!AX$63,'PMO REAL'!$F35:$US35),"")</f>
        <v/>
      </c>
      <c r="AY84" s="170" t="str">
        <f ca="1">IFERROR(AVERAGEIF('PMO REAL'!$F$12:$US$12,'PMO PREV'!AY$63,'PMO REAL'!$F35:$US35),"")</f>
        <v/>
      </c>
      <c r="AZ84" s="170" t="str">
        <f ca="1">IFERROR(AVERAGEIF('PMO REAL'!$F$12:$US$12,'PMO PREV'!AZ$63,'PMO REAL'!$F35:$US35),"")</f>
        <v/>
      </c>
      <c r="BA84" s="170" t="str">
        <f ca="1">IFERROR(AVERAGEIF('PMO REAL'!$F$12:$US$12,'PMO PREV'!BA$63,'PMO REAL'!$F35:$US35),"")</f>
        <v/>
      </c>
      <c r="BB84" s="170" t="str">
        <f ca="1">IFERROR(AVERAGEIF('PMO REAL'!$F$12:$US$12,'PMO PREV'!BB$63,'PMO REAL'!$F35:$US35),"")</f>
        <v/>
      </c>
      <c r="BC84" s="170" t="str">
        <f ca="1">IFERROR(AVERAGEIF('PMO REAL'!$F$12:$US$12,'PMO PREV'!BC$63,'PMO REAL'!$F35:$US35),"")</f>
        <v/>
      </c>
      <c r="BD84" s="170" t="str">
        <f ca="1">IFERROR(AVERAGEIF('PMO REAL'!$F$12:$US$12,'PMO PREV'!BD$63,'PMO REAL'!$F35:$US35),"")</f>
        <v/>
      </c>
      <c r="BE84" s="170" t="str">
        <f ca="1">IFERROR(AVERAGEIF('PMO REAL'!$F$12:$US$12,'PMO PREV'!BE$63,'PMO REAL'!$F35:$US35),"")</f>
        <v/>
      </c>
      <c r="BF84" s="170" t="str">
        <f ca="1">IFERROR(AVERAGEIF('PMO REAL'!$F$12:$US$12,'PMO PREV'!BF$63,'PMO REAL'!$F35:$US35),"")</f>
        <v/>
      </c>
      <c r="BG84" s="170" t="str">
        <f ca="1">IFERROR(AVERAGEIF('PMO REAL'!$F$12:$US$12,'PMO PREV'!BG$63,'PMO REAL'!$F35:$US35),"")</f>
        <v/>
      </c>
      <c r="BH84" s="170" t="str">
        <f ca="1">IFERROR(AVERAGEIF('PMO REAL'!$F$12:$US$12,'PMO PREV'!BH$63,'PMO REAL'!$F35:$US35),"")</f>
        <v/>
      </c>
      <c r="BI84" s="170" t="str">
        <f ca="1">IFERROR(AVERAGEIF('PMO REAL'!$F$12:$US$12,'PMO PREV'!BI$63,'PMO REAL'!$F35:$US35),"")</f>
        <v/>
      </c>
      <c r="BJ84" s="170" t="str">
        <f ca="1">IFERROR(AVERAGEIF('PMO REAL'!$F$12:$US$12,'PMO PREV'!BJ$63,'PMO REAL'!$F35:$US35),"")</f>
        <v/>
      </c>
      <c r="BK84" s="170" t="str">
        <f ca="1">IFERROR(AVERAGEIF('PMO REAL'!$F$12:$US$12,'PMO PREV'!BK$63,'PMO REAL'!$F35:$US35),"")</f>
        <v/>
      </c>
      <c r="BL84" s="170" t="str">
        <f ca="1">IFERROR(AVERAGEIF('PMO REAL'!$F$12:$US$12,'PMO PREV'!BL$63,'PMO REAL'!$F35:$US35),"")</f>
        <v/>
      </c>
      <c r="BM84" s="170" t="str">
        <f ca="1">IFERROR(AVERAGEIF('PMO REAL'!$F$12:$US$12,'PMO PREV'!BM$63,'PMO REAL'!$F35:$US35),"")</f>
        <v/>
      </c>
      <c r="BN84" s="170" t="str">
        <f ca="1">IFERROR(AVERAGEIF('PMO REAL'!$F$12:$US$12,'PMO PREV'!BN$63,'PMO REAL'!$F35:$US35),"")</f>
        <v/>
      </c>
      <c r="BO84" s="170" t="str">
        <f ca="1">IFERROR(AVERAGEIF('PMO REAL'!$F$12:$US$12,'PMO PREV'!BO$63,'PMO REAL'!$F35:$US35),"")</f>
        <v/>
      </c>
      <c r="BP84" s="170" t="str">
        <f ca="1">IFERROR(AVERAGEIF('PMO REAL'!$F$12:$US$12,'PMO PREV'!BP$63,'PMO REAL'!$F35:$US35),"")</f>
        <v/>
      </c>
      <c r="BQ84" s="170" t="str">
        <f ca="1">IFERROR(AVERAGEIF('PMO REAL'!$F$12:$US$12,'PMO PREV'!BQ$63,'PMO REAL'!$F35:$US35),"")</f>
        <v/>
      </c>
      <c r="BR84" s="170" t="str">
        <f ca="1">IFERROR(AVERAGEIF('PMO REAL'!$F$12:$US$12,'PMO PREV'!BR$63,'PMO REAL'!$F35:$US35),"")</f>
        <v/>
      </c>
      <c r="BS84" s="170" t="str">
        <f ca="1">IFERROR(AVERAGEIF('PMO REAL'!$F$12:$US$12,'PMO PREV'!BS$63,'PMO REAL'!$F35:$US35),"")</f>
        <v/>
      </c>
      <c r="BT84" s="170" t="str">
        <f ca="1">IFERROR(AVERAGEIF('PMO REAL'!$F$12:$US$12,'PMO PREV'!BT$63,'PMO REAL'!$F35:$US35),"")</f>
        <v/>
      </c>
      <c r="BU84" s="170" t="str">
        <f ca="1">IFERROR(AVERAGEIF('PMO REAL'!$F$12:$US$12,'PMO PREV'!BU$63,'PMO REAL'!$F35:$US35),"")</f>
        <v/>
      </c>
      <c r="BV84" s="170" t="str">
        <f ca="1">IFERROR(AVERAGEIF('PMO REAL'!$F$12:$US$12,'PMO PREV'!BV$63,'PMO REAL'!$F35:$US35),"")</f>
        <v/>
      </c>
      <c r="BW84" s="170" t="str">
        <f ca="1">IFERROR(AVERAGEIF('PMO REAL'!$F$12:$US$12,'PMO PREV'!BW$63,'PMO REAL'!$F35:$US35),"")</f>
        <v/>
      </c>
      <c r="BX84" s="170" t="str">
        <f ca="1">IFERROR(AVERAGEIF('PMO REAL'!$F$12:$US$12,'PMO PREV'!BX$63,'PMO REAL'!$F35:$US35),"")</f>
        <v/>
      </c>
      <c r="BY84" s="170" t="str">
        <f ca="1">IFERROR(AVERAGEIF('PMO REAL'!$F$12:$US$12,'PMO PREV'!BY$63,'PMO REAL'!$F35:$US35),"")</f>
        <v/>
      </c>
      <c r="BZ84" s="170" t="str">
        <f ca="1">IFERROR(AVERAGEIF('PMO REAL'!$F$12:$US$12,'PMO PREV'!BZ$63,'PMO REAL'!$F35:$US35),"")</f>
        <v/>
      </c>
      <c r="CA84" s="170" t="str">
        <f ca="1">IFERROR(AVERAGEIF('PMO REAL'!$F$12:$US$12,'PMO PREV'!CA$63,'PMO REAL'!$F35:$US35),"")</f>
        <v/>
      </c>
      <c r="CB84" s="170" t="str">
        <f ca="1">IFERROR(AVERAGEIF('PMO REAL'!$F$12:$US$12,'PMO PREV'!CB$63,'PMO REAL'!$F35:$US35),"")</f>
        <v/>
      </c>
      <c r="CC84" s="170" t="str">
        <f ca="1">IFERROR(AVERAGEIF('PMO REAL'!$F$12:$US$12,'PMO PREV'!CC$63,'PMO REAL'!$F35:$US35),"")</f>
        <v/>
      </c>
      <c r="CD84" s="170" t="str">
        <f ca="1">IFERROR(AVERAGEIF('PMO REAL'!$F$12:$US$12,'PMO PREV'!CD$63,'PMO REAL'!$F35:$US35),"")</f>
        <v/>
      </c>
      <c r="CE84" s="170" t="str">
        <f ca="1">IFERROR(AVERAGEIF('PMO REAL'!$F$12:$US$12,'PMO PREV'!CE$63,'PMO REAL'!$F35:$US35),"")</f>
        <v/>
      </c>
      <c r="CF84" s="170" t="str">
        <f ca="1">IFERROR(AVERAGEIF('PMO REAL'!$F$12:$US$12,'PMO PREV'!CF$63,'PMO REAL'!$F35:$US35),"")</f>
        <v/>
      </c>
      <c r="CG84" s="170" t="str">
        <f ca="1">IFERROR(AVERAGEIF('PMO REAL'!$F$12:$US$12,'PMO PREV'!CG$63,'PMO REAL'!$F35:$US35),"")</f>
        <v/>
      </c>
      <c r="CH84" s="120"/>
      <c r="CI84" s="121"/>
      <c r="CJ84" s="92"/>
      <c r="CK84" s="92"/>
      <c r="CL84" s="92"/>
      <c r="CM84" s="92"/>
      <c r="CN84" s="92"/>
      <c r="CO84" s="92"/>
    </row>
    <row r="85" spans="2:93" ht="15.75" customHeight="1" x14ac:dyDescent="0.3">
      <c r="B85" s="169" t="s">
        <v>60</v>
      </c>
      <c r="C85" s="107" t="s">
        <v>57</v>
      </c>
      <c r="D85" s="152" t="str">
        <f t="shared" ca="1" si="18"/>
        <v/>
      </c>
      <c r="E85" s="159" t="str">
        <f t="shared" ca="1" si="19"/>
        <v/>
      </c>
      <c r="F85" s="155" t="str">
        <f ca="1">IFERROR(AVERAGEIF('PMO REAL'!$F$12:$US$12,'PMO PREV'!F$63,'PMO REAL'!$F36:$US36),"")</f>
        <v/>
      </c>
      <c r="G85" s="170" t="str">
        <f ca="1">IFERROR(AVERAGEIF('PMO REAL'!$F$12:$US$12,'PMO PREV'!G$63,'PMO REAL'!$F36:$US36),"")</f>
        <v/>
      </c>
      <c r="H85" s="170" t="str">
        <f ca="1">IFERROR(AVERAGEIF('PMO REAL'!$F$12:$US$12,'PMO PREV'!H$63,'PMO REAL'!$F36:$US36),"")</f>
        <v/>
      </c>
      <c r="I85" s="170" t="str">
        <f ca="1">IFERROR(AVERAGEIF('PMO REAL'!$F$12:$US$12,'PMO PREV'!I$63,'PMO REAL'!$F36:$US36),"")</f>
        <v/>
      </c>
      <c r="J85" s="170" t="str">
        <f ca="1">IFERROR(AVERAGEIF('PMO REAL'!$F$12:$US$12,'PMO PREV'!J$63,'PMO REAL'!$F36:$US36),"")</f>
        <v/>
      </c>
      <c r="K85" s="170" t="str">
        <f ca="1">IFERROR(AVERAGEIF('PMO REAL'!$F$12:$US$12,'PMO PREV'!K$63,'PMO REAL'!$F36:$US36),"")</f>
        <v/>
      </c>
      <c r="L85" s="170" t="str">
        <f ca="1">IFERROR(AVERAGEIF('PMO REAL'!$F$12:$US$12,'PMO PREV'!L$63,'PMO REAL'!$F36:$US36),"")</f>
        <v/>
      </c>
      <c r="M85" s="170" t="str">
        <f ca="1">IFERROR(AVERAGEIF('PMO REAL'!$F$12:$US$12,'PMO PREV'!M$63,'PMO REAL'!$F36:$US36),"")</f>
        <v/>
      </c>
      <c r="N85" s="170" t="str">
        <f ca="1">IFERROR(AVERAGEIF('PMO REAL'!$F$12:$US$12,'PMO PREV'!N$63,'PMO REAL'!$F36:$US36),"")</f>
        <v/>
      </c>
      <c r="O85" s="170" t="str">
        <f ca="1">IFERROR(AVERAGEIF('PMO REAL'!$F$12:$US$12,'PMO PREV'!O$63,'PMO REAL'!$F36:$US36),"")</f>
        <v/>
      </c>
      <c r="P85" s="170" t="str">
        <f ca="1">IFERROR(AVERAGEIF('PMO REAL'!$F$12:$US$12,'PMO PREV'!P$63,'PMO REAL'!$F36:$US36),"")</f>
        <v/>
      </c>
      <c r="Q85" s="170" t="str">
        <f ca="1">IFERROR(AVERAGEIF('PMO REAL'!$F$12:$US$12,'PMO PREV'!Q$63,'PMO REAL'!$F36:$US36),"")</f>
        <v/>
      </c>
      <c r="R85" s="170" t="str">
        <f ca="1">IFERROR(AVERAGEIF('PMO REAL'!$F$12:$US$12,'PMO PREV'!R$63,'PMO REAL'!$F36:$US36),"")</f>
        <v/>
      </c>
      <c r="S85" s="170" t="str">
        <f ca="1">IFERROR(AVERAGEIF('PMO REAL'!$F$12:$US$12,'PMO PREV'!S$63,'PMO REAL'!$F36:$US36),"")</f>
        <v/>
      </c>
      <c r="T85" s="170" t="str">
        <f ca="1">IFERROR(AVERAGEIF('PMO REAL'!$F$12:$US$12,'PMO PREV'!T$63,'PMO REAL'!$F36:$US36),"")</f>
        <v/>
      </c>
      <c r="U85" s="170" t="str">
        <f ca="1">IFERROR(AVERAGEIF('PMO REAL'!$F$12:$US$12,'PMO PREV'!U$63,'PMO REAL'!$F36:$US36),"")</f>
        <v/>
      </c>
      <c r="V85" s="170" t="str">
        <f ca="1">IFERROR(AVERAGEIF('PMO REAL'!$F$12:$US$12,'PMO PREV'!V$63,'PMO REAL'!$F36:$US36),"")</f>
        <v/>
      </c>
      <c r="W85" s="170" t="str">
        <f ca="1">IFERROR(AVERAGEIF('PMO REAL'!$F$12:$US$12,'PMO PREV'!W$63,'PMO REAL'!$F36:$US36),"")</f>
        <v/>
      </c>
      <c r="X85" s="170" t="str">
        <f ca="1">IFERROR(AVERAGEIF('PMO REAL'!$F$12:$US$12,'PMO PREV'!X$63,'PMO REAL'!$F36:$US36),"")</f>
        <v/>
      </c>
      <c r="Y85" s="170" t="str">
        <f ca="1">IFERROR(AVERAGEIF('PMO REAL'!$F$12:$US$12,'PMO PREV'!Y$63,'PMO REAL'!$F36:$US36),"")</f>
        <v/>
      </c>
      <c r="Z85" s="170" t="str">
        <f ca="1">IFERROR(AVERAGEIF('PMO REAL'!$F$12:$US$12,'PMO PREV'!Z$63,'PMO REAL'!$F36:$US36),"")</f>
        <v/>
      </c>
      <c r="AA85" s="170" t="str">
        <f ca="1">IFERROR(AVERAGEIF('PMO REAL'!$F$12:$US$12,'PMO PREV'!AA$63,'PMO REAL'!$F36:$US36),"")</f>
        <v/>
      </c>
      <c r="AB85" s="170" t="str">
        <f ca="1">IFERROR(AVERAGEIF('PMO REAL'!$F$12:$US$12,'PMO PREV'!AB$63,'PMO REAL'!$F36:$US36),"")</f>
        <v/>
      </c>
      <c r="AC85" s="170" t="str">
        <f ca="1">IFERROR(AVERAGEIF('PMO REAL'!$F$12:$US$12,'PMO PREV'!AC$63,'PMO REAL'!$F36:$US36),"")</f>
        <v/>
      </c>
      <c r="AD85" s="170" t="str">
        <f ca="1">IFERROR(AVERAGEIF('PMO REAL'!$F$12:$US$12,'PMO PREV'!AD$63,'PMO REAL'!$F36:$US36),"")</f>
        <v/>
      </c>
      <c r="AE85" s="170" t="str">
        <f ca="1">IFERROR(AVERAGEIF('PMO REAL'!$F$12:$US$12,'PMO PREV'!AE$63,'PMO REAL'!$F36:$US36),"")</f>
        <v/>
      </c>
      <c r="AF85" s="170" t="str">
        <f ca="1">IFERROR(AVERAGEIF('PMO REAL'!$F$12:$US$12,'PMO PREV'!AF$63,'PMO REAL'!$F36:$US36),"")</f>
        <v/>
      </c>
      <c r="AG85" s="170" t="str">
        <f ca="1">IFERROR(AVERAGEIF('PMO REAL'!$F$12:$US$12,'PMO PREV'!AG$63,'PMO REAL'!$F36:$US36),"")</f>
        <v/>
      </c>
      <c r="AH85" s="170" t="str">
        <f ca="1">IFERROR(AVERAGEIF('PMO REAL'!$F$12:$US$12,'PMO PREV'!AH$63,'PMO REAL'!$F36:$US36),"")</f>
        <v/>
      </c>
      <c r="AI85" s="170" t="str">
        <f ca="1">IFERROR(AVERAGEIF('PMO REAL'!$F$12:$US$12,'PMO PREV'!AI$63,'PMO REAL'!$F36:$US36),"")</f>
        <v/>
      </c>
      <c r="AJ85" s="170" t="str">
        <f ca="1">IFERROR(AVERAGEIF('PMO REAL'!$F$12:$US$12,'PMO PREV'!AJ$63,'PMO REAL'!$F36:$US36),"")</f>
        <v/>
      </c>
      <c r="AK85" s="170" t="str">
        <f ca="1">IFERROR(AVERAGEIF('PMO REAL'!$F$12:$US$12,'PMO PREV'!AK$63,'PMO REAL'!$F36:$US36),"")</f>
        <v/>
      </c>
      <c r="AL85" s="170" t="str">
        <f ca="1">IFERROR(AVERAGEIF('PMO REAL'!$F$12:$US$12,'PMO PREV'!AL$63,'PMO REAL'!$F36:$US36),"")</f>
        <v/>
      </c>
      <c r="AM85" s="170" t="str">
        <f ca="1">IFERROR(AVERAGEIF('PMO REAL'!$F$12:$US$12,'PMO PREV'!AM$63,'PMO REAL'!$F36:$US36),"")</f>
        <v/>
      </c>
      <c r="AN85" s="170" t="str">
        <f ca="1">IFERROR(AVERAGEIF('PMO REAL'!$F$12:$US$12,'PMO PREV'!AN$63,'PMO REAL'!$F36:$US36),"")</f>
        <v/>
      </c>
      <c r="AO85" s="170" t="str">
        <f ca="1">IFERROR(AVERAGEIF('PMO REAL'!$F$12:$US$12,'PMO PREV'!AO$63,'PMO REAL'!$F36:$US36),"")</f>
        <v/>
      </c>
      <c r="AP85" s="170" t="str">
        <f ca="1">IFERROR(AVERAGEIF('PMO REAL'!$F$12:$US$12,'PMO PREV'!AP$63,'PMO REAL'!$F36:$US36),"")</f>
        <v/>
      </c>
      <c r="AQ85" s="170" t="str">
        <f ca="1">IFERROR(AVERAGEIF('PMO REAL'!$F$12:$US$12,'PMO PREV'!AQ$63,'PMO REAL'!$F36:$US36),"")</f>
        <v/>
      </c>
      <c r="AR85" s="170" t="str">
        <f ca="1">IFERROR(AVERAGEIF('PMO REAL'!$F$12:$US$12,'PMO PREV'!AR$63,'PMO REAL'!$F36:$US36),"")</f>
        <v/>
      </c>
      <c r="AS85" s="170" t="str">
        <f ca="1">IFERROR(AVERAGEIF('PMO REAL'!$F$12:$US$12,'PMO PREV'!AS$63,'PMO REAL'!$F36:$US36),"")</f>
        <v/>
      </c>
      <c r="AT85" s="170" t="str">
        <f ca="1">IFERROR(AVERAGEIF('PMO REAL'!$F$12:$US$12,'PMO PREV'!AT$63,'PMO REAL'!$F36:$US36),"")</f>
        <v/>
      </c>
      <c r="AU85" s="170" t="str">
        <f ca="1">IFERROR(AVERAGEIF('PMO REAL'!$F$12:$US$12,'PMO PREV'!AU$63,'PMO REAL'!$F36:$US36),"")</f>
        <v/>
      </c>
      <c r="AV85" s="170" t="str">
        <f ca="1">IFERROR(AVERAGEIF('PMO REAL'!$F$12:$US$12,'PMO PREV'!AV$63,'PMO REAL'!$F36:$US36),"")</f>
        <v/>
      </c>
      <c r="AW85" s="170" t="str">
        <f ca="1">IFERROR(AVERAGEIF('PMO REAL'!$F$12:$US$12,'PMO PREV'!AW$63,'PMO REAL'!$F36:$US36),"")</f>
        <v/>
      </c>
      <c r="AX85" s="170" t="str">
        <f ca="1">IFERROR(AVERAGEIF('PMO REAL'!$F$12:$US$12,'PMO PREV'!AX$63,'PMO REAL'!$F36:$US36),"")</f>
        <v/>
      </c>
      <c r="AY85" s="170" t="str">
        <f ca="1">IFERROR(AVERAGEIF('PMO REAL'!$F$12:$US$12,'PMO PREV'!AY$63,'PMO REAL'!$F36:$US36),"")</f>
        <v/>
      </c>
      <c r="AZ85" s="170" t="str">
        <f ca="1">IFERROR(AVERAGEIF('PMO REAL'!$F$12:$US$12,'PMO PREV'!AZ$63,'PMO REAL'!$F36:$US36),"")</f>
        <v/>
      </c>
      <c r="BA85" s="170" t="str">
        <f ca="1">IFERROR(AVERAGEIF('PMO REAL'!$F$12:$US$12,'PMO PREV'!BA$63,'PMO REAL'!$F36:$US36),"")</f>
        <v/>
      </c>
      <c r="BB85" s="170" t="str">
        <f ca="1">IFERROR(AVERAGEIF('PMO REAL'!$F$12:$US$12,'PMO PREV'!BB$63,'PMO REAL'!$F36:$US36),"")</f>
        <v/>
      </c>
      <c r="BC85" s="170" t="str">
        <f ca="1">IFERROR(AVERAGEIF('PMO REAL'!$F$12:$US$12,'PMO PREV'!BC$63,'PMO REAL'!$F36:$US36),"")</f>
        <v/>
      </c>
      <c r="BD85" s="170" t="str">
        <f ca="1">IFERROR(AVERAGEIF('PMO REAL'!$F$12:$US$12,'PMO PREV'!BD$63,'PMO REAL'!$F36:$US36),"")</f>
        <v/>
      </c>
      <c r="BE85" s="170" t="str">
        <f ca="1">IFERROR(AVERAGEIF('PMO REAL'!$F$12:$US$12,'PMO PREV'!BE$63,'PMO REAL'!$F36:$US36),"")</f>
        <v/>
      </c>
      <c r="BF85" s="170" t="str">
        <f ca="1">IFERROR(AVERAGEIF('PMO REAL'!$F$12:$US$12,'PMO PREV'!BF$63,'PMO REAL'!$F36:$US36),"")</f>
        <v/>
      </c>
      <c r="BG85" s="170" t="str">
        <f ca="1">IFERROR(AVERAGEIF('PMO REAL'!$F$12:$US$12,'PMO PREV'!BG$63,'PMO REAL'!$F36:$US36),"")</f>
        <v/>
      </c>
      <c r="BH85" s="170" t="str">
        <f ca="1">IFERROR(AVERAGEIF('PMO REAL'!$F$12:$US$12,'PMO PREV'!BH$63,'PMO REAL'!$F36:$US36),"")</f>
        <v/>
      </c>
      <c r="BI85" s="170" t="str">
        <f ca="1">IFERROR(AVERAGEIF('PMO REAL'!$F$12:$US$12,'PMO PREV'!BI$63,'PMO REAL'!$F36:$US36),"")</f>
        <v/>
      </c>
      <c r="BJ85" s="170" t="str">
        <f ca="1">IFERROR(AVERAGEIF('PMO REAL'!$F$12:$US$12,'PMO PREV'!BJ$63,'PMO REAL'!$F36:$US36),"")</f>
        <v/>
      </c>
      <c r="BK85" s="170" t="str">
        <f ca="1">IFERROR(AVERAGEIF('PMO REAL'!$F$12:$US$12,'PMO PREV'!BK$63,'PMO REAL'!$F36:$US36),"")</f>
        <v/>
      </c>
      <c r="BL85" s="170" t="str">
        <f ca="1">IFERROR(AVERAGEIF('PMO REAL'!$F$12:$US$12,'PMO PREV'!BL$63,'PMO REAL'!$F36:$US36),"")</f>
        <v/>
      </c>
      <c r="BM85" s="170" t="str">
        <f ca="1">IFERROR(AVERAGEIF('PMO REAL'!$F$12:$US$12,'PMO PREV'!BM$63,'PMO REAL'!$F36:$US36),"")</f>
        <v/>
      </c>
      <c r="BN85" s="170" t="str">
        <f ca="1">IFERROR(AVERAGEIF('PMO REAL'!$F$12:$US$12,'PMO PREV'!BN$63,'PMO REAL'!$F36:$US36),"")</f>
        <v/>
      </c>
      <c r="BO85" s="170" t="str">
        <f ca="1">IFERROR(AVERAGEIF('PMO REAL'!$F$12:$US$12,'PMO PREV'!BO$63,'PMO REAL'!$F36:$US36),"")</f>
        <v/>
      </c>
      <c r="BP85" s="170" t="str">
        <f ca="1">IFERROR(AVERAGEIF('PMO REAL'!$F$12:$US$12,'PMO PREV'!BP$63,'PMO REAL'!$F36:$US36),"")</f>
        <v/>
      </c>
      <c r="BQ85" s="170" t="str">
        <f ca="1">IFERROR(AVERAGEIF('PMO REAL'!$F$12:$US$12,'PMO PREV'!BQ$63,'PMO REAL'!$F36:$US36),"")</f>
        <v/>
      </c>
      <c r="BR85" s="170" t="str">
        <f ca="1">IFERROR(AVERAGEIF('PMO REAL'!$F$12:$US$12,'PMO PREV'!BR$63,'PMO REAL'!$F36:$US36),"")</f>
        <v/>
      </c>
      <c r="BS85" s="170" t="str">
        <f ca="1">IFERROR(AVERAGEIF('PMO REAL'!$F$12:$US$12,'PMO PREV'!BS$63,'PMO REAL'!$F36:$US36),"")</f>
        <v/>
      </c>
      <c r="BT85" s="170" t="str">
        <f ca="1">IFERROR(AVERAGEIF('PMO REAL'!$F$12:$US$12,'PMO PREV'!BT$63,'PMO REAL'!$F36:$US36),"")</f>
        <v/>
      </c>
      <c r="BU85" s="170" t="str">
        <f ca="1">IFERROR(AVERAGEIF('PMO REAL'!$F$12:$US$12,'PMO PREV'!BU$63,'PMO REAL'!$F36:$US36),"")</f>
        <v/>
      </c>
      <c r="BV85" s="170" t="str">
        <f ca="1">IFERROR(AVERAGEIF('PMO REAL'!$F$12:$US$12,'PMO PREV'!BV$63,'PMO REAL'!$F36:$US36),"")</f>
        <v/>
      </c>
      <c r="BW85" s="170" t="str">
        <f ca="1">IFERROR(AVERAGEIF('PMO REAL'!$F$12:$US$12,'PMO PREV'!BW$63,'PMO REAL'!$F36:$US36),"")</f>
        <v/>
      </c>
      <c r="BX85" s="170" t="str">
        <f ca="1">IFERROR(AVERAGEIF('PMO REAL'!$F$12:$US$12,'PMO PREV'!BX$63,'PMO REAL'!$F36:$US36),"")</f>
        <v/>
      </c>
      <c r="BY85" s="170" t="str">
        <f ca="1">IFERROR(AVERAGEIF('PMO REAL'!$F$12:$US$12,'PMO PREV'!BY$63,'PMO REAL'!$F36:$US36),"")</f>
        <v/>
      </c>
      <c r="BZ85" s="170" t="str">
        <f ca="1">IFERROR(AVERAGEIF('PMO REAL'!$F$12:$US$12,'PMO PREV'!BZ$63,'PMO REAL'!$F36:$US36),"")</f>
        <v/>
      </c>
      <c r="CA85" s="170" t="str">
        <f ca="1">IFERROR(AVERAGEIF('PMO REAL'!$F$12:$US$12,'PMO PREV'!CA$63,'PMO REAL'!$F36:$US36),"")</f>
        <v/>
      </c>
      <c r="CB85" s="170" t="str">
        <f ca="1">IFERROR(AVERAGEIF('PMO REAL'!$F$12:$US$12,'PMO PREV'!CB$63,'PMO REAL'!$F36:$US36),"")</f>
        <v/>
      </c>
      <c r="CC85" s="170" t="str">
        <f ca="1">IFERROR(AVERAGEIF('PMO REAL'!$F$12:$US$12,'PMO PREV'!CC$63,'PMO REAL'!$F36:$US36),"")</f>
        <v/>
      </c>
      <c r="CD85" s="170" t="str">
        <f ca="1">IFERROR(AVERAGEIF('PMO REAL'!$F$12:$US$12,'PMO PREV'!CD$63,'PMO REAL'!$F36:$US36),"")</f>
        <v/>
      </c>
      <c r="CE85" s="170" t="str">
        <f ca="1">IFERROR(AVERAGEIF('PMO REAL'!$F$12:$US$12,'PMO PREV'!CE$63,'PMO REAL'!$F36:$US36),"")</f>
        <v/>
      </c>
      <c r="CF85" s="170" t="str">
        <f ca="1">IFERROR(AVERAGEIF('PMO REAL'!$F$12:$US$12,'PMO PREV'!CF$63,'PMO REAL'!$F36:$US36),"")</f>
        <v/>
      </c>
      <c r="CG85" s="170" t="str">
        <f ca="1">IFERROR(AVERAGEIF('PMO REAL'!$F$12:$US$12,'PMO PREV'!CG$63,'PMO REAL'!$F36:$US36),"")</f>
        <v/>
      </c>
      <c r="CH85" s="120"/>
      <c r="CI85" s="121"/>
      <c r="CJ85" s="92"/>
      <c r="CK85" s="92"/>
      <c r="CL85" s="92"/>
      <c r="CM85" s="92"/>
      <c r="CN85" s="92"/>
      <c r="CO85" s="92"/>
    </row>
    <row r="86" spans="2:93" ht="15.75" customHeight="1" x14ac:dyDescent="0.3">
      <c r="B86" s="169" t="s">
        <v>58</v>
      </c>
      <c r="C86" s="107" t="s">
        <v>159</v>
      </c>
      <c r="D86" s="152" t="str">
        <f t="shared" ca="1" si="18"/>
        <v/>
      </c>
      <c r="E86" s="159" t="str">
        <f t="shared" ca="1" si="19"/>
        <v/>
      </c>
      <c r="F86" s="155" t="str">
        <f ca="1">IFERROR(AVERAGEIF('PMO REAL'!$F$12:$US$12,'PMO PREV'!F$63,'PMO REAL'!$F37:$US37),"")</f>
        <v/>
      </c>
      <c r="G86" s="170" t="str">
        <f ca="1">IFERROR(AVERAGEIF('PMO REAL'!$F$12:$US$12,'PMO PREV'!G$63,'PMO REAL'!$F37:$US37),"")</f>
        <v/>
      </c>
      <c r="H86" s="170" t="str">
        <f ca="1">IFERROR(AVERAGEIF('PMO REAL'!$F$12:$US$12,'PMO PREV'!H$63,'PMO REAL'!$F37:$US37),"")</f>
        <v/>
      </c>
      <c r="I86" s="170" t="str">
        <f ca="1">IFERROR(AVERAGEIF('PMO REAL'!$F$12:$US$12,'PMO PREV'!I$63,'PMO REAL'!$F37:$US37),"")</f>
        <v/>
      </c>
      <c r="J86" s="170" t="str">
        <f ca="1">IFERROR(AVERAGEIF('PMO REAL'!$F$12:$US$12,'PMO PREV'!J$63,'PMO REAL'!$F37:$US37),"")</f>
        <v/>
      </c>
      <c r="K86" s="170" t="str">
        <f ca="1">IFERROR(AVERAGEIF('PMO REAL'!$F$12:$US$12,'PMO PREV'!K$63,'PMO REAL'!$F37:$US37),"")</f>
        <v/>
      </c>
      <c r="L86" s="170" t="str">
        <f ca="1">IFERROR(AVERAGEIF('PMO REAL'!$F$12:$US$12,'PMO PREV'!L$63,'PMO REAL'!$F37:$US37),"")</f>
        <v/>
      </c>
      <c r="M86" s="170" t="str">
        <f ca="1">IFERROR(AVERAGEIF('PMO REAL'!$F$12:$US$12,'PMO PREV'!M$63,'PMO REAL'!$F37:$US37),"")</f>
        <v/>
      </c>
      <c r="N86" s="170" t="str">
        <f ca="1">IFERROR(AVERAGEIF('PMO REAL'!$F$12:$US$12,'PMO PREV'!N$63,'PMO REAL'!$F37:$US37),"")</f>
        <v/>
      </c>
      <c r="O86" s="170" t="str">
        <f ca="1">IFERROR(AVERAGEIF('PMO REAL'!$F$12:$US$12,'PMO PREV'!O$63,'PMO REAL'!$F37:$US37),"")</f>
        <v/>
      </c>
      <c r="P86" s="170" t="str">
        <f ca="1">IFERROR(AVERAGEIF('PMO REAL'!$F$12:$US$12,'PMO PREV'!P$63,'PMO REAL'!$F37:$US37),"")</f>
        <v/>
      </c>
      <c r="Q86" s="170" t="str">
        <f ca="1">IFERROR(AVERAGEIF('PMO REAL'!$F$12:$US$12,'PMO PREV'!Q$63,'PMO REAL'!$F37:$US37),"")</f>
        <v/>
      </c>
      <c r="R86" s="170" t="str">
        <f ca="1">IFERROR(AVERAGEIF('PMO REAL'!$F$12:$US$12,'PMO PREV'!R$63,'PMO REAL'!$F37:$US37),"")</f>
        <v/>
      </c>
      <c r="S86" s="170" t="str">
        <f ca="1">IFERROR(AVERAGEIF('PMO REAL'!$F$12:$US$12,'PMO PREV'!S$63,'PMO REAL'!$F37:$US37),"")</f>
        <v/>
      </c>
      <c r="T86" s="170" t="str">
        <f ca="1">IFERROR(AVERAGEIF('PMO REAL'!$F$12:$US$12,'PMO PREV'!T$63,'PMO REAL'!$F37:$US37),"")</f>
        <v/>
      </c>
      <c r="U86" s="170" t="str">
        <f ca="1">IFERROR(AVERAGEIF('PMO REAL'!$F$12:$US$12,'PMO PREV'!U$63,'PMO REAL'!$F37:$US37),"")</f>
        <v/>
      </c>
      <c r="V86" s="170" t="str">
        <f ca="1">IFERROR(AVERAGEIF('PMO REAL'!$F$12:$US$12,'PMO PREV'!V$63,'PMO REAL'!$F37:$US37),"")</f>
        <v/>
      </c>
      <c r="W86" s="170" t="str">
        <f ca="1">IFERROR(AVERAGEIF('PMO REAL'!$F$12:$US$12,'PMO PREV'!W$63,'PMO REAL'!$F37:$US37),"")</f>
        <v/>
      </c>
      <c r="X86" s="170" t="str">
        <f ca="1">IFERROR(AVERAGEIF('PMO REAL'!$F$12:$US$12,'PMO PREV'!X$63,'PMO REAL'!$F37:$US37),"")</f>
        <v/>
      </c>
      <c r="Y86" s="170" t="str">
        <f ca="1">IFERROR(AVERAGEIF('PMO REAL'!$F$12:$US$12,'PMO PREV'!Y$63,'PMO REAL'!$F37:$US37),"")</f>
        <v/>
      </c>
      <c r="Z86" s="170" t="str">
        <f ca="1">IFERROR(AVERAGEIF('PMO REAL'!$F$12:$US$12,'PMO PREV'!Z$63,'PMO REAL'!$F37:$US37),"")</f>
        <v/>
      </c>
      <c r="AA86" s="170" t="str">
        <f ca="1">IFERROR(AVERAGEIF('PMO REAL'!$F$12:$US$12,'PMO PREV'!AA$63,'PMO REAL'!$F37:$US37),"")</f>
        <v/>
      </c>
      <c r="AB86" s="170" t="str">
        <f ca="1">IFERROR(AVERAGEIF('PMO REAL'!$F$12:$US$12,'PMO PREV'!AB$63,'PMO REAL'!$F37:$US37),"")</f>
        <v/>
      </c>
      <c r="AC86" s="170" t="str">
        <f ca="1">IFERROR(AVERAGEIF('PMO REAL'!$F$12:$US$12,'PMO PREV'!AC$63,'PMO REAL'!$F37:$US37),"")</f>
        <v/>
      </c>
      <c r="AD86" s="170" t="str">
        <f ca="1">IFERROR(AVERAGEIF('PMO REAL'!$F$12:$US$12,'PMO PREV'!AD$63,'PMO REAL'!$F37:$US37),"")</f>
        <v/>
      </c>
      <c r="AE86" s="170" t="str">
        <f ca="1">IFERROR(AVERAGEIF('PMO REAL'!$F$12:$US$12,'PMO PREV'!AE$63,'PMO REAL'!$F37:$US37),"")</f>
        <v/>
      </c>
      <c r="AF86" s="170" t="str">
        <f ca="1">IFERROR(AVERAGEIF('PMO REAL'!$F$12:$US$12,'PMO PREV'!AF$63,'PMO REAL'!$F37:$US37),"")</f>
        <v/>
      </c>
      <c r="AG86" s="170" t="str">
        <f ca="1">IFERROR(AVERAGEIF('PMO REAL'!$F$12:$US$12,'PMO PREV'!AG$63,'PMO REAL'!$F37:$US37),"")</f>
        <v/>
      </c>
      <c r="AH86" s="170" t="str">
        <f ca="1">IFERROR(AVERAGEIF('PMO REAL'!$F$12:$US$12,'PMO PREV'!AH$63,'PMO REAL'!$F37:$US37),"")</f>
        <v/>
      </c>
      <c r="AI86" s="170" t="str">
        <f ca="1">IFERROR(AVERAGEIF('PMO REAL'!$F$12:$US$12,'PMO PREV'!AI$63,'PMO REAL'!$F37:$US37),"")</f>
        <v/>
      </c>
      <c r="AJ86" s="170" t="str">
        <f ca="1">IFERROR(AVERAGEIF('PMO REAL'!$F$12:$US$12,'PMO PREV'!AJ$63,'PMO REAL'!$F37:$US37),"")</f>
        <v/>
      </c>
      <c r="AK86" s="170" t="str">
        <f ca="1">IFERROR(AVERAGEIF('PMO REAL'!$F$12:$US$12,'PMO PREV'!AK$63,'PMO REAL'!$F37:$US37),"")</f>
        <v/>
      </c>
      <c r="AL86" s="170" t="str">
        <f ca="1">IFERROR(AVERAGEIF('PMO REAL'!$F$12:$US$12,'PMO PREV'!AL$63,'PMO REAL'!$F37:$US37),"")</f>
        <v/>
      </c>
      <c r="AM86" s="170" t="str">
        <f ca="1">IFERROR(AVERAGEIF('PMO REAL'!$F$12:$US$12,'PMO PREV'!AM$63,'PMO REAL'!$F37:$US37),"")</f>
        <v/>
      </c>
      <c r="AN86" s="170" t="str">
        <f ca="1">IFERROR(AVERAGEIF('PMO REAL'!$F$12:$US$12,'PMO PREV'!AN$63,'PMO REAL'!$F37:$US37),"")</f>
        <v/>
      </c>
      <c r="AO86" s="170" t="str">
        <f ca="1">IFERROR(AVERAGEIF('PMO REAL'!$F$12:$US$12,'PMO PREV'!AO$63,'PMO REAL'!$F37:$US37),"")</f>
        <v/>
      </c>
      <c r="AP86" s="170" t="str">
        <f ca="1">IFERROR(AVERAGEIF('PMO REAL'!$F$12:$US$12,'PMO PREV'!AP$63,'PMO REAL'!$F37:$US37),"")</f>
        <v/>
      </c>
      <c r="AQ86" s="170" t="str">
        <f ca="1">IFERROR(AVERAGEIF('PMO REAL'!$F$12:$US$12,'PMO PREV'!AQ$63,'PMO REAL'!$F37:$US37),"")</f>
        <v/>
      </c>
      <c r="AR86" s="170" t="str">
        <f ca="1">IFERROR(AVERAGEIF('PMO REAL'!$F$12:$US$12,'PMO PREV'!AR$63,'PMO REAL'!$F37:$US37),"")</f>
        <v/>
      </c>
      <c r="AS86" s="170" t="str">
        <f ca="1">IFERROR(AVERAGEIF('PMO REAL'!$F$12:$US$12,'PMO PREV'!AS$63,'PMO REAL'!$F37:$US37),"")</f>
        <v/>
      </c>
      <c r="AT86" s="170" t="str">
        <f ca="1">IFERROR(AVERAGEIF('PMO REAL'!$F$12:$US$12,'PMO PREV'!AT$63,'PMO REAL'!$F37:$US37),"")</f>
        <v/>
      </c>
      <c r="AU86" s="170" t="str">
        <f ca="1">IFERROR(AVERAGEIF('PMO REAL'!$F$12:$US$12,'PMO PREV'!AU$63,'PMO REAL'!$F37:$US37),"")</f>
        <v/>
      </c>
      <c r="AV86" s="170" t="str">
        <f ca="1">IFERROR(AVERAGEIF('PMO REAL'!$F$12:$US$12,'PMO PREV'!AV$63,'PMO REAL'!$F37:$US37),"")</f>
        <v/>
      </c>
      <c r="AW86" s="170" t="str">
        <f ca="1">IFERROR(AVERAGEIF('PMO REAL'!$F$12:$US$12,'PMO PREV'!AW$63,'PMO REAL'!$F37:$US37),"")</f>
        <v/>
      </c>
      <c r="AX86" s="170" t="str">
        <f ca="1">IFERROR(AVERAGEIF('PMO REAL'!$F$12:$US$12,'PMO PREV'!AX$63,'PMO REAL'!$F37:$US37),"")</f>
        <v/>
      </c>
      <c r="AY86" s="170" t="str">
        <f ca="1">IFERROR(AVERAGEIF('PMO REAL'!$F$12:$US$12,'PMO PREV'!AY$63,'PMO REAL'!$F37:$US37),"")</f>
        <v/>
      </c>
      <c r="AZ86" s="170" t="str">
        <f ca="1">IFERROR(AVERAGEIF('PMO REAL'!$F$12:$US$12,'PMO PREV'!AZ$63,'PMO REAL'!$F37:$US37),"")</f>
        <v/>
      </c>
      <c r="BA86" s="170" t="str">
        <f ca="1">IFERROR(AVERAGEIF('PMO REAL'!$F$12:$US$12,'PMO PREV'!BA$63,'PMO REAL'!$F37:$US37),"")</f>
        <v/>
      </c>
      <c r="BB86" s="170" t="str">
        <f ca="1">IFERROR(AVERAGEIF('PMO REAL'!$F$12:$US$12,'PMO PREV'!BB$63,'PMO REAL'!$F37:$US37),"")</f>
        <v/>
      </c>
      <c r="BC86" s="170" t="str">
        <f ca="1">IFERROR(AVERAGEIF('PMO REAL'!$F$12:$US$12,'PMO PREV'!BC$63,'PMO REAL'!$F37:$US37),"")</f>
        <v/>
      </c>
      <c r="BD86" s="170" t="str">
        <f ca="1">IFERROR(AVERAGEIF('PMO REAL'!$F$12:$US$12,'PMO PREV'!BD$63,'PMO REAL'!$F37:$US37),"")</f>
        <v/>
      </c>
      <c r="BE86" s="170" t="str">
        <f ca="1">IFERROR(AVERAGEIF('PMO REAL'!$F$12:$US$12,'PMO PREV'!BE$63,'PMO REAL'!$F37:$US37),"")</f>
        <v/>
      </c>
      <c r="BF86" s="170" t="str">
        <f ca="1">IFERROR(AVERAGEIF('PMO REAL'!$F$12:$US$12,'PMO PREV'!BF$63,'PMO REAL'!$F37:$US37),"")</f>
        <v/>
      </c>
      <c r="BG86" s="170" t="str">
        <f ca="1">IFERROR(AVERAGEIF('PMO REAL'!$F$12:$US$12,'PMO PREV'!BG$63,'PMO REAL'!$F37:$US37),"")</f>
        <v/>
      </c>
      <c r="BH86" s="170" t="str">
        <f ca="1">IFERROR(AVERAGEIF('PMO REAL'!$F$12:$US$12,'PMO PREV'!BH$63,'PMO REAL'!$F37:$US37),"")</f>
        <v/>
      </c>
      <c r="BI86" s="170" t="str">
        <f ca="1">IFERROR(AVERAGEIF('PMO REAL'!$F$12:$US$12,'PMO PREV'!BI$63,'PMO REAL'!$F37:$US37),"")</f>
        <v/>
      </c>
      <c r="BJ86" s="170" t="str">
        <f ca="1">IFERROR(AVERAGEIF('PMO REAL'!$F$12:$US$12,'PMO PREV'!BJ$63,'PMO REAL'!$F37:$US37),"")</f>
        <v/>
      </c>
      <c r="BK86" s="170" t="str">
        <f ca="1">IFERROR(AVERAGEIF('PMO REAL'!$F$12:$US$12,'PMO PREV'!BK$63,'PMO REAL'!$F37:$US37),"")</f>
        <v/>
      </c>
      <c r="BL86" s="170" t="str">
        <f ca="1">IFERROR(AVERAGEIF('PMO REAL'!$F$12:$US$12,'PMO PREV'!BL$63,'PMO REAL'!$F37:$US37),"")</f>
        <v/>
      </c>
      <c r="BM86" s="170" t="str">
        <f ca="1">IFERROR(AVERAGEIF('PMO REAL'!$F$12:$US$12,'PMO PREV'!BM$63,'PMO REAL'!$F37:$US37),"")</f>
        <v/>
      </c>
      <c r="BN86" s="170" t="str">
        <f ca="1">IFERROR(AVERAGEIF('PMO REAL'!$F$12:$US$12,'PMO PREV'!BN$63,'PMO REAL'!$F37:$US37),"")</f>
        <v/>
      </c>
      <c r="BO86" s="170" t="str">
        <f ca="1">IFERROR(AVERAGEIF('PMO REAL'!$F$12:$US$12,'PMO PREV'!BO$63,'PMO REAL'!$F37:$US37),"")</f>
        <v/>
      </c>
      <c r="BP86" s="170" t="str">
        <f ca="1">IFERROR(AVERAGEIF('PMO REAL'!$F$12:$US$12,'PMO PREV'!BP$63,'PMO REAL'!$F37:$US37),"")</f>
        <v/>
      </c>
      <c r="BQ86" s="170" t="str">
        <f ca="1">IFERROR(AVERAGEIF('PMO REAL'!$F$12:$US$12,'PMO PREV'!BQ$63,'PMO REAL'!$F37:$US37),"")</f>
        <v/>
      </c>
      <c r="BR86" s="170" t="str">
        <f ca="1">IFERROR(AVERAGEIF('PMO REAL'!$F$12:$US$12,'PMO PREV'!BR$63,'PMO REAL'!$F37:$US37),"")</f>
        <v/>
      </c>
      <c r="BS86" s="170" t="str">
        <f ca="1">IFERROR(AVERAGEIF('PMO REAL'!$F$12:$US$12,'PMO PREV'!BS$63,'PMO REAL'!$F37:$US37),"")</f>
        <v/>
      </c>
      <c r="BT86" s="170" t="str">
        <f ca="1">IFERROR(AVERAGEIF('PMO REAL'!$F$12:$US$12,'PMO PREV'!BT$63,'PMO REAL'!$F37:$US37),"")</f>
        <v/>
      </c>
      <c r="BU86" s="170" t="str">
        <f ca="1">IFERROR(AVERAGEIF('PMO REAL'!$F$12:$US$12,'PMO PREV'!BU$63,'PMO REAL'!$F37:$US37),"")</f>
        <v/>
      </c>
      <c r="BV86" s="170" t="str">
        <f ca="1">IFERROR(AVERAGEIF('PMO REAL'!$F$12:$US$12,'PMO PREV'!BV$63,'PMO REAL'!$F37:$US37),"")</f>
        <v/>
      </c>
      <c r="BW86" s="170" t="str">
        <f ca="1">IFERROR(AVERAGEIF('PMO REAL'!$F$12:$US$12,'PMO PREV'!BW$63,'PMO REAL'!$F37:$US37),"")</f>
        <v/>
      </c>
      <c r="BX86" s="170" t="str">
        <f ca="1">IFERROR(AVERAGEIF('PMO REAL'!$F$12:$US$12,'PMO PREV'!BX$63,'PMO REAL'!$F37:$US37),"")</f>
        <v/>
      </c>
      <c r="BY86" s="170" t="str">
        <f ca="1">IFERROR(AVERAGEIF('PMO REAL'!$F$12:$US$12,'PMO PREV'!BY$63,'PMO REAL'!$F37:$US37),"")</f>
        <v/>
      </c>
      <c r="BZ86" s="170" t="str">
        <f ca="1">IFERROR(AVERAGEIF('PMO REAL'!$F$12:$US$12,'PMO PREV'!BZ$63,'PMO REAL'!$F37:$US37),"")</f>
        <v/>
      </c>
      <c r="CA86" s="170" t="str">
        <f ca="1">IFERROR(AVERAGEIF('PMO REAL'!$F$12:$US$12,'PMO PREV'!CA$63,'PMO REAL'!$F37:$US37),"")</f>
        <v/>
      </c>
      <c r="CB86" s="170" t="str">
        <f ca="1">IFERROR(AVERAGEIF('PMO REAL'!$F$12:$US$12,'PMO PREV'!CB$63,'PMO REAL'!$F37:$US37),"")</f>
        <v/>
      </c>
      <c r="CC86" s="170" t="str">
        <f ca="1">IFERROR(AVERAGEIF('PMO REAL'!$F$12:$US$12,'PMO PREV'!CC$63,'PMO REAL'!$F37:$US37),"")</f>
        <v/>
      </c>
      <c r="CD86" s="170" t="str">
        <f ca="1">IFERROR(AVERAGEIF('PMO REAL'!$F$12:$US$12,'PMO PREV'!CD$63,'PMO REAL'!$F37:$US37),"")</f>
        <v/>
      </c>
      <c r="CE86" s="170" t="str">
        <f ca="1">IFERROR(AVERAGEIF('PMO REAL'!$F$12:$US$12,'PMO PREV'!CE$63,'PMO REAL'!$F37:$US37),"")</f>
        <v/>
      </c>
      <c r="CF86" s="170" t="str">
        <f ca="1">IFERROR(AVERAGEIF('PMO REAL'!$F$12:$US$12,'PMO PREV'!CF$63,'PMO REAL'!$F37:$US37),"")</f>
        <v/>
      </c>
      <c r="CG86" s="170" t="str">
        <f ca="1">IFERROR(AVERAGEIF('PMO REAL'!$F$12:$US$12,'PMO PREV'!CG$63,'PMO REAL'!$F37:$US37),"")</f>
        <v/>
      </c>
      <c r="CH86" s="120"/>
      <c r="CI86" s="121"/>
      <c r="CJ86" s="92"/>
      <c r="CK86" s="92"/>
      <c r="CL86" s="92"/>
      <c r="CM86" s="92"/>
      <c r="CN86" s="92"/>
      <c r="CO86" s="92"/>
    </row>
    <row r="87" spans="2:93" ht="15.75" customHeight="1" x14ac:dyDescent="0.3">
      <c r="B87" s="169" t="s">
        <v>56</v>
      </c>
      <c r="C87" s="107" t="s">
        <v>160</v>
      </c>
      <c r="D87" s="152" t="str">
        <f t="shared" ca="1" si="18"/>
        <v/>
      </c>
      <c r="E87" s="159" t="str">
        <f t="shared" ca="1" si="19"/>
        <v/>
      </c>
      <c r="F87" s="155" t="str">
        <f ca="1">IFERROR(AVERAGEIF('PMO REAL'!$F$12:$US$12,'PMO PREV'!F$63,'PMO REAL'!$F38:$US38),"")</f>
        <v/>
      </c>
      <c r="G87" s="170" t="str">
        <f ca="1">IFERROR(AVERAGEIF('PMO REAL'!$F$12:$US$12,'PMO PREV'!G$63,'PMO REAL'!$F38:$US38),"")</f>
        <v/>
      </c>
      <c r="H87" s="170" t="str">
        <f ca="1">IFERROR(AVERAGEIF('PMO REAL'!$F$12:$US$12,'PMO PREV'!H$63,'PMO REAL'!$F38:$US38),"")</f>
        <v/>
      </c>
      <c r="I87" s="170" t="str">
        <f ca="1">IFERROR(AVERAGEIF('PMO REAL'!$F$12:$US$12,'PMO PREV'!I$63,'PMO REAL'!$F38:$US38),"")</f>
        <v/>
      </c>
      <c r="J87" s="170" t="str">
        <f ca="1">IFERROR(AVERAGEIF('PMO REAL'!$F$12:$US$12,'PMO PREV'!J$63,'PMO REAL'!$F38:$US38),"")</f>
        <v/>
      </c>
      <c r="K87" s="170" t="str">
        <f ca="1">IFERROR(AVERAGEIF('PMO REAL'!$F$12:$US$12,'PMO PREV'!K$63,'PMO REAL'!$F38:$US38),"")</f>
        <v/>
      </c>
      <c r="L87" s="170" t="str">
        <f ca="1">IFERROR(AVERAGEIF('PMO REAL'!$F$12:$US$12,'PMO PREV'!L$63,'PMO REAL'!$F38:$US38),"")</f>
        <v/>
      </c>
      <c r="M87" s="170" t="str">
        <f ca="1">IFERROR(AVERAGEIF('PMO REAL'!$F$12:$US$12,'PMO PREV'!M$63,'PMO REAL'!$F38:$US38),"")</f>
        <v/>
      </c>
      <c r="N87" s="170" t="str">
        <f ca="1">IFERROR(AVERAGEIF('PMO REAL'!$F$12:$US$12,'PMO PREV'!N$63,'PMO REAL'!$F38:$US38),"")</f>
        <v/>
      </c>
      <c r="O87" s="170" t="str">
        <f ca="1">IFERROR(AVERAGEIF('PMO REAL'!$F$12:$US$12,'PMO PREV'!O$63,'PMO REAL'!$F38:$US38),"")</f>
        <v/>
      </c>
      <c r="P87" s="170" t="str">
        <f ca="1">IFERROR(AVERAGEIF('PMO REAL'!$F$12:$US$12,'PMO PREV'!P$63,'PMO REAL'!$F38:$US38),"")</f>
        <v/>
      </c>
      <c r="Q87" s="170" t="str">
        <f ca="1">IFERROR(AVERAGEIF('PMO REAL'!$F$12:$US$12,'PMO PREV'!Q$63,'PMO REAL'!$F38:$US38),"")</f>
        <v/>
      </c>
      <c r="R87" s="170" t="str">
        <f ca="1">IFERROR(AVERAGEIF('PMO REAL'!$F$12:$US$12,'PMO PREV'!R$63,'PMO REAL'!$F38:$US38),"")</f>
        <v/>
      </c>
      <c r="S87" s="170" t="str">
        <f ca="1">IFERROR(AVERAGEIF('PMO REAL'!$F$12:$US$12,'PMO PREV'!S$63,'PMO REAL'!$F38:$US38),"")</f>
        <v/>
      </c>
      <c r="T87" s="170" t="str">
        <f ca="1">IFERROR(AVERAGEIF('PMO REAL'!$F$12:$US$12,'PMO PREV'!T$63,'PMO REAL'!$F38:$US38),"")</f>
        <v/>
      </c>
      <c r="U87" s="170" t="str">
        <f ca="1">IFERROR(AVERAGEIF('PMO REAL'!$F$12:$US$12,'PMO PREV'!U$63,'PMO REAL'!$F38:$US38),"")</f>
        <v/>
      </c>
      <c r="V87" s="170" t="str">
        <f ca="1">IFERROR(AVERAGEIF('PMO REAL'!$F$12:$US$12,'PMO PREV'!V$63,'PMO REAL'!$F38:$US38),"")</f>
        <v/>
      </c>
      <c r="W87" s="170" t="str">
        <f ca="1">IFERROR(AVERAGEIF('PMO REAL'!$F$12:$US$12,'PMO PREV'!W$63,'PMO REAL'!$F38:$US38),"")</f>
        <v/>
      </c>
      <c r="X87" s="170" t="str">
        <f ca="1">IFERROR(AVERAGEIF('PMO REAL'!$F$12:$US$12,'PMO PREV'!X$63,'PMO REAL'!$F38:$US38),"")</f>
        <v/>
      </c>
      <c r="Y87" s="170" t="str">
        <f ca="1">IFERROR(AVERAGEIF('PMO REAL'!$F$12:$US$12,'PMO PREV'!Y$63,'PMO REAL'!$F38:$US38),"")</f>
        <v/>
      </c>
      <c r="Z87" s="170" t="str">
        <f ca="1">IFERROR(AVERAGEIF('PMO REAL'!$F$12:$US$12,'PMO PREV'!Z$63,'PMO REAL'!$F38:$US38),"")</f>
        <v/>
      </c>
      <c r="AA87" s="170" t="str">
        <f ca="1">IFERROR(AVERAGEIF('PMO REAL'!$F$12:$US$12,'PMO PREV'!AA$63,'PMO REAL'!$F38:$US38),"")</f>
        <v/>
      </c>
      <c r="AB87" s="170" t="str">
        <f ca="1">IFERROR(AVERAGEIF('PMO REAL'!$F$12:$US$12,'PMO PREV'!AB$63,'PMO REAL'!$F38:$US38),"")</f>
        <v/>
      </c>
      <c r="AC87" s="170" t="str">
        <f ca="1">IFERROR(AVERAGEIF('PMO REAL'!$F$12:$US$12,'PMO PREV'!AC$63,'PMO REAL'!$F38:$US38),"")</f>
        <v/>
      </c>
      <c r="AD87" s="170" t="str">
        <f ca="1">IFERROR(AVERAGEIF('PMO REAL'!$F$12:$US$12,'PMO PREV'!AD$63,'PMO REAL'!$F38:$US38),"")</f>
        <v/>
      </c>
      <c r="AE87" s="170" t="str">
        <f ca="1">IFERROR(AVERAGEIF('PMO REAL'!$F$12:$US$12,'PMO PREV'!AE$63,'PMO REAL'!$F38:$US38),"")</f>
        <v/>
      </c>
      <c r="AF87" s="170" t="str">
        <f ca="1">IFERROR(AVERAGEIF('PMO REAL'!$F$12:$US$12,'PMO PREV'!AF$63,'PMO REAL'!$F38:$US38),"")</f>
        <v/>
      </c>
      <c r="AG87" s="170" t="str">
        <f ca="1">IFERROR(AVERAGEIF('PMO REAL'!$F$12:$US$12,'PMO PREV'!AG$63,'PMO REAL'!$F38:$US38),"")</f>
        <v/>
      </c>
      <c r="AH87" s="170" t="str">
        <f ca="1">IFERROR(AVERAGEIF('PMO REAL'!$F$12:$US$12,'PMO PREV'!AH$63,'PMO REAL'!$F38:$US38),"")</f>
        <v/>
      </c>
      <c r="AI87" s="170" t="str">
        <f ca="1">IFERROR(AVERAGEIF('PMO REAL'!$F$12:$US$12,'PMO PREV'!AI$63,'PMO REAL'!$F38:$US38),"")</f>
        <v/>
      </c>
      <c r="AJ87" s="170" t="str">
        <f ca="1">IFERROR(AVERAGEIF('PMO REAL'!$F$12:$US$12,'PMO PREV'!AJ$63,'PMO REAL'!$F38:$US38),"")</f>
        <v/>
      </c>
      <c r="AK87" s="170" t="str">
        <f ca="1">IFERROR(AVERAGEIF('PMO REAL'!$F$12:$US$12,'PMO PREV'!AK$63,'PMO REAL'!$F38:$US38),"")</f>
        <v/>
      </c>
      <c r="AL87" s="170" t="str">
        <f ca="1">IFERROR(AVERAGEIF('PMO REAL'!$F$12:$US$12,'PMO PREV'!AL$63,'PMO REAL'!$F38:$US38),"")</f>
        <v/>
      </c>
      <c r="AM87" s="170" t="str">
        <f ca="1">IFERROR(AVERAGEIF('PMO REAL'!$F$12:$US$12,'PMO PREV'!AM$63,'PMO REAL'!$F38:$US38),"")</f>
        <v/>
      </c>
      <c r="AN87" s="170" t="str">
        <f ca="1">IFERROR(AVERAGEIF('PMO REAL'!$F$12:$US$12,'PMO PREV'!AN$63,'PMO REAL'!$F38:$US38),"")</f>
        <v/>
      </c>
      <c r="AO87" s="170" t="str">
        <f ca="1">IFERROR(AVERAGEIF('PMO REAL'!$F$12:$US$12,'PMO PREV'!AO$63,'PMO REAL'!$F38:$US38),"")</f>
        <v/>
      </c>
      <c r="AP87" s="170" t="str">
        <f ca="1">IFERROR(AVERAGEIF('PMO REAL'!$F$12:$US$12,'PMO PREV'!AP$63,'PMO REAL'!$F38:$US38),"")</f>
        <v/>
      </c>
      <c r="AQ87" s="170" t="str">
        <f ca="1">IFERROR(AVERAGEIF('PMO REAL'!$F$12:$US$12,'PMO PREV'!AQ$63,'PMO REAL'!$F38:$US38),"")</f>
        <v/>
      </c>
      <c r="AR87" s="170" t="str">
        <f ca="1">IFERROR(AVERAGEIF('PMO REAL'!$F$12:$US$12,'PMO PREV'!AR$63,'PMO REAL'!$F38:$US38),"")</f>
        <v/>
      </c>
      <c r="AS87" s="170" t="str">
        <f ca="1">IFERROR(AVERAGEIF('PMO REAL'!$F$12:$US$12,'PMO PREV'!AS$63,'PMO REAL'!$F38:$US38),"")</f>
        <v/>
      </c>
      <c r="AT87" s="170" t="str">
        <f ca="1">IFERROR(AVERAGEIF('PMO REAL'!$F$12:$US$12,'PMO PREV'!AT$63,'PMO REAL'!$F38:$US38),"")</f>
        <v/>
      </c>
      <c r="AU87" s="170" t="str">
        <f ca="1">IFERROR(AVERAGEIF('PMO REAL'!$F$12:$US$12,'PMO PREV'!AU$63,'PMO REAL'!$F38:$US38),"")</f>
        <v/>
      </c>
      <c r="AV87" s="170" t="str">
        <f ca="1">IFERROR(AVERAGEIF('PMO REAL'!$F$12:$US$12,'PMO PREV'!AV$63,'PMO REAL'!$F38:$US38),"")</f>
        <v/>
      </c>
      <c r="AW87" s="170" t="str">
        <f ca="1">IFERROR(AVERAGEIF('PMO REAL'!$F$12:$US$12,'PMO PREV'!AW$63,'PMO REAL'!$F38:$US38),"")</f>
        <v/>
      </c>
      <c r="AX87" s="170" t="str">
        <f ca="1">IFERROR(AVERAGEIF('PMO REAL'!$F$12:$US$12,'PMO PREV'!AX$63,'PMO REAL'!$F38:$US38),"")</f>
        <v/>
      </c>
      <c r="AY87" s="170" t="str">
        <f ca="1">IFERROR(AVERAGEIF('PMO REAL'!$F$12:$US$12,'PMO PREV'!AY$63,'PMO REAL'!$F38:$US38),"")</f>
        <v/>
      </c>
      <c r="AZ87" s="170" t="str">
        <f ca="1">IFERROR(AVERAGEIF('PMO REAL'!$F$12:$US$12,'PMO PREV'!AZ$63,'PMO REAL'!$F38:$US38),"")</f>
        <v/>
      </c>
      <c r="BA87" s="170" t="str">
        <f ca="1">IFERROR(AVERAGEIF('PMO REAL'!$F$12:$US$12,'PMO PREV'!BA$63,'PMO REAL'!$F38:$US38),"")</f>
        <v/>
      </c>
      <c r="BB87" s="170" t="str">
        <f ca="1">IFERROR(AVERAGEIF('PMO REAL'!$F$12:$US$12,'PMO PREV'!BB$63,'PMO REAL'!$F38:$US38),"")</f>
        <v/>
      </c>
      <c r="BC87" s="170" t="str">
        <f ca="1">IFERROR(AVERAGEIF('PMO REAL'!$F$12:$US$12,'PMO PREV'!BC$63,'PMO REAL'!$F38:$US38),"")</f>
        <v/>
      </c>
      <c r="BD87" s="170" t="str">
        <f ca="1">IFERROR(AVERAGEIF('PMO REAL'!$F$12:$US$12,'PMO PREV'!BD$63,'PMO REAL'!$F38:$US38),"")</f>
        <v/>
      </c>
      <c r="BE87" s="170" t="str">
        <f ca="1">IFERROR(AVERAGEIF('PMO REAL'!$F$12:$US$12,'PMO PREV'!BE$63,'PMO REAL'!$F38:$US38),"")</f>
        <v/>
      </c>
      <c r="BF87" s="170" t="str">
        <f ca="1">IFERROR(AVERAGEIF('PMO REAL'!$F$12:$US$12,'PMO PREV'!BF$63,'PMO REAL'!$F38:$US38),"")</f>
        <v/>
      </c>
      <c r="BG87" s="170" t="str">
        <f ca="1">IFERROR(AVERAGEIF('PMO REAL'!$F$12:$US$12,'PMO PREV'!BG$63,'PMO REAL'!$F38:$US38),"")</f>
        <v/>
      </c>
      <c r="BH87" s="170" t="str">
        <f ca="1">IFERROR(AVERAGEIF('PMO REAL'!$F$12:$US$12,'PMO PREV'!BH$63,'PMO REAL'!$F38:$US38),"")</f>
        <v/>
      </c>
      <c r="BI87" s="170" t="str">
        <f ca="1">IFERROR(AVERAGEIF('PMO REAL'!$F$12:$US$12,'PMO PREV'!BI$63,'PMO REAL'!$F38:$US38),"")</f>
        <v/>
      </c>
      <c r="BJ87" s="170" t="str">
        <f ca="1">IFERROR(AVERAGEIF('PMO REAL'!$F$12:$US$12,'PMO PREV'!BJ$63,'PMO REAL'!$F38:$US38),"")</f>
        <v/>
      </c>
      <c r="BK87" s="170" t="str">
        <f ca="1">IFERROR(AVERAGEIF('PMO REAL'!$F$12:$US$12,'PMO PREV'!BK$63,'PMO REAL'!$F38:$US38),"")</f>
        <v/>
      </c>
      <c r="BL87" s="170" t="str">
        <f ca="1">IFERROR(AVERAGEIF('PMO REAL'!$F$12:$US$12,'PMO PREV'!BL$63,'PMO REAL'!$F38:$US38),"")</f>
        <v/>
      </c>
      <c r="BM87" s="170" t="str">
        <f ca="1">IFERROR(AVERAGEIF('PMO REAL'!$F$12:$US$12,'PMO PREV'!BM$63,'PMO REAL'!$F38:$US38),"")</f>
        <v/>
      </c>
      <c r="BN87" s="170" t="str">
        <f ca="1">IFERROR(AVERAGEIF('PMO REAL'!$F$12:$US$12,'PMO PREV'!BN$63,'PMO REAL'!$F38:$US38),"")</f>
        <v/>
      </c>
      <c r="BO87" s="170" t="str">
        <f ca="1">IFERROR(AVERAGEIF('PMO REAL'!$F$12:$US$12,'PMO PREV'!BO$63,'PMO REAL'!$F38:$US38),"")</f>
        <v/>
      </c>
      <c r="BP87" s="170" t="str">
        <f ca="1">IFERROR(AVERAGEIF('PMO REAL'!$F$12:$US$12,'PMO PREV'!BP$63,'PMO REAL'!$F38:$US38),"")</f>
        <v/>
      </c>
      <c r="BQ87" s="170" t="str">
        <f ca="1">IFERROR(AVERAGEIF('PMO REAL'!$F$12:$US$12,'PMO PREV'!BQ$63,'PMO REAL'!$F38:$US38),"")</f>
        <v/>
      </c>
      <c r="BR87" s="170" t="str">
        <f ca="1">IFERROR(AVERAGEIF('PMO REAL'!$F$12:$US$12,'PMO PREV'!BR$63,'PMO REAL'!$F38:$US38),"")</f>
        <v/>
      </c>
      <c r="BS87" s="170" t="str">
        <f ca="1">IFERROR(AVERAGEIF('PMO REAL'!$F$12:$US$12,'PMO PREV'!BS$63,'PMO REAL'!$F38:$US38),"")</f>
        <v/>
      </c>
      <c r="BT87" s="170" t="str">
        <f ca="1">IFERROR(AVERAGEIF('PMO REAL'!$F$12:$US$12,'PMO PREV'!BT$63,'PMO REAL'!$F38:$US38),"")</f>
        <v/>
      </c>
      <c r="BU87" s="170" t="str">
        <f ca="1">IFERROR(AVERAGEIF('PMO REAL'!$F$12:$US$12,'PMO PREV'!BU$63,'PMO REAL'!$F38:$US38),"")</f>
        <v/>
      </c>
      <c r="BV87" s="170" t="str">
        <f ca="1">IFERROR(AVERAGEIF('PMO REAL'!$F$12:$US$12,'PMO PREV'!BV$63,'PMO REAL'!$F38:$US38),"")</f>
        <v/>
      </c>
      <c r="BW87" s="170" t="str">
        <f ca="1">IFERROR(AVERAGEIF('PMO REAL'!$F$12:$US$12,'PMO PREV'!BW$63,'PMO REAL'!$F38:$US38),"")</f>
        <v/>
      </c>
      <c r="BX87" s="170" t="str">
        <f ca="1">IFERROR(AVERAGEIF('PMO REAL'!$F$12:$US$12,'PMO PREV'!BX$63,'PMO REAL'!$F38:$US38),"")</f>
        <v/>
      </c>
      <c r="BY87" s="170" t="str">
        <f ca="1">IFERROR(AVERAGEIF('PMO REAL'!$F$12:$US$12,'PMO PREV'!BY$63,'PMO REAL'!$F38:$US38),"")</f>
        <v/>
      </c>
      <c r="BZ87" s="170" t="str">
        <f ca="1">IFERROR(AVERAGEIF('PMO REAL'!$F$12:$US$12,'PMO PREV'!BZ$63,'PMO REAL'!$F38:$US38),"")</f>
        <v/>
      </c>
      <c r="CA87" s="170" t="str">
        <f ca="1">IFERROR(AVERAGEIF('PMO REAL'!$F$12:$US$12,'PMO PREV'!CA$63,'PMO REAL'!$F38:$US38),"")</f>
        <v/>
      </c>
      <c r="CB87" s="170" t="str">
        <f ca="1">IFERROR(AVERAGEIF('PMO REAL'!$F$12:$US$12,'PMO PREV'!CB$63,'PMO REAL'!$F38:$US38),"")</f>
        <v/>
      </c>
      <c r="CC87" s="170" t="str">
        <f ca="1">IFERROR(AVERAGEIF('PMO REAL'!$F$12:$US$12,'PMO PREV'!CC$63,'PMO REAL'!$F38:$US38),"")</f>
        <v/>
      </c>
      <c r="CD87" s="170" t="str">
        <f ca="1">IFERROR(AVERAGEIF('PMO REAL'!$F$12:$US$12,'PMO PREV'!CD$63,'PMO REAL'!$F38:$US38),"")</f>
        <v/>
      </c>
      <c r="CE87" s="170" t="str">
        <f ca="1">IFERROR(AVERAGEIF('PMO REAL'!$F$12:$US$12,'PMO PREV'!CE$63,'PMO REAL'!$F38:$US38),"")</f>
        <v/>
      </c>
      <c r="CF87" s="170" t="str">
        <f ca="1">IFERROR(AVERAGEIF('PMO REAL'!$F$12:$US$12,'PMO PREV'!CF$63,'PMO REAL'!$F38:$US38),"")</f>
        <v/>
      </c>
      <c r="CG87" s="170" t="str">
        <f ca="1">IFERROR(AVERAGEIF('PMO REAL'!$F$12:$US$12,'PMO PREV'!CG$63,'PMO REAL'!$F38:$US38),"")</f>
        <v/>
      </c>
      <c r="CH87" s="120"/>
      <c r="CI87" s="121"/>
      <c r="CJ87" s="92"/>
      <c r="CK87" s="92"/>
      <c r="CL87" s="92"/>
      <c r="CM87" s="92"/>
      <c r="CN87" s="92"/>
      <c r="CO87" s="92"/>
    </row>
    <row r="88" spans="2:93" ht="15.75" customHeight="1" x14ac:dyDescent="0.3">
      <c r="B88" s="169" t="s">
        <v>55</v>
      </c>
      <c r="C88" s="107" t="s">
        <v>150</v>
      </c>
      <c r="D88" s="152" t="str">
        <f t="shared" ca="1" si="18"/>
        <v/>
      </c>
      <c r="E88" s="159" t="str">
        <f t="shared" ca="1" si="19"/>
        <v/>
      </c>
      <c r="F88" s="155" t="str">
        <f ca="1">IFERROR(AVERAGEIF('PMO REAL'!$F$12:$US$12,'PMO PREV'!F$63,'PMO REAL'!$F39:$US39),"")</f>
        <v/>
      </c>
      <c r="G88" s="170" t="str">
        <f ca="1">IFERROR(AVERAGEIF('PMO REAL'!$F$12:$US$12,'PMO PREV'!G$63,'PMO REAL'!$F39:$US39),"")</f>
        <v/>
      </c>
      <c r="H88" s="170" t="str">
        <f ca="1">IFERROR(AVERAGEIF('PMO REAL'!$F$12:$US$12,'PMO PREV'!H$63,'PMO REAL'!$F39:$US39),"")</f>
        <v/>
      </c>
      <c r="I88" s="170" t="str">
        <f ca="1">IFERROR(AVERAGEIF('PMO REAL'!$F$12:$US$12,'PMO PREV'!I$63,'PMO REAL'!$F39:$US39),"")</f>
        <v/>
      </c>
      <c r="J88" s="170" t="str">
        <f ca="1">IFERROR(AVERAGEIF('PMO REAL'!$F$12:$US$12,'PMO PREV'!J$63,'PMO REAL'!$F39:$US39),"")</f>
        <v/>
      </c>
      <c r="K88" s="170" t="str">
        <f ca="1">IFERROR(AVERAGEIF('PMO REAL'!$F$12:$US$12,'PMO PREV'!K$63,'PMO REAL'!$F39:$US39),"")</f>
        <v/>
      </c>
      <c r="L88" s="170" t="str">
        <f ca="1">IFERROR(AVERAGEIF('PMO REAL'!$F$12:$US$12,'PMO PREV'!L$63,'PMO REAL'!$F39:$US39),"")</f>
        <v/>
      </c>
      <c r="M88" s="170" t="str">
        <f ca="1">IFERROR(AVERAGEIF('PMO REAL'!$F$12:$US$12,'PMO PREV'!M$63,'PMO REAL'!$F39:$US39),"")</f>
        <v/>
      </c>
      <c r="N88" s="170" t="str">
        <f ca="1">IFERROR(AVERAGEIF('PMO REAL'!$F$12:$US$12,'PMO PREV'!N$63,'PMO REAL'!$F39:$US39),"")</f>
        <v/>
      </c>
      <c r="O88" s="170" t="str">
        <f ca="1">IFERROR(AVERAGEIF('PMO REAL'!$F$12:$US$12,'PMO PREV'!O$63,'PMO REAL'!$F39:$US39),"")</f>
        <v/>
      </c>
      <c r="P88" s="170" t="str">
        <f ca="1">IFERROR(AVERAGEIF('PMO REAL'!$F$12:$US$12,'PMO PREV'!P$63,'PMO REAL'!$F39:$US39),"")</f>
        <v/>
      </c>
      <c r="Q88" s="170" t="str">
        <f ca="1">IFERROR(AVERAGEIF('PMO REAL'!$F$12:$US$12,'PMO PREV'!Q$63,'PMO REAL'!$F39:$US39),"")</f>
        <v/>
      </c>
      <c r="R88" s="170" t="str">
        <f ca="1">IFERROR(AVERAGEIF('PMO REAL'!$F$12:$US$12,'PMO PREV'!R$63,'PMO REAL'!$F39:$US39),"")</f>
        <v/>
      </c>
      <c r="S88" s="170" t="str">
        <f ca="1">IFERROR(AVERAGEIF('PMO REAL'!$F$12:$US$12,'PMO PREV'!S$63,'PMO REAL'!$F39:$US39),"")</f>
        <v/>
      </c>
      <c r="T88" s="170" t="str">
        <f ca="1">IFERROR(AVERAGEIF('PMO REAL'!$F$12:$US$12,'PMO PREV'!T$63,'PMO REAL'!$F39:$US39),"")</f>
        <v/>
      </c>
      <c r="U88" s="170" t="str">
        <f ca="1">IFERROR(AVERAGEIF('PMO REAL'!$F$12:$US$12,'PMO PREV'!U$63,'PMO REAL'!$F39:$US39),"")</f>
        <v/>
      </c>
      <c r="V88" s="170" t="str">
        <f ca="1">IFERROR(AVERAGEIF('PMO REAL'!$F$12:$US$12,'PMO PREV'!V$63,'PMO REAL'!$F39:$US39),"")</f>
        <v/>
      </c>
      <c r="W88" s="170" t="str">
        <f ca="1">IFERROR(AVERAGEIF('PMO REAL'!$F$12:$US$12,'PMO PREV'!W$63,'PMO REAL'!$F39:$US39),"")</f>
        <v/>
      </c>
      <c r="X88" s="170" t="str">
        <f ca="1">IFERROR(AVERAGEIF('PMO REAL'!$F$12:$US$12,'PMO PREV'!X$63,'PMO REAL'!$F39:$US39),"")</f>
        <v/>
      </c>
      <c r="Y88" s="170" t="str">
        <f ca="1">IFERROR(AVERAGEIF('PMO REAL'!$F$12:$US$12,'PMO PREV'!Y$63,'PMO REAL'!$F39:$US39),"")</f>
        <v/>
      </c>
      <c r="Z88" s="170" t="str">
        <f ca="1">IFERROR(AVERAGEIF('PMO REAL'!$F$12:$US$12,'PMO PREV'!Z$63,'PMO REAL'!$F39:$US39),"")</f>
        <v/>
      </c>
      <c r="AA88" s="170" t="str">
        <f ca="1">IFERROR(AVERAGEIF('PMO REAL'!$F$12:$US$12,'PMO PREV'!AA$63,'PMO REAL'!$F39:$US39),"")</f>
        <v/>
      </c>
      <c r="AB88" s="170" t="str">
        <f ca="1">IFERROR(AVERAGEIF('PMO REAL'!$F$12:$US$12,'PMO PREV'!AB$63,'PMO REAL'!$F39:$US39),"")</f>
        <v/>
      </c>
      <c r="AC88" s="170" t="str">
        <f ca="1">IFERROR(AVERAGEIF('PMO REAL'!$F$12:$US$12,'PMO PREV'!AC$63,'PMO REAL'!$F39:$US39),"")</f>
        <v/>
      </c>
      <c r="AD88" s="170" t="str">
        <f ca="1">IFERROR(AVERAGEIF('PMO REAL'!$F$12:$US$12,'PMO PREV'!AD$63,'PMO REAL'!$F39:$US39),"")</f>
        <v/>
      </c>
      <c r="AE88" s="170" t="str">
        <f ca="1">IFERROR(AVERAGEIF('PMO REAL'!$F$12:$US$12,'PMO PREV'!AE$63,'PMO REAL'!$F39:$US39),"")</f>
        <v/>
      </c>
      <c r="AF88" s="170" t="str">
        <f ca="1">IFERROR(AVERAGEIF('PMO REAL'!$F$12:$US$12,'PMO PREV'!AF$63,'PMO REAL'!$F39:$US39),"")</f>
        <v/>
      </c>
      <c r="AG88" s="170" t="str">
        <f ca="1">IFERROR(AVERAGEIF('PMO REAL'!$F$12:$US$12,'PMO PREV'!AG$63,'PMO REAL'!$F39:$US39),"")</f>
        <v/>
      </c>
      <c r="AH88" s="170" t="str">
        <f ca="1">IFERROR(AVERAGEIF('PMO REAL'!$F$12:$US$12,'PMO PREV'!AH$63,'PMO REAL'!$F39:$US39),"")</f>
        <v/>
      </c>
      <c r="AI88" s="170" t="str">
        <f ca="1">IFERROR(AVERAGEIF('PMO REAL'!$F$12:$US$12,'PMO PREV'!AI$63,'PMO REAL'!$F39:$US39),"")</f>
        <v/>
      </c>
      <c r="AJ88" s="170" t="str">
        <f ca="1">IFERROR(AVERAGEIF('PMO REAL'!$F$12:$US$12,'PMO PREV'!AJ$63,'PMO REAL'!$F39:$US39),"")</f>
        <v/>
      </c>
      <c r="AK88" s="170" t="str">
        <f ca="1">IFERROR(AVERAGEIF('PMO REAL'!$F$12:$US$12,'PMO PREV'!AK$63,'PMO REAL'!$F39:$US39),"")</f>
        <v/>
      </c>
      <c r="AL88" s="170" t="str">
        <f ca="1">IFERROR(AVERAGEIF('PMO REAL'!$F$12:$US$12,'PMO PREV'!AL$63,'PMO REAL'!$F39:$US39),"")</f>
        <v/>
      </c>
      <c r="AM88" s="170" t="str">
        <f ca="1">IFERROR(AVERAGEIF('PMO REAL'!$F$12:$US$12,'PMO PREV'!AM$63,'PMO REAL'!$F39:$US39),"")</f>
        <v/>
      </c>
      <c r="AN88" s="170" t="str">
        <f ca="1">IFERROR(AVERAGEIF('PMO REAL'!$F$12:$US$12,'PMO PREV'!AN$63,'PMO REAL'!$F39:$US39),"")</f>
        <v/>
      </c>
      <c r="AO88" s="170" t="str">
        <f ca="1">IFERROR(AVERAGEIF('PMO REAL'!$F$12:$US$12,'PMO PREV'!AO$63,'PMO REAL'!$F39:$US39),"")</f>
        <v/>
      </c>
      <c r="AP88" s="170" t="str">
        <f ca="1">IFERROR(AVERAGEIF('PMO REAL'!$F$12:$US$12,'PMO PREV'!AP$63,'PMO REAL'!$F39:$US39),"")</f>
        <v/>
      </c>
      <c r="AQ88" s="170" t="str">
        <f ca="1">IFERROR(AVERAGEIF('PMO REAL'!$F$12:$US$12,'PMO PREV'!AQ$63,'PMO REAL'!$F39:$US39),"")</f>
        <v/>
      </c>
      <c r="AR88" s="170" t="str">
        <f ca="1">IFERROR(AVERAGEIF('PMO REAL'!$F$12:$US$12,'PMO PREV'!AR$63,'PMO REAL'!$F39:$US39),"")</f>
        <v/>
      </c>
      <c r="AS88" s="170" t="str">
        <f ca="1">IFERROR(AVERAGEIF('PMO REAL'!$F$12:$US$12,'PMO PREV'!AS$63,'PMO REAL'!$F39:$US39),"")</f>
        <v/>
      </c>
      <c r="AT88" s="170" t="str">
        <f ca="1">IFERROR(AVERAGEIF('PMO REAL'!$F$12:$US$12,'PMO PREV'!AT$63,'PMO REAL'!$F39:$US39),"")</f>
        <v/>
      </c>
      <c r="AU88" s="170" t="str">
        <f ca="1">IFERROR(AVERAGEIF('PMO REAL'!$F$12:$US$12,'PMO PREV'!AU$63,'PMO REAL'!$F39:$US39),"")</f>
        <v/>
      </c>
      <c r="AV88" s="170" t="str">
        <f ca="1">IFERROR(AVERAGEIF('PMO REAL'!$F$12:$US$12,'PMO PREV'!AV$63,'PMO REAL'!$F39:$US39),"")</f>
        <v/>
      </c>
      <c r="AW88" s="170" t="str">
        <f ca="1">IFERROR(AVERAGEIF('PMO REAL'!$F$12:$US$12,'PMO PREV'!AW$63,'PMO REAL'!$F39:$US39),"")</f>
        <v/>
      </c>
      <c r="AX88" s="170" t="str">
        <f ca="1">IFERROR(AVERAGEIF('PMO REAL'!$F$12:$US$12,'PMO PREV'!AX$63,'PMO REAL'!$F39:$US39),"")</f>
        <v/>
      </c>
      <c r="AY88" s="170" t="str">
        <f ca="1">IFERROR(AVERAGEIF('PMO REAL'!$F$12:$US$12,'PMO PREV'!AY$63,'PMO REAL'!$F39:$US39),"")</f>
        <v/>
      </c>
      <c r="AZ88" s="170" t="str">
        <f ca="1">IFERROR(AVERAGEIF('PMO REAL'!$F$12:$US$12,'PMO PREV'!AZ$63,'PMO REAL'!$F39:$US39),"")</f>
        <v/>
      </c>
      <c r="BA88" s="170" t="str">
        <f ca="1">IFERROR(AVERAGEIF('PMO REAL'!$F$12:$US$12,'PMO PREV'!BA$63,'PMO REAL'!$F39:$US39),"")</f>
        <v/>
      </c>
      <c r="BB88" s="170" t="str">
        <f ca="1">IFERROR(AVERAGEIF('PMO REAL'!$F$12:$US$12,'PMO PREV'!BB$63,'PMO REAL'!$F39:$US39),"")</f>
        <v/>
      </c>
      <c r="BC88" s="170" t="str">
        <f ca="1">IFERROR(AVERAGEIF('PMO REAL'!$F$12:$US$12,'PMO PREV'!BC$63,'PMO REAL'!$F39:$US39),"")</f>
        <v/>
      </c>
      <c r="BD88" s="170" t="str">
        <f ca="1">IFERROR(AVERAGEIF('PMO REAL'!$F$12:$US$12,'PMO PREV'!BD$63,'PMO REAL'!$F39:$US39),"")</f>
        <v/>
      </c>
      <c r="BE88" s="170" t="str">
        <f ca="1">IFERROR(AVERAGEIF('PMO REAL'!$F$12:$US$12,'PMO PREV'!BE$63,'PMO REAL'!$F39:$US39),"")</f>
        <v/>
      </c>
      <c r="BF88" s="170" t="str">
        <f ca="1">IFERROR(AVERAGEIF('PMO REAL'!$F$12:$US$12,'PMO PREV'!BF$63,'PMO REAL'!$F39:$US39),"")</f>
        <v/>
      </c>
      <c r="BG88" s="170" t="str">
        <f ca="1">IFERROR(AVERAGEIF('PMO REAL'!$F$12:$US$12,'PMO PREV'!BG$63,'PMO REAL'!$F39:$US39),"")</f>
        <v/>
      </c>
      <c r="BH88" s="170" t="str">
        <f ca="1">IFERROR(AVERAGEIF('PMO REAL'!$F$12:$US$12,'PMO PREV'!BH$63,'PMO REAL'!$F39:$US39),"")</f>
        <v/>
      </c>
      <c r="BI88" s="170" t="str">
        <f ca="1">IFERROR(AVERAGEIF('PMO REAL'!$F$12:$US$12,'PMO PREV'!BI$63,'PMO REAL'!$F39:$US39),"")</f>
        <v/>
      </c>
      <c r="BJ88" s="170" t="str">
        <f ca="1">IFERROR(AVERAGEIF('PMO REAL'!$F$12:$US$12,'PMO PREV'!BJ$63,'PMO REAL'!$F39:$US39),"")</f>
        <v/>
      </c>
      <c r="BK88" s="170" t="str">
        <f ca="1">IFERROR(AVERAGEIF('PMO REAL'!$F$12:$US$12,'PMO PREV'!BK$63,'PMO REAL'!$F39:$US39),"")</f>
        <v/>
      </c>
      <c r="BL88" s="170" t="str">
        <f ca="1">IFERROR(AVERAGEIF('PMO REAL'!$F$12:$US$12,'PMO PREV'!BL$63,'PMO REAL'!$F39:$US39),"")</f>
        <v/>
      </c>
      <c r="BM88" s="170" t="str">
        <f ca="1">IFERROR(AVERAGEIF('PMO REAL'!$F$12:$US$12,'PMO PREV'!BM$63,'PMO REAL'!$F39:$US39),"")</f>
        <v/>
      </c>
      <c r="BN88" s="170" t="str">
        <f ca="1">IFERROR(AVERAGEIF('PMO REAL'!$F$12:$US$12,'PMO PREV'!BN$63,'PMO REAL'!$F39:$US39),"")</f>
        <v/>
      </c>
      <c r="BO88" s="170" t="str">
        <f ca="1">IFERROR(AVERAGEIF('PMO REAL'!$F$12:$US$12,'PMO PREV'!BO$63,'PMO REAL'!$F39:$US39),"")</f>
        <v/>
      </c>
      <c r="BP88" s="170" t="str">
        <f ca="1">IFERROR(AVERAGEIF('PMO REAL'!$F$12:$US$12,'PMO PREV'!BP$63,'PMO REAL'!$F39:$US39),"")</f>
        <v/>
      </c>
      <c r="BQ88" s="170" t="str">
        <f ca="1">IFERROR(AVERAGEIF('PMO REAL'!$F$12:$US$12,'PMO PREV'!BQ$63,'PMO REAL'!$F39:$US39),"")</f>
        <v/>
      </c>
      <c r="BR88" s="170" t="str">
        <f ca="1">IFERROR(AVERAGEIF('PMO REAL'!$F$12:$US$12,'PMO PREV'!BR$63,'PMO REAL'!$F39:$US39),"")</f>
        <v/>
      </c>
      <c r="BS88" s="170" t="str">
        <f ca="1">IFERROR(AVERAGEIF('PMO REAL'!$F$12:$US$12,'PMO PREV'!BS$63,'PMO REAL'!$F39:$US39),"")</f>
        <v/>
      </c>
      <c r="BT88" s="170" t="str">
        <f ca="1">IFERROR(AVERAGEIF('PMO REAL'!$F$12:$US$12,'PMO PREV'!BT$63,'PMO REAL'!$F39:$US39),"")</f>
        <v/>
      </c>
      <c r="BU88" s="170" t="str">
        <f ca="1">IFERROR(AVERAGEIF('PMO REAL'!$F$12:$US$12,'PMO PREV'!BU$63,'PMO REAL'!$F39:$US39),"")</f>
        <v/>
      </c>
      <c r="BV88" s="170" t="str">
        <f ca="1">IFERROR(AVERAGEIF('PMO REAL'!$F$12:$US$12,'PMO PREV'!BV$63,'PMO REAL'!$F39:$US39),"")</f>
        <v/>
      </c>
      <c r="BW88" s="170" t="str">
        <f ca="1">IFERROR(AVERAGEIF('PMO REAL'!$F$12:$US$12,'PMO PREV'!BW$63,'PMO REAL'!$F39:$US39),"")</f>
        <v/>
      </c>
      <c r="BX88" s="170" t="str">
        <f ca="1">IFERROR(AVERAGEIF('PMO REAL'!$F$12:$US$12,'PMO PREV'!BX$63,'PMO REAL'!$F39:$US39),"")</f>
        <v/>
      </c>
      <c r="BY88" s="170" t="str">
        <f ca="1">IFERROR(AVERAGEIF('PMO REAL'!$F$12:$US$12,'PMO PREV'!BY$63,'PMO REAL'!$F39:$US39),"")</f>
        <v/>
      </c>
      <c r="BZ88" s="170" t="str">
        <f ca="1">IFERROR(AVERAGEIF('PMO REAL'!$F$12:$US$12,'PMO PREV'!BZ$63,'PMO REAL'!$F39:$US39),"")</f>
        <v/>
      </c>
      <c r="CA88" s="170" t="str">
        <f ca="1">IFERROR(AVERAGEIF('PMO REAL'!$F$12:$US$12,'PMO PREV'!CA$63,'PMO REAL'!$F39:$US39),"")</f>
        <v/>
      </c>
      <c r="CB88" s="170" t="str">
        <f ca="1">IFERROR(AVERAGEIF('PMO REAL'!$F$12:$US$12,'PMO PREV'!CB$63,'PMO REAL'!$F39:$US39),"")</f>
        <v/>
      </c>
      <c r="CC88" s="170" t="str">
        <f ca="1">IFERROR(AVERAGEIF('PMO REAL'!$F$12:$US$12,'PMO PREV'!CC$63,'PMO REAL'!$F39:$US39),"")</f>
        <v/>
      </c>
      <c r="CD88" s="170" t="str">
        <f ca="1">IFERROR(AVERAGEIF('PMO REAL'!$F$12:$US$12,'PMO PREV'!CD$63,'PMO REAL'!$F39:$US39),"")</f>
        <v/>
      </c>
      <c r="CE88" s="170" t="str">
        <f ca="1">IFERROR(AVERAGEIF('PMO REAL'!$F$12:$US$12,'PMO PREV'!CE$63,'PMO REAL'!$F39:$US39),"")</f>
        <v/>
      </c>
      <c r="CF88" s="170" t="str">
        <f ca="1">IFERROR(AVERAGEIF('PMO REAL'!$F$12:$US$12,'PMO PREV'!CF$63,'PMO REAL'!$F39:$US39),"")</f>
        <v/>
      </c>
      <c r="CG88" s="170" t="str">
        <f ca="1">IFERROR(AVERAGEIF('PMO REAL'!$F$12:$US$12,'PMO PREV'!CG$63,'PMO REAL'!$F39:$US39),"")</f>
        <v/>
      </c>
      <c r="CH88" s="120"/>
      <c r="CI88" s="121"/>
      <c r="CJ88" s="92"/>
      <c r="CK88" s="92"/>
      <c r="CL88" s="92"/>
      <c r="CM88" s="92"/>
      <c r="CN88" s="92"/>
      <c r="CO88" s="92"/>
    </row>
    <row r="89" spans="2:93" ht="15.75" customHeight="1" x14ac:dyDescent="0.3">
      <c r="B89" s="169" t="s">
        <v>54</v>
      </c>
      <c r="C89" s="171"/>
      <c r="D89" s="152" t="str">
        <f t="shared" ca="1" si="18"/>
        <v/>
      </c>
      <c r="E89" s="159" t="str">
        <f t="shared" ca="1" si="19"/>
        <v/>
      </c>
      <c r="F89" s="155" t="str">
        <f ca="1">IFERROR(AVERAGEIF('PMO REAL'!$F$12:$US$12,'PMO PREV'!F$63,'PMO REAL'!$F40:$US40),"")</f>
        <v/>
      </c>
      <c r="G89" s="170" t="str">
        <f ca="1">IFERROR(AVERAGEIF('PMO REAL'!$F$12:$US$12,'PMO PREV'!G$63,'PMO REAL'!$F40:$US40),"")</f>
        <v/>
      </c>
      <c r="H89" s="170" t="str">
        <f ca="1">IFERROR(AVERAGEIF('PMO REAL'!$F$12:$US$12,'PMO PREV'!H$63,'PMO REAL'!$F40:$US40),"")</f>
        <v/>
      </c>
      <c r="I89" s="170" t="str">
        <f ca="1">IFERROR(AVERAGEIF('PMO REAL'!$F$12:$US$12,'PMO PREV'!I$63,'PMO REAL'!$F40:$US40),"")</f>
        <v/>
      </c>
      <c r="J89" s="170" t="str">
        <f ca="1">IFERROR(AVERAGEIF('PMO REAL'!$F$12:$US$12,'PMO PREV'!J$63,'PMO REAL'!$F40:$US40),"")</f>
        <v/>
      </c>
      <c r="K89" s="170" t="str">
        <f ca="1">IFERROR(AVERAGEIF('PMO REAL'!$F$12:$US$12,'PMO PREV'!K$63,'PMO REAL'!$F40:$US40),"")</f>
        <v/>
      </c>
      <c r="L89" s="170" t="str">
        <f ca="1">IFERROR(AVERAGEIF('PMO REAL'!$F$12:$US$12,'PMO PREV'!L$63,'PMO REAL'!$F40:$US40),"")</f>
        <v/>
      </c>
      <c r="M89" s="170" t="str">
        <f ca="1">IFERROR(AVERAGEIF('PMO REAL'!$F$12:$US$12,'PMO PREV'!M$63,'PMO REAL'!$F40:$US40),"")</f>
        <v/>
      </c>
      <c r="N89" s="170" t="str">
        <f ca="1">IFERROR(AVERAGEIF('PMO REAL'!$F$12:$US$12,'PMO PREV'!N$63,'PMO REAL'!$F40:$US40),"")</f>
        <v/>
      </c>
      <c r="O89" s="170" t="str">
        <f ca="1">IFERROR(AVERAGEIF('PMO REAL'!$F$12:$US$12,'PMO PREV'!O$63,'PMO REAL'!$F40:$US40),"")</f>
        <v/>
      </c>
      <c r="P89" s="170" t="str">
        <f ca="1">IFERROR(AVERAGEIF('PMO REAL'!$F$12:$US$12,'PMO PREV'!P$63,'PMO REAL'!$F40:$US40),"")</f>
        <v/>
      </c>
      <c r="Q89" s="170" t="str">
        <f ca="1">IFERROR(AVERAGEIF('PMO REAL'!$F$12:$US$12,'PMO PREV'!Q$63,'PMO REAL'!$F40:$US40),"")</f>
        <v/>
      </c>
      <c r="R89" s="170" t="str">
        <f ca="1">IFERROR(AVERAGEIF('PMO REAL'!$F$12:$US$12,'PMO PREV'!R$63,'PMO REAL'!$F40:$US40),"")</f>
        <v/>
      </c>
      <c r="S89" s="170" t="str">
        <f ca="1">IFERROR(AVERAGEIF('PMO REAL'!$F$12:$US$12,'PMO PREV'!S$63,'PMO REAL'!$F40:$US40),"")</f>
        <v/>
      </c>
      <c r="T89" s="170" t="str">
        <f ca="1">IFERROR(AVERAGEIF('PMO REAL'!$F$12:$US$12,'PMO PREV'!T$63,'PMO REAL'!$F40:$US40),"")</f>
        <v/>
      </c>
      <c r="U89" s="170" t="str">
        <f ca="1">IFERROR(AVERAGEIF('PMO REAL'!$F$12:$US$12,'PMO PREV'!U$63,'PMO REAL'!$F40:$US40),"")</f>
        <v/>
      </c>
      <c r="V89" s="170" t="str">
        <f ca="1">IFERROR(AVERAGEIF('PMO REAL'!$F$12:$US$12,'PMO PREV'!V$63,'PMO REAL'!$F40:$US40),"")</f>
        <v/>
      </c>
      <c r="W89" s="170" t="str">
        <f ca="1">IFERROR(AVERAGEIF('PMO REAL'!$F$12:$US$12,'PMO PREV'!W$63,'PMO REAL'!$F40:$US40),"")</f>
        <v/>
      </c>
      <c r="X89" s="170" t="str">
        <f ca="1">IFERROR(AVERAGEIF('PMO REAL'!$F$12:$US$12,'PMO PREV'!X$63,'PMO REAL'!$F40:$US40),"")</f>
        <v/>
      </c>
      <c r="Y89" s="170" t="str">
        <f ca="1">IFERROR(AVERAGEIF('PMO REAL'!$F$12:$US$12,'PMO PREV'!Y$63,'PMO REAL'!$F40:$US40),"")</f>
        <v/>
      </c>
      <c r="Z89" s="170" t="str">
        <f ca="1">IFERROR(AVERAGEIF('PMO REAL'!$F$12:$US$12,'PMO PREV'!Z$63,'PMO REAL'!$F40:$US40),"")</f>
        <v/>
      </c>
      <c r="AA89" s="170" t="str">
        <f ca="1">IFERROR(AVERAGEIF('PMO REAL'!$F$12:$US$12,'PMO PREV'!AA$63,'PMO REAL'!$F40:$US40),"")</f>
        <v/>
      </c>
      <c r="AB89" s="170" t="str">
        <f ca="1">IFERROR(AVERAGEIF('PMO REAL'!$F$12:$US$12,'PMO PREV'!AB$63,'PMO REAL'!$F40:$US40),"")</f>
        <v/>
      </c>
      <c r="AC89" s="170" t="str">
        <f ca="1">IFERROR(AVERAGEIF('PMO REAL'!$F$12:$US$12,'PMO PREV'!AC$63,'PMO REAL'!$F40:$US40),"")</f>
        <v/>
      </c>
      <c r="AD89" s="170" t="str">
        <f ca="1">IFERROR(AVERAGEIF('PMO REAL'!$F$12:$US$12,'PMO PREV'!AD$63,'PMO REAL'!$F40:$US40),"")</f>
        <v/>
      </c>
      <c r="AE89" s="170" t="str">
        <f ca="1">IFERROR(AVERAGEIF('PMO REAL'!$F$12:$US$12,'PMO PREV'!AE$63,'PMO REAL'!$F40:$US40),"")</f>
        <v/>
      </c>
      <c r="AF89" s="170" t="str">
        <f ca="1">IFERROR(AVERAGEIF('PMO REAL'!$F$12:$US$12,'PMO PREV'!AF$63,'PMO REAL'!$F40:$US40),"")</f>
        <v/>
      </c>
      <c r="AG89" s="170" t="str">
        <f ca="1">IFERROR(AVERAGEIF('PMO REAL'!$F$12:$US$12,'PMO PREV'!AG$63,'PMO REAL'!$F40:$US40),"")</f>
        <v/>
      </c>
      <c r="AH89" s="170" t="str">
        <f ca="1">IFERROR(AVERAGEIF('PMO REAL'!$F$12:$US$12,'PMO PREV'!AH$63,'PMO REAL'!$F40:$US40),"")</f>
        <v/>
      </c>
      <c r="AI89" s="170" t="str">
        <f ca="1">IFERROR(AVERAGEIF('PMO REAL'!$F$12:$US$12,'PMO PREV'!AI$63,'PMO REAL'!$F40:$US40),"")</f>
        <v/>
      </c>
      <c r="AJ89" s="170" t="str">
        <f ca="1">IFERROR(AVERAGEIF('PMO REAL'!$F$12:$US$12,'PMO PREV'!AJ$63,'PMO REAL'!$F40:$US40),"")</f>
        <v/>
      </c>
      <c r="AK89" s="170" t="str">
        <f ca="1">IFERROR(AVERAGEIF('PMO REAL'!$F$12:$US$12,'PMO PREV'!AK$63,'PMO REAL'!$F40:$US40),"")</f>
        <v/>
      </c>
      <c r="AL89" s="170" t="str">
        <f ca="1">IFERROR(AVERAGEIF('PMO REAL'!$F$12:$US$12,'PMO PREV'!AL$63,'PMO REAL'!$F40:$US40),"")</f>
        <v/>
      </c>
      <c r="AM89" s="170" t="str">
        <f ca="1">IFERROR(AVERAGEIF('PMO REAL'!$F$12:$US$12,'PMO PREV'!AM$63,'PMO REAL'!$F40:$US40),"")</f>
        <v/>
      </c>
      <c r="AN89" s="170" t="str">
        <f ca="1">IFERROR(AVERAGEIF('PMO REAL'!$F$12:$US$12,'PMO PREV'!AN$63,'PMO REAL'!$F40:$US40),"")</f>
        <v/>
      </c>
      <c r="AO89" s="170" t="str">
        <f ca="1">IFERROR(AVERAGEIF('PMO REAL'!$F$12:$US$12,'PMO PREV'!AO$63,'PMO REAL'!$F40:$US40),"")</f>
        <v/>
      </c>
      <c r="AP89" s="170" t="str">
        <f ca="1">IFERROR(AVERAGEIF('PMO REAL'!$F$12:$US$12,'PMO PREV'!AP$63,'PMO REAL'!$F40:$US40),"")</f>
        <v/>
      </c>
      <c r="AQ89" s="170" t="str">
        <f ca="1">IFERROR(AVERAGEIF('PMO REAL'!$F$12:$US$12,'PMO PREV'!AQ$63,'PMO REAL'!$F40:$US40),"")</f>
        <v/>
      </c>
      <c r="AR89" s="170" t="str">
        <f ca="1">IFERROR(AVERAGEIF('PMO REAL'!$F$12:$US$12,'PMO PREV'!AR$63,'PMO REAL'!$F40:$US40),"")</f>
        <v/>
      </c>
      <c r="AS89" s="170" t="str">
        <f ca="1">IFERROR(AVERAGEIF('PMO REAL'!$F$12:$US$12,'PMO PREV'!AS$63,'PMO REAL'!$F40:$US40),"")</f>
        <v/>
      </c>
      <c r="AT89" s="170" t="str">
        <f ca="1">IFERROR(AVERAGEIF('PMO REAL'!$F$12:$US$12,'PMO PREV'!AT$63,'PMO REAL'!$F40:$US40),"")</f>
        <v/>
      </c>
      <c r="AU89" s="170" t="str">
        <f ca="1">IFERROR(AVERAGEIF('PMO REAL'!$F$12:$US$12,'PMO PREV'!AU$63,'PMO REAL'!$F40:$US40),"")</f>
        <v/>
      </c>
      <c r="AV89" s="170" t="str">
        <f ca="1">IFERROR(AVERAGEIF('PMO REAL'!$F$12:$US$12,'PMO PREV'!AV$63,'PMO REAL'!$F40:$US40),"")</f>
        <v/>
      </c>
      <c r="AW89" s="170" t="str">
        <f ca="1">IFERROR(AVERAGEIF('PMO REAL'!$F$12:$US$12,'PMO PREV'!AW$63,'PMO REAL'!$F40:$US40),"")</f>
        <v/>
      </c>
      <c r="AX89" s="170" t="str">
        <f ca="1">IFERROR(AVERAGEIF('PMO REAL'!$F$12:$US$12,'PMO PREV'!AX$63,'PMO REAL'!$F40:$US40),"")</f>
        <v/>
      </c>
      <c r="AY89" s="170" t="str">
        <f ca="1">IFERROR(AVERAGEIF('PMO REAL'!$F$12:$US$12,'PMO PREV'!AY$63,'PMO REAL'!$F40:$US40),"")</f>
        <v/>
      </c>
      <c r="AZ89" s="170" t="str">
        <f ca="1">IFERROR(AVERAGEIF('PMO REAL'!$F$12:$US$12,'PMO PREV'!AZ$63,'PMO REAL'!$F40:$US40),"")</f>
        <v/>
      </c>
      <c r="BA89" s="170" t="str">
        <f ca="1">IFERROR(AVERAGEIF('PMO REAL'!$F$12:$US$12,'PMO PREV'!BA$63,'PMO REAL'!$F40:$US40),"")</f>
        <v/>
      </c>
      <c r="BB89" s="170" t="str">
        <f ca="1">IFERROR(AVERAGEIF('PMO REAL'!$F$12:$US$12,'PMO PREV'!BB$63,'PMO REAL'!$F40:$US40),"")</f>
        <v/>
      </c>
      <c r="BC89" s="170" t="str">
        <f ca="1">IFERROR(AVERAGEIF('PMO REAL'!$F$12:$US$12,'PMO PREV'!BC$63,'PMO REAL'!$F40:$US40),"")</f>
        <v/>
      </c>
      <c r="BD89" s="170" t="str">
        <f ca="1">IFERROR(AVERAGEIF('PMO REAL'!$F$12:$US$12,'PMO PREV'!BD$63,'PMO REAL'!$F40:$US40),"")</f>
        <v/>
      </c>
      <c r="BE89" s="170" t="str">
        <f ca="1">IFERROR(AVERAGEIF('PMO REAL'!$F$12:$US$12,'PMO PREV'!BE$63,'PMO REAL'!$F40:$US40),"")</f>
        <v/>
      </c>
      <c r="BF89" s="170" t="str">
        <f ca="1">IFERROR(AVERAGEIF('PMO REAL'!$F$12:$US$12,'PMO PREV'!BF$63,'PMO REAL'!$F40:$US40),"")</f>
        <v/>
      </c>
      <c r="BG89" s="170" t="str">
        <f ca="1">IFERROR(AVERAGEIF('PMO REAL'!$F$12:$US$12,'PMO PREV'!BG$63,'PMO REAL'!$F40:$US40),"")</f>
        <v/>
      </c>
      <c r="BH89" s="170" t="str">
        <f ca="1">IFERROR(AVERAGEIF('PMO REAL'!$F$12:$US$12,'PMO PREV'!BH$63,'PMO REAL'!$F40:$US40),"")</f>
        <v/>
      </c>
      <c r="BI89" s="170" t="str">
        <f ca="1">IFERROR(AVERAGEIF('PMO REAL'!$F$12:$US$12,'PMO PREV'!BI$63,'PMO REAL'!$F40:$US40),"")</f>
        <v/>
      </c>
      <c r="BJ89" s="170" t="str">
        <f ca="1">IFERROR(AVERAGEIF('PMO REAL'!$F$12:$US$12,'PMO PREV'!BJ$63,'PMO REAL'!$F40:$US40),"")</f>
        <v/>
      </c>
      <c r="BK89" s="170" t="str">
        <f ca="1">IFERROR(AVERAGEIF('PMO REAL'!$F$12:$US$12,'PMO PREV'!BK$63,'PMO REAL'!$F40:$US40),"")</f>
        <v/>
      </c>
      <c r="BL89" s="170" t="str">
        <f ca="1">IFERROR(AVERAGEIF('PMO REAL'!$F$12:$US$12,'PMO PREV'!BL$63,'PMO REAL'!$F40:$US40),"")</f>
        <v/>
      </c>
      <c r="BM89" s="170" t="str">
        <f ca="1">IFERROR(AVERAGEIF('PMO REAL'!$F$12:$US$12,'PMO PREV'!BM$63,'PMO REAL'!$F40:$US40),"")</f>
        <v/>
      </c>
      <c r="BN89" s="170" t="str">
        <f ca="1">IFERROR(AVERAGEIF('PMO REAL'!$F$12:$US$12,'PMO PREV'!BN$63,'PMO REAL'!$F40:$US40),"")</f>
        <v/>
      </c>
      <c r="BO89" s="170" t="str">
        <f ca="1">IFERROR(AVERAGEIF('PMO REAL'!$F$12:$US$12,'PMO PREV'!BO$63,'PMO REAL'!$F40:$US40),"")</f>
        <v/>
      </c>
      <c r="BP89" s="170" t="str">
        <f ca="1">IFERROR(AVERAGEIF('PMO REAL'!$F$12:$US$12,'PMO PREV'!BP$63,'PMO REAL'!$F40:$US40),"")</f>
        <v/>
      </c>
      <c r="BQ89" s="170" t="str">
        <f ca="1">IFERROR(AVERAGEIF('PMO REAL'!$F$12:$US$12,'PMO PREV'!BQ$63,'PMO REAL'!$F40:$US40),"")</f>
        <v/>
      </c>
      <c r="BR89" s="170" t="str">
        <f ca="1">IFERROR(AVERAGEIF('PMO REAL'!$F$12:$US$12,'PMO PREV'!BR$63,'PMO REAL'!$F40:$US40),"")</f>
        <v/>
      </c>
      <c r="BS89" s="170" t="str">
        <f ca="1">IFERROR(AVERAGEIF('PMO REAL'!$F$12:$US$12,'PMO PREV'!BS$63,'PMO REAL'!$F40:$US40),"")</f>
        <v/>
      </c>
      <c r="BT89" s="170" t="str">
        <f ca="1">IFERROR(AVERAGEIF('PMO REAL'!$F$12:$US$12,'PMO PREV'!BT$63,'PMO REAL'!$F40:$US40),"")</f>
        <v/>
      </c>
      <c r="BU89" s="170" t="str">
        <f ca="1">IFERROR(AVERAGEIF('PMO REAL'!$F$12:$US$12,'PMO PREV'!BU$63,'PMO REAL'!$F40:$US40),"")</f>
        <v/>
      </c>
      <c r="BV89" s="170" t="str">
        <f ca="1">IFERROR(AVERAGEIF('PMO REAL'!$F$12:$US$12,'PMO PREV'!BV$63,'PMO REAL'!$F40:$US40),"")</f>
        <v/>
      </c>
      <c r="BW89" s="170" t="str">
        <f ca="1">IFERROR(AVERAGEIF('PMO REAL'!$F$12:$US$12,'PMO PREV'!BW$63,'PMO REAL'!$F40:$US40),"")</f>
        <v/>
      </c>
      <c r="BX89" s="170" t="str">
        <f ca="1">IFERROR(AVERAGEIF('PMO REAL'!$F$12:$US$12,'PMO PREV'!BX$63,'PMO REAL'!$F40:$US40),"")</f>
        <v/>
      </c>
      <c r="BY89" s="170" t="str">
        <f ca="1">IFERROR(AVERAGEIF('PMO REAL'!$F$12:$US$12,'PMO PREV'!BY$63,'PMO REAL'!$F40:$US40),"")</f>
        <v/>
      </c>
      <c r="BZ89" s="170" t="str">
        <f ca="1">IFERROR(AVERAGEIF('PMO REAL'!$F$12:$US$12,'PMO PREV'!BZ$63,'PMO REAL'!$F40:$US40),"")</f>
        <v/>
      </c>
      <c r="CA89" s="170" t="str">
        <f ca="1">IFERROR(AVERAGEIF('PMO REAL'!$F$12:$US$12,'PMO PREV'!CA$63,'PMO REAL'!$F40:$US40),"")</f>
        <v/>
      </c>
      <c r="CB89" s="170" t="str">
        <f ca="1">IFERROR(AVERAGEIF('PMO REAL'!$F$12:$US$12,'PMO PREV'!CB$63,'PMO REAL'!$F40:$US40),"")</f>
        <v/>
      </c>
      <c r="CC89" s="170" t="str">
        <f ca="1">IFERROR(AVERAGEIF('PMO REAL'!$F$12:$US$12,'PMO PREV'!CC$63,'PMO REAL'!$F40:$US40),"")</f>
        <v/>
      </c>
      <c r="CD89" s="170" t="str">
        <f ca="1">IFERROR(AVERAGEIF('PMO REAL'!$F$12:$US$12,'PMO PREV'!CD$63,'PMO REAL'!$F40:$US40),"")</f>
        <v/>
      </c>
      <c r="CE89" s="170" t="str">
        <f ca="1">IFERROR(AVERAGEIF('PMO REAL'!$F$12:$US$12,'PMO PREV'!CE$63,'PMO REAL'!$F40:$US40),"")</f>
        <v/>
      </c>
      <c r="CF89" s="170" t="str">
        <f ca="1">IFERROR(AVERAGEIF('PMO REAL'!$F$12:$US$12,'PMO PREV'!CF$63,'PMO REAL'!$F40:$US40),"")</f>
        <v/>
      </c>
      <c r="CG89" s="170" t="str">
        <f ca="1">IFERROR(AVERAGEIF('PMO REAL'!$F$12:$US$12,'PMO PREV'!CG$63,'PMO REAL'!$F40:$US40),"")</f>
        <v/>
      </c>
      <c r="CH89" s="120"/>
      <c r="CI89" s="121"/>
      <c r="CJ89" s="92"/>
      <c r="CK89" s="92"/>
      <c r="CL89" s="92"/>
      <c r="CM89" s="92"/>
      <c r="CN89" s="92"/>
      <c r="CO89" s="92"/>
    </row>
    <row r="90" spans="2:93" ht="15.75" customHeight="1" x14ac:dyDescent="0.3">
      <c r="B90" s="169" t="s">
        <v>53</v>
      </c>
      <c r="C90" s="171"/>
      <c r="D90" s="152" t="str">
        <f t="shared" ca="1" si="18"/>
        <v/>
      </c>
      <c r="E90" s="159" t="str">
        <f t="shared" ca="1" si="19"/>
        <v/>
      </c>
      <c r="F90" s="155" t="str">
        <f ca="1">IFERROR(AVERAGEIF('PMO REAL'!$F$12:$US$12,'PMO PREV'!F$63,'PMO REAL'!$F41:$US41),"")</f>
        <v/>
      </c>
      <c r="G90" s="170" t="str">
        <f ca="1">IFERROR(AVERAGEIF('PMO REAL'!$F$12:$US$12,'PMO PREV'!G$63,'PMO REAL'!$F41:$US41),"")</f>
        <v/>
      </c>
      <c r="H90" s="170" t="str">
        <f ca="1">IFERROR(AVERAGEIF('PMO REAL'!$F$12:$US$12,'PMO PREV'!H$63,'PMO REAL'!$F41:$US41),"")</f>
        <v/>
      </c>
      <c r="I90" s="170" t="str">
        <f ca="1">IFERROR(AVERAGEIF('PMO REAL'!$F$12:$US$12,'PMO PREV'!I$63,'PMO REAL'!$F41:$US41),"")</f>
        <v/>
      </c>
      <c r="J90" s="170" t="str">
        <f ca="1">IFERROR(AVERAGEIF('PMO REAL'!$F$12:$US$12,'PMO PREV'!J$63,'PMO REAL'!$F41:$US41),"")</f>
        <v/>
      </c>
      <c r="K90" s="170" t="str">
        <f ca="1">IFERROR(AVERAGEIF('PMO REAL'!$F$12:$US$12,'PMO PREV'!K$63,'PMO REAL'!$F41:$US41),"")</f>
        <v/>
      </c>
      <c r="L90" s="170" t="str">
        <f ca="1">IFERROR(AVERAGEIF('PMO REAL'!$F$12:$US$12,'PMO PREV'!L$63,'PMO REAL'!$F41:$US41),"")</f>
        <v/>
      </c>
      <c r="M90" s="170" t="str">
        <f ca="1">IFERROR(AVERAGEIF('PMO REAL'!$F$12:$US$12,'PMO PREV'!M$63,'PMO REAL'!$F41:$US41),"")</f>
        <v/>
      </c>
      <c r="N90" s="170" t="str">
        <f ca="1">IFERROR(AVERAGEIF('PMO REAL'!$F$12:$US$12,'PMO PREV'!N$63,'PMO REAL'!$F41:$US41),"")</f>
        <v/>
      </c>
      <c r="O90" s="170" t="str">
        <f ca="1">IFERROR(AVERAGEIF('PMO REAL'!$F$12:$US$12,'PMO PREV'!O$63,'PMO REAL'!$F41:$US41),"")</f>
        <v/>
      </c>
      <c r="P90" s="170" t="str">
        <f ca="1">IFERROR(AVERAGEIF('PMO REAL'!$F$12:$US$12,'PMO PREV'!P$63,'PMO REAL'!$F41:$US41),"")</f>
        <v/>
      </c>
      <c r="Q90" s="170" t="str">
        <f ca="1">IFERROR(AVERAGEIF('PMO REAL'!$F$12:$US$12,'PMO PREV'!Q$63,'PMO REAL'!$F41:$US41),"")</f>
        <v/>
      </c>
      <c r="R90" s="170" t="str">
        <f ca="1">IFERROR(AVERAGEIF('PMO REAL'!$F$12:$US$12,'PMO PREV'!R$63,'PMO REAL'!$F41:$US41),"")</f>
        <v/>
      </c>
      <c r="S90" s="170" t="str">
        <f ca="1">IFERROR(AVERAGEIF('PMO REAL'!$F$12:$US$12,'PMO PREV'!S$63,'PMO REAL'!$F41:$US41),"")</f>
        <v/>
      </c>
      <c r="T90" s="170" t="str">
        <f ca="1">IFERROR(AVERAGEIF('PMO REAL'!$F$12:$US$12,'PMO PREV'!T$63,'PMO REAL'!$F41:$US41),"")</f>
        <v/>
      </c>
      <c r="U90" s="170" t="str">
        <f ca="1">IFERROR(AVERAGEIF('PMO REAL'!$F$12:$US$12,'PMO PREV'!U$63,'PMO REAL'!$F41:$US41),"")</f>
        <v/>
      </c>
      <c r="V90" s="170" t="str">
        <f ca="1">IFERROR(AVERAGEIF('PMO REAL'!$F$12:$US$12,'PMO PREV'!V$63,'PMO REAL'!$F41:$US41),"")</f>
        <v/>
      </c>
      <c r="W90" s="170" t="str">
        <f ca="1">IFERROR(AVERAGEIF('PMO REAL'!$F$12:$US$12,'PMO PREV'!W$63,'PMO REAL'!$F41:$US41),"")</f>
        <v/>
      </c>
      <c r="X90" s="170" t="str">
        <f ca="1">IFERROR(AVERAGEIF('PMO REAL'!$F$12:$US$12,'PMO PREV'!X$63,'PMO REAL'!$F41:$US41),"")</f>
        <v/>
      </c>
      <c r="Y90" s="170" t="str">
        <f ca="1">IFERROR(AVERAGEIF('PMO REAL'!$F$12:$US$12,'PMO PREV'!Y$63,'PMO REAL'!$F41:$US41),"")</f>
        <v/>
      </c>
      <c r="Z90" s="170" t="str">
        <f ca="1">IFERROR(AVERAGEIF('PMO REAL'!$F$12:$US$12,'PMO PREV'!Z$63,'PMO REAL'!$F41:$US41),"")</f>
        <v/>
      </c>
      <c r="AA90" s="170" t="str">
        <f ca="1">IFERROR(AVERAGEIF('PMO REAL'!$F$12:$US$12,'PMO PREV'!AA$63,'PMO REAL'!$F41:$US41),"")</f>
        <v/>
      </c>
      <c r="AB90" s="170" t="str">
        <f ca="1">IFERROR(AVERAGEIF('PMO REAL'!$F$12:$US$12,'PMO PREV'!AB$63,'PMO REAL'!$F41:$US41),"")</f>
        <v/>
      </c>
      <c r="AC90" s="170" t="str">
        <f ca="1">IFERROR(AVERAGEIF('PMO REAL'!$F$12:$US$12,'PMO PREV'!AC$63,'PMO REAL'!$F41:$US41),"")</f>
        <v/>
      </c>
      <c r="AD90" s="170" t="str">
        <f ca="1">IFERROR(AVERAGEIF('PMO REAL'!$F$12:$US$12,'PMO PREV'!AD$63,'PMO REAL'!$F41:$US41),"")</f>
        <v/>
      </c>
      <c r="AE90" s="170" t="str">
        <f ca="1">IFERROR(AVERAGEIF('PMO REAL'!$F$12:$US$12,'PMO PREV'!AE$63,'PMO REAL'!$F41:$US41),"")</f>
        <v/>
      </c>
      <c r="AF90" s="170" t="str">
        <f ca="1">IFERROR(AVERAGEIF('PMO REAL'!$F$12:$US$12,'PMO PREV'!AF$63,'PMO REAL'!$F41:$US41),"")</f>
        <v/>
      </c>
      <c r="AG90" s="170" t="str">
        <f ca="1">IFERROR(AVERAGEIF('PMO REAL'!$F$12:$US$12,'PMO PREV'!AG$63,'PMO REAL'!$F41:$US41),"")</f>
        <v/>
      </c>
      <c r="AH90" s="170" t="str">
        <f ca="1">IFERROR(AVERAGEIF('PMO REAL'!$F$12:$US$12,'PMO PREV'!AH$63,'PMO REAL'!$F41:$US41),"")</f>
        <v/>
      </c>
      <c r="AI90" s="170" t="str">
        <f ca="1">IFERROR(AVERAGEIF('PMO REAL'!$F$12:$US$12,'PMO PREV'!AI$63,'PMO REAL'!$F41:$US41),"")</f>
        <v/>
      </c>
      <c r="AJ90" s="170" t="str">
        <f ca="1">IFERROR(AVERAGEIF('PMO REAL'!$F$12:$US$12,'PMO PREV'!AJ$63,'PMO REAL'!$F41:$US41),"")</f>
        <v/>
      </c>
      <c r="AK90" s="170" t="str">
        <f ca="1">IFERROR(AVERAGEIF('PMO REAL'!$F$12:$US$12,'PMO PREV'!AK$63,'PMO REAL'!$F41:$US41),"")</f>
        <v/>
      </c>
      <c r="AL90" s="170" t="str">
        <f ca="1">IFERROR(AVERAGEIF('PMO REAL'!$F$12:$US$12,'PMO PREV'!AL$63,'PMO REAL'!$F41:$US41),"")</f>
        <v/>
      </c>
      <c r="AM90" s="170" t="str">
        <f ca="1">IFERROR(AVERAGEIF('PMO REAL'!$F$12:$US$12,'PMO PREV'!AM$63,'PMO REAL'!$F41:$US41),"")</f>
        <v/>
      </c>
      <c r="AN90" s="170" t="str">
        <f ca="1">IFERROR(AVERAGEIF('PMO REAL'!$F$12:$US$12,'PMO PREV'!AN$63,'PMO REAL'!$F41:$US41),"")</f>
        <v/>
      </c>
      <c r="AO90" s="170" t="str">
        <f ca="1">IFERROR(AVERAGEIF('PMO REAL'!$F$12:$US$12,'PMO PREV'!AO$63,'PMO REAL'!$F41:$US41),"")</f>
        <v/>
      </c>
      <c r="AP90" s="170" t="str">
        <f ca="1">IFERROR(AVERAGEIF('PMO REAL'!$F$12:$US$12,'PMO PREV'!AP$63,'PMO REAL'!$F41:$US41),"")</f>
        <v/>
      </c>
      <c r="AQ90" s="170" t="str">
        <f ca="1">IFERROR(AVERAGEIF('PMO REAL'!$F$12:$US$12,'PMO PREV'!AQ$63,'PMO REAL'!$F41:$US41),"")</f>
        <v/>
      </c>
      <c r="AR90" s="170" t="str">
        <f ca="1">IFERROR(AVERAGEIF('PMO REAL'!$F$12:$US$12,'PMO PREV'!AR$63,'PMO REAL'!$F41:$US41),"")</f>
        <v/>
      </c>
      <c r="AS90" s="170" t="str">
        <f ca="1">IFERROR(AVERAGEIF('PMO REAL'!$F$12:$US$12,'PMO PREV'!AS$63,'PMO REAL'!$F41:$US41),"")</f>
        <v/>
      </c>
      <c r="AT90" s="170" t="str">
        <f ca="1">IFERROR(AVERAGEIF('PMO REAL'!$F$12:$US$12,'PMO PREV'!AT$63,'PMO REAL'!$F41:$US41),"")</f>
        <v/>
      </c>
      <c r="AU90" s="170" t="str">
        <f ca="1">IFERROR(AVERAGEIF('PMO REAL'!$F$12:$US$12,'PMO PREV'!AU$63,'PMO REAL'!$F41:$US41),"")</f>
        <v/>
      </c>
      <c r="AV90" s="170" t="str">
        <f ca="1">IFERROR(AVERAGEIF('PMO REAL'!$F$12:$US$12,'PMO PREV'!AV$63,'PMO REAL'!$F41:$US41),"")</f>
        <v/>
      </c>
      <c r="AW90" s="170" t="str">
        <f ca="1">IFERROR(AVERAGEIF('PMO REAL'!$F$12:$US$12,'PMO PREV'!AW$63,'PMO REAL'!$F41:$US41),"")</f>
        <v/>
      </c>
      <c r="AX90" s="170" t="str">
        <f ca="1">IFERROR(AVERAGEIF('PMO REAL'!$F$12:$US$12,'PMO PREV'!AX$63,'PMO REAL'!$F41:$US41),"")</f>
        <v/>
      </c>
      <c r="AY90" s="170" t="str">
        <f ca="1">IFERROR(AVERAGEIF('PMO REAL'!$F$12:$US$12,'PMO PREV'!AY$63,'PMO REAL'!$F41:$US41),"")</f>
        <v/>
      </c>
      <c r="AZ90" s="170" t="str">
        <f ca="1">IFERROR(AVERAGEIF('PMO REAL'!$F$12:$US$12,'PMO PREV'!AZ$63,'PMO REAL'!$F41:$US41),"")</f>
        <v/>
      </c>
      <c r="BA90" s="170" t="str">
        <f ca="1">IFERROR(AVERAGEIF('PMO REAL'!$F$12:$US$12,'PMO PREV'!BA$63,'PMO REAL'!$F41:$US41),"")</f>
        <v/>
      </c>
      <c r="BB90" s="170" t="str">
        <f ca="1">IFERROR(AVERAGEIF('PMO REAL'!$F$12:$US$12,'PMO PREV'!BB$63,'PMO REAL'!$F41:$US41),"")</f>
        <v/>
      </c>
      <c r="BC90" s="170" t="str">
        <f ca="1">IFERROR(AVERAGEIF('PMO REAL'!$F$12:$US$12,'PMO PREV'!BC$63,'PMO REAL'!$F41:$US41),"")</f>
        <v/>
      </c>
      <c r="BD90" s="170" t="str">
        <f ca="1">IFERROR(AVERAGEIF('PMO REAL'!$F$12:$US$12,'PMO PREV'!BD$63,'PMO REAL'!$F41:$US41),"")</f>
        <v/>
      </c>
      <c r="BE90" s="170" t="str">
        <f ca="1">IFERROR(AVERAGEIF('PMO REAL'!$F$12:$US$12,'PMO PREV'!BE$63,'PMO REAL'!$F41:$US41),"")</f>
        <v/>
      </c>
      <c r="BF90" s="170" t="str">
        <f ca="1">IFERROR(AVERAGEIF('PMO REAL'!$F$12:$US$12,'PMO PREV'!BF$63,'PMO REAL'!$F41:$US41),"")</f>
        <v/>
      </c>
      <c r="BG90" s="170" t="str">
        <f ca="1">IFERROR(AVERAGEIF('PMO REAL'!$F$12:$US$12,'PMO PREV'!BG$63,'PMO REAL'!$F41:$US41),"")</f>
        <v/>
      </c>
      <c r="BH90" s="170" t="str">
        <f ca="1">IFERROR(AVERAGEIF('PMO REAL'!$F$12:$US$12,'PMO PREV'!BH$63,'PMO REAL'!$F41:$US41),"")</f>
        <v/>
      </c>
      <c r="BI90" s="170" t="str">
        <f ca="1">IFERROR(AVERAGEIF('PMO REAL'!$F$12:$US$12,'PMO PREV'!BI$63,'PMO REAL'!$F41:$US41),"")</f>
        <v/>
      </c>
      <c r="BJ90" s="170" t="str">
        <f ca="1">IFERROR(AVERAGEIF('PMO REAL'!$F$12:$US$12,'PMO PREV'!BJ$63,'PMO REAL'!$F41:$US41),"")</f>
        <v/>
      </c>
      <c r="BK90" s="170" t="str">
        <f ca="1">IFERROR(AVERAGEIF('PMO REAL'!$F$12:$US$12,'PMO PREV'!BK$63,'PMO REAL'!$F41:$US41),"")</f>
        <v/>
      </c>
      <c r="BL90" s="170" t="str">
        <f ca="1">IFERROR(AVERAGEIF('PMO REAL'!$F$12:$US$12,'PMO PREV'!BL$63,'PMO REAL'!$F41:$US41),"")</f>
        <v/>
      </c>
      <c r="BM90" s="170" t="str">
        <f ca="1">IFERROR(AVERAGEIF('PMO REAL'!$F$12:$US$12,'PMO PREV'!BM$63,'PMO REAL'!$F41:$US41),"")</f>
        <v/>
      </c>
      <c r="BN90" s="170" t="str">
        <f ca="1">IFERROR(AVERAGEIF('PMO REAL'!$F$12:$US$12,'PMO PREV'!BN$63,'PMO REAL'!$F41:$US41),"")</f>
        <v/>
      </c>
      <c r="BO90" s="170" t="str">
        <f ca="1">IFERROR(AVERAGEIF('PMO REAL'!$F$12:$US$12,'PMO PREV'!BO$63,'PMO REAL'!$F41:$US41),"")</f>
        <v/>
      </c>
      <c r="BP90" s="170" t="str">
        <f ca="1">IFERROR(AVERAGEIF('PMO REAL'!$F$12:$US$12,'PMO PREV'!BP$63,'PMO REAL'!$F41:$US41),"")</f>
        <v/>
      </c>
      <c r="BQ90" s="170" t="str">
        <f ca="1">IFERROR(AVERAGEIF('PMO REAL'!$F$12:$US$12,'PMO PREV'!BQ$63,'PMO REAL'!$F41:$US41),"")</f>
        <v/>
      </c>
      <c r="BR90" s="170" t="str">
        <f ca="1">IFERROR(AVERAGEIF('PMO REAL'!$F$12:$US$12,'PMO PREV'!BR$63,'PMO REAL'!$F41:$US41),"")</f>
        <v/>
      </c>
      <c r="BS90" s="170" t="str">
        <f ca="1">IFERROR(AVERAGEIF('PMO REAL'!$F$12:$US$12,'PMO PREV'!BS$63,'PMO REAL'!$F41:$US41),"")</f>
        <v/>
      </c>
      <c r="BT90" s="170" t="str">
        <f ca="1">IFERROR(AVERAGEIF('PMO REAL'!$F$12:$US$12,'PMO PREV'!BT$63,'PMO REAL'!$F41:$US41),"")</f>
        <v/>
      </c>
      <c r="BU90" s="170" t="str">
        <f ca="1">IFERROR(AVERAGEIF('PMO REAL'!$F$12:$US$12,'PMO PREV'!BU$63,'PMO REAL'!$F41:$US41),"")</f>
        <v/>
      </c>
      <c r="BV90" s="170" t="str">
        <f ca="1">IFERROR(AVERAGEIF('PMO REAL'!$F$12:$US$12,'PMO PREV'!BV$63,'PMO REAL'!$F41:$US41),"")</f>
        <v/>
      </c>
      <c r="BW90" s="170" t="str">
        <f ca="1">IFERROR(AVERAGEIF('PMO REAL'!$F$12:$US$12,'PMO PREV'!BW$63,'PMO REAL'!$F41:$US41),"")</f>
        <v/>
      </c>
      <c r="BX90" s="170" t="str">
        <f ca="1">IFERROR(AVERAGEIF('PMO REAL'!$F$12:$US$12,'PMO PREV'!BX$63,'PMO REAL'!$F41:$US41),"")</f>
        <v/>
      </c>
      <c r="BY90" s="170" t="str">
        <f ca="1">IFERROR(AVERAGEIF('PMO REAL'!$F$12:$US$12,'PMO PREV'!BY$63,'PMO REAL'!$F41:$US41),"")</f>
        <v/>
      </c>
      <c r="BZ90" s="170" t="str">
        <f ca="1">IFERROR(AVERAGEIF('PMO REAL'!$F$12:$US$12,'PMO PREV'!BZ$63,'PMO REAL'!$F41:$US41),"")</f>
        <v/>
      </c>
      <c r="CA90" s="170" t="str">
        <f ca="1">IFERROR(AVERAGEIF('PMO REAL'!$F$12:$US$12,'PMO PREV'!CA$63,'PMO REAL'!$F41:$US41),"")</f>
        <v/>
      </c>
      <c r="CB90" s="170" t="str">
        <f ca="1">IFERROR(AVERAGEIF('PMO REAL'!$F$12:$US$12,'PMO PREV'!CB$63,'PMO REAL'!$F41:$US41),"")</f>
        <v/>
      </c>
      <c r="CC90" s="170" t="str">
        <f ca="1">IFERROR(AVERAGEIF('PMO REAL'!$F$12:$US$12,'PMO PREV'!CC$63,'PMO REAL'!$F41:$US41),"")</f>
        <v/>
      </c>
      <c r="CD90" s="170" t="str">
        <f ca="1">IFERROR(AVERAGEIF('PMO REAL'!$F$12:$US$12,'PMO PREV'!CD$63,'PMO REAL'!$F41:$US41),"")</f>
        <v/>
      </c>
      <c r="CE90" s="170" t="str">
        <f ca="1">IFERROR(AVERAGEIF('PMO REAL'!$F$12:$US$12,'PMO PREV'!CE$63,'PMO REAL'!$F41:$US41),"")</f>
        <v/>
      </c>
      <c r="CF90" s="170" t="str">
        <f ca="1">IFERROR(AVERAGEIF('PMO REAL'!$F$12:$US$12,'PMO PREV'!CF$63,'PMO REAL'!$F41:$US41),"")</f>
        <v/>
      </c>
      <c r="CG90" s="170" t="str">
        <f ca="1">IFERROR(AVERAGEIF('PMO REAL'!$F$12:$US$12,'PMO PREV'!CG$63,'PMO REAL'!$F41:$US41),"")</f>
        <v/>
      </c>
      <c r="CH90" s="120"/>
      <c r="CI90" s="121"/>
      <c r="CJ90" s="92"/>
      <c r="CK90" s="92"/>
      <c r="CL90" s="92"/>
      <c r="CM90" s="92"/>
      <c r="CN90" s="92"/>
      <c r="CO90" s="92"/>
    </row>
    <row r="91" spans="2:93" ht="15.75" customHeight="1" x14ac:dyDescent="0.3">
      <c r="B91" s="169" t="s">
        <v>52</v>
      </c>
      <c r="C91" s="171"/>
      <c r="D91" s="152" t="str">
        <f t="shared" ca="1" si="18"/>
        <v/>
      </c>
      <c r="E91" s="159" t="str">
        <f t="shared" ca="1" si="19"/>
        <v/>
      </c>
      <c r="F91" s="155" t="str">
        <f ca="1">IFERROR(AVERAGEIF('PMO REAL'!$F$12:$US$12,'PMO PREV'!F$63,'PMO REAL'!$F42:$US42),"")</f>
        <v/>
      </c>
      <c r="G91" s="170" t="str">
        <f ca="1">IFERROR(AVERAGEIF('PMO REAL'!$F$12:$US$12,'PMO PREV'!G$63,'PMO REAL'!$F42:$US42),"")</f>
        <v/>
      </c>
      <c r="H91" s="170" t="str">
        <f ca="1">IFERROR(AVERAGEIF('PMO REAL'!$F$12:$US$12,'PMO PREV'!H$63,'PMO REAL'!$F42:$US42),"")</f>
        <v/>
      </c>
      <c r="I91" s="170" t="str">
        <f ca="1">IFERROR(AVERAGEIF('PMO REAL'!$F$12:$US$12,'PMO PREV'!I$63,'PMO REAL'!$F42:$US42),"")</f>
        <v/>
      </c>
      <c r="J91" s="170" t="str">
        <f ca="1">IFERROR(AVERAGEIF('PMO REAL'!$F$12:$US$12,'PMO PREV'!J$63,'PMO REAL'!$F42:$US42),"")</f>
        <v/>
      </c>
      <c r="K91" s="170" t="str">
        <f ca="1">IFERROR(AVERAGEIF('PMO REAL'!$F$12:$US$12,'PMO PREV'!K$63,'PMO REAL'!$F42:$US42),"")</f>
        <v/>
      </c>
      <c r="L91" s="170" t="str">
        <f ca="1">IFERROR(AVERAGEIF('PMO REAL'!$F$12:$US$12,'PMO PREV'!L$63,'PMO REAL'!$F42:$US42),"")</f>
        <v/>
      </c>
      <c r="M91" s="170" t="str">
        <f ca="1">IFERROR(AVERAGEIF('PMO REAL'!$F$12:$US$12,'PMO PREV'!M$63,'PMO REAL'!$F42:$US42),"")</f>
        <v/>
      </c>
      <c r="N91" s="170" t="str">
        <f ca="1">IFERROR(AVERAGEIF('PMO REAL'!$F$12:$US$12,'PMO PREV'!N$63,'PMO REAL'!$F42:$US42),"")</f>
        <v/>
      </c>
      <c r="O91" s="170" t="str">
        <f ca="1">IFERROR(AVERAGEIF('PMO REAL'!$F$12:$US$12,'PMO PREV'!O$63,'PMO REAL'!$F42:$US42),"")</f>
        <v/>
      </c>
      <c r="P91" s="170" t="str">
        <f ca="1">IFERROR(AVERAGEIF('PMO REAL'!$F$12:$US$12,'PMO PREV'!P$63,'PMO REAL'!$F42:$US42),"")</f>
        <v/>
      </c>
      <c r="Q91" s="170" t="str">
        <f ca="1">IFERROR(AVERAGEIF('PMO REAL'!$F$12:$US$12,'PMO PREV'!Q$63,'PMO REAL'!$F42:$US42),"")</f>
        <v/>
      </c>
      <c r="R91" s="170" t="str">
        <f ca="1">IFERROR(AVERAGEIF('PMO REAL'!$F$12:$US$12,'PMO PREV'!R$63,'PMO REAL'!$F42:$US42),"")</f>
        <v/>
      </c>
      <c r="S91" s="170" t="str">
        <f ca="1">IFERROR(AVERAGEIF('PMO REAL'!$F$12:$US$12,'PMO PREV'!S$63,'PMO REAL'!$F42:$US42),"")</f>
        <v/>
      </c>
      <c r="T91" s="170" t="str">
        <f ca="1">IFERROR(AVERAGEIF('PMO REAL'!$F$12:$US$12,'PMO PREV'!T$63,'PMO REAL'!$F42:$US42),"")</f>
        <v/>
      </c>
      <c r="U91" s="170" t="str">
        <f ca="1">IFERROR(AVERAGEIF('PMO REAL'!$F$12:$US$12,'PMO PREV'!U$63,'PMO REAL'!$F42:$US42),"")</f>
        <v/>
      </c>
      <c r="V91" s="170" t="str">
        <f ca="1">IFERROR(AVERAGEIF('PMO REAL'!$F$12:$US$12,'PMO PREV'!V$63,'PMO REAL'!$F42:$US42),"")</f>
        <v/>
      </c>
      <c r="W91" s="170" t="str">
        <f ca="1">IFERROR(AVERAGEIF('PMO REAL'!$F$12:$US$12,'PMO PREV'!W$63,'PMO REAL'!$F42:$US42),"")</f>
        <v/>
      </c>
      <c r="X91" s="170" t="str">
        <f ca="1">IFERROR(AVERAGEIF('PMO REAL'!$F$12:$US$12,'PMO PREV'!X$63,'PMO REAL'!$F42:$US42),"")</f>
        <v/>
      </c>
      <c r="Y91" s="170" t="str">
        <f ca="1">IFERROR(AVERAGEIF('PMO REAL'!$F$12:$US$12,'PMO PREV'!Y$63,'PMO REAL'!$F42:$US42),"")</f>
        <v/>
      </c>
      <c r="Z91" s="170" t="str">
        <f ca="1">IFERROR(AVERAGEIF('PMO REAL'!$F$12:$US$12,'PMO PREV'!Z$63,'PMO REAL'!$F42:$US42),"")</f>
        <v/>
      </c>
      <c r="AA91" s="170" t="str">
        <f ca="1">IFERROR(AVERAGEIF('PMO REAL'!$F$12:$US$12,'PMO PREV'!AA$63,'PMO REAL'!$F42:$US42),"")</f>
        <v/>
      </c>
      <c r="AB91" s="170" t="str">
        <f ca="1">IFERROR(AVERAGEIF('PMO REAL'!$F$12:$US$12,'PMO PREV'!AB$63,'PMO REAL'!$F42:$US42),"")</f>
        <v/>
      </c>
      <c r="AC91" s="170" t="str">
        <f ca="1">IFERROR(AVERAGEIF('PMO REAL'!$F$12:$US$12,'PMO PREV'!AC$63,'PMO REAL'!$F42:$US42),"")</f>
        <v/>
      </c>
      <c r="AD91" s="170" t="str">
        <f ca="1">IFERROR(AVERAGEIF('PMO REAL'!$F$12:$US$12,'PMO PREV'!AD$63,'PMO REAL'!$F42:$US42),"")</f>
        <v/>
      </c>
      <c r="AE91" s="170" t="str">
        <f ca="1">IFERROR(AVERAGEIF('PMO REAL'!$F$12:$US$12,'PMO PREV'!AE$63,'PMO REAL'!$F42:$US42),"")</f>
        <v/>
      </c>
      <c r="AF91" s="170" t="str">
        <f ca="1">IFERROR(AVERAGEIF('PMO REAL'!$F$12:$US$12,'PMO PREV'!AF$63,'PMO REAL'!$F42:$US42),"")</f>
        <v/>
      </c>
      <c r="AG91" s="170" t="str">
        <f ca="1">IFERROR(AVERAGEIF('PMO REAL'!$F$12:$US$12,'PMO PREV'!AG$63,'PMO REAL'!$F42:$US42),"")</f>
        <v/>
      </c>
      <c r="AH91" s="170" t="str">
        <f ca="1">IFERROR(AVERAGEIF('PMO REAL'!$F$12:$US$12,'PMO PREV'!AH$63,'PMO REAL'!$F42:$US42),"")</f>
        <v/>
      </c>
      <c r="AI91" s="170" t="str">
        <f ca="1">IFERROR(AVERAGEIF('PMO REAL'!$F$12:$US$12,'PMO PREV'!AI$63,'PMO REAL'!$F42:$US42),"")</f>
        <v/>
      </c>
      <c r="AJ91" s="170" t="str">
        <f ca="1">IFERROR(AVERAGEIF('PMO REAL'!$F$12:$US$12,'PMO PREV'!AJ$63,'PMO REAL'!$F42:$US42),"")</f>
        <v/>
      </c>
      <c r="AK91" s="170" t="str">
        <f ca="1">IFERROR(AVERAGEIF('PMO REAL'!$F$12:$US$12,'PMO PREV'!AK$63,'PMO REAL'!$F42:$US42),"")</f>
        <v/>
      </c>
      <c r="AL91" s="170" t="str">
        <f ca="1">IFERROR(AVERAGEIF('PMO REAL'!$F$12:$US$12,'PMO PREV'!AL$63,'PMO REAL'!$F42:$US42),"")</f>
        <v/>
      </c>
      <c r="AM91" s="170" t="str">
        <f ca="1">IFERROR(AVERAGEIF('PMO REAL'!$F$12:$US$12,'PMO PREV'!AM$63,'PMO REAL'!$F42:$US42),"")</f>
        <v/>
      </c>
      <c r="AN91" s="170" t="str">
        <f ca="1">IFERROR(AVERAGEIF('PMO REAL'!$F$12:$US$12,'PMO PREV'!AN$63,'PMO REAL'!$F42:$US42),"")</f>
        <v/>
      </c>
      <c r="AO91" s="170" t="str">
        <f ca="1">IFERROR(AVERAGEIF('PMO REAL'!$F$12:$US$12,'PMO PREV'!AO$63,'PMO REAL'!$F42:$US42),"")</f>
        <v/>
      </c>
      <c r="AP91" s="170" t="str">
        <f ca="1">IFERROR(AVERAGEIF('PMO REAL'!$F$12:$US$12,'PMO PREV'!AP$63,'PMO REAL'!$F42:$US42),"")</f>
        <v/>
      </c>
      <c r="AQ91" s="170" t="str">
        <f ca="1">IFERROR(AVERAGEIF('PMO REAL'!$F$12:$US$12,'PMO PREV'!AQ$63,'PMO REAL'!$F42:$US42),"")</f>
        <v/>
      </c>
      <c r="AR91" s="170" t="str">
        <f ca="1">IFERROR(AVERAGEIF('PMO REAL'!$F$12:$US$12,'PMO PREV'!AR$63,'PMO REAL'!$F42:$US42),"")</f>
        <v/>
      </c>
      <c r="AS91" s="170" t="str">
        <f ca="1">IFERROR(AVERAGEIF('PMO REAL'!$F$12:$US$12,'PMO PREV'!AS$63,'PMO REAL'!$F42:$US42),"")</f>
        <v/>
      </c>
      <c r="AT91" s="170" t="str">
        <f ca="1">IFERROR(AVERAGEIF('PMO REAL'!$F$12:$US$12,'PMO PREV'!AT$63,'PMO REAL'!$F42:$US42),"")</f>
        <v/>
      </c>
      <c r="AU91" s="170" t="str">
        <f ca="1">IFERROR(AVERAGEIF('PMO REAL'!$F$12:$US$12,'PMO PREV'!AU$63,'PMO REAL'!$F42:$US42),"")</f>
        <v/>
      </c>
      <c r="AV91" s="170" t="str">
        <f ca="1">IFERROR(AVERAGEIF('PMO REAL'!$F$12:$US$12,'PMO PREV'!AV$63,'PMO REAL'!$F42:$US42),"")</f>
        <v/>
      </c>
      <c r="AW91" s="170" t="str">
        <f ca="1">IFERROR(AVERAGEIF('PMO REAL'!$F$12:$US$12,'PMO PREV'!AW$63,'PMO REAL'!$F42:$US42),"")</f>
        <v/>
      </c>
      <c r="AX91" s="170" t="str">
        <f ca="1">IFERROR(AVERAGEIF('PMO REAL'!$F$12:$US$12,'PMO PREV'!AX$63,'PMO REAL'!$F42:$US42),"")</f>
        <v/>
      </c>
      <c r="AY91" s="170" t="str">
        <f ca="1">IFERROR(AVERAGEIF('PMO REAL'!$F$12:$US$12,'PMO PREV'!AY$63,'PMO REAL'!$F42:$US42),"")</f>
        <v/>
      </c>
      <c r="AZ91" s="170" t="str">
        <f ca="1">IFERROR(AVERAGEIF('PMO REAL'!$F$12:$US$12,'PMO PREV'!AZ$63,'PMO REAL'!$F42:$US42),"")</f>
        <v/>
      </c>
      <c r="BA91" s="170" t="str">
        <f ca="1">IFERROR(AVERAGEIF('PMO REAL'!$F$12:$US$12,'PMO PREV'!BA$63,'PMO REAL'!$F42:$US42),"")</f>
        <v/>
      </c>
      <c r="BB91" s="170" t="str">
        <f ca="1">IFERROR(AVERAGEIF('PMO REAL'!$F$12:$US$12,'PMO PREV'!BB$63,'PMO REAL'!$F42:$US42),"")</f>
        <v/>
      </c>
      <c r="BC91" s="170" t="str">
        <f ca="1">IFERROR(AVERAGEIF('PMO REAL'!$F$12:$US$12,'PMO PREV'!BC$63,'PMO REAL'!$F42:$US42),"")</f>
        <v/>
      </c>
      <c r="BD91" s="170" t="str">
        <f ca="1">IFERROR(AVERAGEIF('PMO REAL'!$F$12:$US$12,'PMO PREV'!BD$63,'PMO REAL'!$F42:$US42),"")</f>
        <v/>
      </c>
      <c r="BE91" s="170" t="str">
        <f ca="1">IFERROR(AVERAGEIF('PMO REAL'!$F$12:$US$12,'PMO PREV'!BE$63,'PMO REAL'!$F42:$US42),"")</f>
        <v/>
      </c>
      <c r="BF91" s="170" t="str">
        <f ca="1">IFERROR(AVERAGEIF('PMO REAL'!$F$12:$US$12,'PMO PREV'!BF$63,'PMO REAL'!$F42:$US42),"")</f>
        <v/>
      </c>
      <c r="BG91" s="170" t="str">
        <f ca="1">IFERROR(AVERAGEIF('PMO REAL'!$F$12:$US$12,'PMO PREV'!BG$63,'PMO REAL'!$F42:$US42),"")</f>
        <v/>
      </c>
      <c r="BH91" s="170" t="str">
        <f ca="1">IFERROR(AVERAGEIF('PMO REAL'!$F$12:$US$12,'PMO PREV'!BH$63,'PMO REAL'!$F42:$US42),"")</f>
        <v/>
      </c>
      <c r="BI91" s="170" t="str">
        <f ca="1">IFERROR(AVERAGEIF('PMO REAL'!$F$12:$US$12,'PMO PREV'!BI$63,'PMO REAL'!$F42:$US42),"")</f>
        <v/>
      </c>
      <c r="BJ91" s="170" t="str">
        <f ca="1">IFERROR(AVERAGEIF('PMO REAL'!$F$12:$US$12,'PMO PREV'!BJ$63,'PMO REAL'!$F42:$US42),"")</f>
        <v/>
      </c>
      <c r="BK91" s="170" t="str">
        <f ca="1">IFERROR(AVERAGEIF('PMO REAL'!$F$12:$US$12,'PMO PREV'!BK$63,'PMO REAL'!$F42:$US42),"")</f>
        <v/>
      </c>
      <c r="BL91" s="170" t="str">
        <f ca="1">IFERROR(AVERAGEIF('PMO REAL'!$F$12:$US$12,'PMO PREV'!BL$63,'PMO REAL'!$F42:$US42),"")</f>
        <v/>
      </c>
      <c r="BM91" s="170" t="str">
        <f ca="1">IFERROR(AVERAGEIF('PMO REAL'!$F$12:$US$12,'PMO PREV'!BM$63,'PMO REAL'!$F42:$US42),"")</f>
        <v/>
      </c>
      <c r="BN91" s="170" t="str">
        <f ca="1">IFERROR(AVERAGEIF('PMO REAL'!$F$12:$US$12,'PMO PREV'!BN$63,'PMO REAL'!$F42:$US42),"")</f>
        <v/>
      </c>
      <c r="BO91" s="170" t="str">
        <f ca="1">IFERROR(AVERAGEIF('PMO REAL'!$F$12:$US$12,'PMO PREV'!BO$63,'PMO REAL'!$F42:$US42),"")</f>
        <v/>
      </c>
      <c r="BP91" s="170" t="str">
        <f ca="1">IFERROR(AVERAGEIF('PMO REAL'!$F$12:$US$12,'PMO PREV'!BP$63,'PMO REAL'!$F42:$US42),"")</f>
        <v/>
      </c>
      <c r="BQ91" s="170" t="str">
        <f ca="1">IFERROR(AVERAGEIF('PMO REAL'!$F$12:$US$12,'PMO PREV'!BQ$63,'PMO REAL'!$F42:$US42),"")</f>
        <v/>
      </c>
      <c r="BR91" s="170" t="str">
        <f ca="1">IFERROR(AVERAGEIF('PMO REAL'!$F$12:$US$12,'PMO PREV'!BR$63,'PMO REAL'!$F42:$US42),"")</f>
        <v/>
      </c>
      <c r="BS91" s="170" t="str">
        <f ca="1">IFERROR(AVERAGEIF('PMO REAL'!$F$12:$US$12,'PMO PREV'!BS$63,'PMO REAL'!$F42:$US42),"")</f>
        <v/>
      </c>
      <c r="BT91" s="170" t="str">
        <f ca="1">IFERROR(AVERAGEIF('PMO REAL'!$F$12:$US$12,'PMO PREV'!BT$63,'PMO REAL'!$F42:$US42),"")</f>
        <v/>
      </c>
      <c r="BU91" s="170" t="str">
        <f ca="1">IFERROR(AVERAGEIF('PMO REAL'!$F$12:$US$12,'PMO PREV'!BU$63,'PMO REAL'!$F42:$US42),"")</f>
        <v/>
      </c>
      <c r="BV91" s="170" t="str">
        <f ca="1">IFERROR(AVERAGEIF('PMO REAL'!$F$12:$US$12,'PMO PREV'!BV$63,'PMO REAL'!$F42:$US42),"")</f>
        <v/>
      </c>
      <c r="BW91" s="170" t="str">
        <f ca="1">IFERROR(AVERAGEIF('PMO REAL'!$F$12:$US$12,'PMO PREV'!BW$63,'PMO REAL'!$F42:$US42),"")</f>
        <v/>
      </c>
      <c r="BX91" s="170" t="str">
        <f ca="1">IFERROR(AVERAGEIF('PMO REAL'!$F$12:$US$12,'PMO PREV'!BX$63,'PMO REAL'!$F42:$US42),"")</f>
        <v/>
      </c>
      <c r="BY91" s="170" t="str">
        <f ca="1">IFERROR(AVERAGEIF('PMO REAL'!$F$12:$US$12,'PMO PREV'!BY$63,'PMO REAL'!$F42:$US42),"")</f>
        <v/>
      </c>
      <c r="BZ91" s="170" t="str">
        <f ca="1">IFERROR(AVERAGEIF('PMO REAL'!$F$12:$US$12,'PMO PREV'!BZ$63,'PMO REAL'!$F42:$US42),"")</f>
        <v/>
      </c>
      <c r="CA91" s="170" t="str">
        <f ca="1">IFERROR(AVERAGEIF('PMO REAL'!$F$12:$US$12,'PMO PREV'!CA$63,'PMO REAL'!$F42:$US42),"")</f>
        <v/>
      </c>
      <c r="CB91" s="170" t="str">
        <f ca="1">IFERROR(AVERAGEIF('PMO REAL'!$F$12:$US$12,'PMO PREV'!CB$63,'PMO REAL'!$F42:$US42),"")</f>
        <v/>
      </c>
      <c r="CC91" s="170" t="str">
        <f ca="1">IFERROR(AVERAGEIF('PMO REAL'!$F$12:$US$12,'PMO PREV'!CC$63,'PMO REAL'!$F42:$US42),"")</f>
        <v/>
      </c>
      <c r="CD91" s="170" t="str">
        <f ca="1">IFERROR(AVERAGEIF('PMO REAL'!$F$12:$US$12,'PMO PREV'!CD$63,'PMO REAL'!$F42:$US42),"")</f>
        <v/>
      </c>
      <c r="CE91" s="170" t="str">
        <f ca="1">IFERROR(AVERAGEIF('PMO REAL'!$F$12:$US$12,'PMO PREV'!CE$63,'PMO REAL'!$F42:$US42),"")</f>
        <v/>
      </c>
      <c r="CF91" s="170" t="str">
        <f ca="1">IFERROR(AVERAGEIF('PMO REAL'!$F$12:$US$12,'PMO PREV'!CF$63,'PMO REAL'!$F42:$US42),"")</f>
        <v/>
      </c>
      <c r="CG91" s="170" t="str">
        <f ca="1">IFERROR(AVERAGEIF('PMO REAL'!$F$12:$US$12,'PMO PREV'!CG$63,'PMO REAL'!$F42:$US42),"")</f>
        <v/>
      </c>
      <c r="CH91" s="120"/>
      <c r="CI91" s="121"/>
      <c r="CJ91" s="92"/>
      <c r="CK91" s="92"/>
      <c r="CL91" s="92"/>
      <c r="CM91" s="92"/>
      <c r="CN91" s="92"/>
      <c r="CO91" s="92"/>
    </row>
    <row r="92" spans="2:93" ht="15.75" customHeight="1" x14ac:dyDescent="0.3">
      <c r="B92" s="169" t="s">
        <v>51</v>
      </c>
      <c r="C92" s="171"/>
      <c r="D92" s="152" t="str">
        <f t="shared" ca="1" si="18"/>
        <v/>
      </c>
      <c r="E92" s="159" t="str">
        <f t="shared" ca="1" si="19"/>
        <v/>
      </c>
      <c r="F92" s="155" t="str">
        <f ca="1">IFERROR(AVERAGEIF('PMO REAL'!$F$12:$US$12,'PMO PREV'!F$63,'PMO REAL'!$F43:$US43),"")</f>
        <v/>
      </c>
      <c r="G92" s="170" t="str">
        <f ca="1">IFERROR(AVERAGEIF('PMO REAL'!$F$12:$US$12,'PMO PREV'!G$63,'PMO REAL'!$F43:$US43),"")</f>
        <v/>
      </c>
      <c r="H92" s="170" t="str">
        <f ca="1">IFERROR(AVERAGEIF('PMO REAL'!$F$12:$US$12,'PMO PREV'!H$63,'PMO REAL'!$F43:$US43),"")</f>
        <v/>
      </c>
      <c r="I92" s="170" t="str">
        <f ca="1">IFERROR(AVERAGEIF('PMO REAL'!$F$12:$US$12,'PMO PREV'!I$63,'PMO REAL'!$F43:$US43),"")</f>
        <v/>
      </c>
      <c r="J92" s="170" t="str">
        <f ca="1">IFERROR(AVERAGEIF('PMO REAL'!$F$12:$US$12,'PMO PREV'!J$63,'PMO REAL'!$F43:$US43),"")</f>
        <v/>
      </c>
      <c r="K92" s="170" t="str">
        <f ca="1">IFERROR(AVERAGEIF('PMO REAL'!$F$12:$US$12,'PMO PREV'!K$63,'PMO REAL'!$F43:$US43),"")</f>
        <v/>
      </c>
      <c r="L92" s="170" t="str">
        <f ca="1">IFERROR(AVERAGEIF('PMO REAL'!$F$12:$US$12,'PMO PREV'!L$63,'PMO REAL'!$F43:$US43),"")</f>
        <v/>
      </c>
      <c r="M92" s="170" t="str">
        <f ca="1">IFERROR(AVERAGEIF('PMO REAL'!$F$12:$US$12,'PMO PREV'!M$63,'PMO REAL'!$F43:$US43),"")</f>
        <v/>
      </c>
      <c r="N92" s="170" t="str">
        <f ca="1">IFERROR(AVERAGEIF('PMO REAL'!$F$12:$US$12,'PMO PREV'!N$63,'PMO REAL'!$F43:$US43),"")</f>
        <v/>
      </c>
      <c r="O92" s="170" t="str">
        <f ca="1">IFERROR(AVERAGEIF('PMO REAL'!$F$12:$US$12,'PMO PREV'!O$63,'PMO REAL'!$F43:$US43),"")</f>
        <v/>
      </c>
      <c r="P92" s="170" t="str">
        <f ca="1">IFERROR(AVERAGEIF('PMO REAL'!$F$12:$US$12,'PMO PREV'!P$63,'PMO REAL'!$F43:$US43),"")</f>
        <v/>
      </c>
      <c r="Q92" s="170" t="str">
        <f ca="1">IFERROR(AVERAGEIF('PMO REAL'!$F$12:$US$12,'PMO PREV'!Q$63,'PMO REAL'!$F43:$US43),"")</f>
        <v/>
      </c>
      <c r="R92" s="170" t="str">
        <f ca="1">IFERROR(AVERAGEIF('PMO REAL'!$F$12:$US$12,'PMO PREV'!R$63,'PMO REAL'!$F43:$US43),"")</f>
        <v/>
      </c>
      <c r="S92" s="170" t="str">
        <f ca="1">IFERROR(AVERAGEIF('PMO REAL'!$F$12:$US$12,'PMO PREV'!S$63,'PMO REAL'!$F43:$US43),"")</f>
        <v/>
      </c>
      <c r="T92" s="170" t="str">
        <f ca="1">IFERROR(AVERAGEIF('PMO REAL'!$F$12:$US$12,'PMO PREV'!T$63,'PMO REAL'!$F43:$US43),"")</f>
        <v/>
      </c>
      <c r="U92" s="170" t="str">
        <f ca="1">IFERROR(AVERAGEIF('PMO REAL'!$F$12:$US$12,'PMO PREV'!U$63,'PMO REAL'!$F43:$US43),"")</f>
        <v/>
      </c>
      <c r="V92" s="170" t="str">
        <f ca="1">IFERROR(AVERAGEIF('PMO REAL'!$F$12:$US$12,'PMO PREV'!V$63,'PMO REAL'!$F43:$US43),"")</f>
        <v/>
      </c>
      <c r="W92" s="170" t="str">
        <f ca="1">IFERROR(AVERAGEIF('PMO REAL'!$F$12:$US$12,'PMO PREV'!W$63,'PMO REAL'!$F43:$US43),"")</f>
        <v/>
      </c>
      <c r="X92" s="170" t="str">
        <f ca="1">IFERROR(AVERAGEIF('PMO REAL'!$F$12:$US$12,'PMO PREV'!X$63,'PMO REAL'!$F43:$US43),"")</f>
        <v/>
      </c>
      <c r="Y92" s="170" t="str">
        <f ca="1">IFERROR(AVERAGEIF('PMO REAL'!$F$12:$US$12,'PMO PREV'!Y$63,'PMO REAL'!$F43:$US43),"")</f>
        <v/>
      </c>
      <c r="Z92" s="170" t="str">
        <f ca="1">IFERROR(AVERAGEIF('PMO REAL'!$F$12:$US$12,'PMO PREV'!Z$63,'PMO REAL'!$F43:$US43),"")</f>
        <v/>
      </c>
      <c r="AA92" s="170" t="str">
        <f ca="1">IFERROR(AVERAGEIF('PMO REAL'!$F$12:$US$12,'PMO PREV'!AA$63,'PMO REAL'!$F43:$US43),"")</f>
        <v/>
      </c>
      <c r="AB92" s="170" t="str">
        <f ca="1">IFERROR(AVERAGEIF('PMO REAL'!$F$12:$US$12,'PMO PREV'!AB$63,'PMO REAL'!$F43:$US43),"")</f>
        <v/>
      </c>
      <c r="AC92" s="170" t="str">
        <f ca="1">IFERROR(AVERAGEIF('PMO REAL'!$F$12:$US$12,'PMO PREV'!AC$63,'PMO REAL'!$F43:$US43),"")</f>
        <v/>
      </c>
      <c r="AD92" s="170" t="str">
        <f ca="1">IFERROR(AVERAGEIF('PMO REAL'!$F$12:$US$12,'PMO PREV'!AD$63,'PMO REAL'!$F43:$US43),"")</f>
        <v/>
      </c>
      <c r="AE92" s="170" t="str">
        <f ca="1">IFERROR(AVERAGEIF('PMO REAL'!$F$12:$US$12,'PMO PREV'!AE$63,'PMO REAL'!$F43:$US43),"")</f>
        <v/>
      </c>
      <c r="AF92" s="170" t="str">
        <f ca="1">IFERROR(AVERAGEIF('PMO REAL'!$F$12:$US$12,'PMO PREV'!AF$63,'PMO REAL'!$F43:$US43),"")</f>
        <v/>
      </c>
      <c r="AG92" s="170" t="str">
        <f ca="1">IFERROR(AVERAGEIF('PMO REAL'!$F$12:$US$12,'PMO PREV'!AG$63,'PMO REAL'!$F43:$US43),"")</f>
        <v/>
      </c>
      <c r="AH92" s="170" t="str">
        <f ca="1">IFERROR(AVERAGEIF('PMO REAL'!$F$12:$US$12,'PMO PREV'!AH$63,'PMO REAL'!$F43:$US43),"")</f>
        <v/>
      </c>
      <c r="AI92" s="170" t="str">
        <f ca="1">IFERROR(AVERAGEIF('PMO REAL'!$F$12:$US$12,'PMO PREV'!AI$63,'PMO REAL'!$F43:$US43),"")</f>
        <v/>
      </c>
      <c r="AJ92" s="170" t="str">
        <f ca="1">IFERROR(AVERAGEIF('PMO REAL'!$F$12:$US$12,'PMO PREV'!AJ$63,'PMO REAL'!$F43:$US43),"")</f>
        <v/>
      </c>
      <c r="AK92" s="170" t="str">
        <f ca="1">IFERROR(AVERAGEIF('PMO REAL'!$F$12:$US$12,'PMO PREV'!AK$63,'PMO REAL'!$F43:$US43),"")</f>
        <v/>
      </c>
      <c r="AL92" s="170" t="str">
        <f ca="1">IFERROR(AVERAGEIF('PMO REAL'!$F$12:$US$12,'PMO PREV'!AL$63,'PMO REAL'!$F43:$US43),"")</f>
        <v/>
      </c>
      <c r="AM92" s="170" t="str">
        <f ca="1">IFERROR(AVERAGEIF('PMO REAL'!$F$12:$US$12,'PMO PREV'!AM$63,'PMO REAL'!$F43:$US43),"")</f>
        <v/>
      </c>
      <c r="AN92" s="170" t="str">
        <f ca="1">IFERROR(AVERAGEIF('PMO REAL'!$F$12:$US$12,'PMO PREV'!AN$63,'PMO REAL'!$F43:$US43),"")</f>
        <v/>
      </c>
      <c r="AO92" s="170" t="str">
        <f ca="1">IFERROR(AVERAGEIF('PMO REAL'!$F$12:$US$12,'PMO PREV'!AO$63,'PMO REAL'!$F43:$US43),"")</f>
        <v/>
      </c>
      <c r="AP92" s="170" t="str">
        <f ca="1">IFERROR(AVERAGEIF('PMO REAL'!$F$12:$US$12,'PMO PREV'!AP$63,'PMO REAL'!$F43:$US43),"")</f>
        <v/>
      </c>
      <c r="AQ92" s="170" t="str">
        <f ca="1">IFERROR(AVERAGEIF('PMO REAL'!$F$12:$US$12,'PMO PREV'!AQ$63,'PMO REAL'!$F43:$US43),"")</f>
        <v/>
      </c>
      <c r="AR92" s="170" t="str">
        <f ca="1">IFERROR(AVERAGEIF('PMO REAL'!$F$12:$US$12,'PMO PREV'!AR$63,'PMO REAL'!$F43:$US43),"")</f>
        <v/>
      </c>
      <c r="AS92" s="170" t="str">
        <f ca="1">IFERROR(AVERAGEIF('PMO REAL'!$F$12:$US$12,'PMO PREV'!AS$63,'PMO REAL'!$F43:$US43),"")</f>
        <v/>
      </c>
      <c r="AT92" s="170" t="str">
        <f ca="1">IFERROR(AVERAGEIF('PMO REAL'!$F$12:$US$12,'PMO PREV'!AT$63,'PMO REAL'!$F43:$US43),"")</f>
        <v/>
      </c>
      <c r="AU92" s="170" t="str">
        <f ca="1">IFERROR(AVERAGEIF('PMO REAL'!$F$12:$US$12,'PMO PREV'!AU$63,'PMO REAL'!$F43:$US43),"")</f>
        <v/>
      </c>
      <c r="AV92" s="170" t="str">
        <f ca="1">IFERROR(AVERAGEIF('PMO REAL'!$F$12:$US$12,'PMO PREV'!AV$63,'PMO REAL'!$F43:$US43),"")</f>
        <v/>
      </c>
      <c r="AW92" s="170" t="str">
        <f ca="1">IFERROR(AVERAGEIF('PMO REAL'!$F$12:$US$12,'PMO PREV'!AW$63,'PMO REAL'!$F43:$US43),"")</f>
        <v/>
      </c>
      <c r="AX92" s="170" t="str">
        <f ca="1">IFERROR(AVERAGEIF('PMO REAL'!$F$12:$US$12,'PMO PREV'!AX$63,'PMO REAL'!$F43:$US43),"")</f>
        <v/>
      </c>
      <c r="AY92" s="170" t="str">
        <f ca="1">IFERROR(AVERAGEIF('PMO REAL'!$F$12:$US$12,'PMO PREV'!AY$63,'PMO REAL'!$F43:$US43),"")</f>
        <v/>
      </c>
      <c r="AZ92" s="170" t="str">
        <f ca="1">IFERROR(AVERAGEIF('PMO REAL'!$F$12:$US$12,'PMO PREV'!AZ$63,'PMO REAL'!$F43:$US43),"")</f>
        <v/>
      </c>
      <c r="BA92" s="170" t="str">
        <f ca="1">IFERROR(AVERAGEIF('PMO REAL'!$F$12:$US$12,'PMO PREV'!BA$63,'PMO REAL'!$F43:$US43),"")</f>
        <v/>
      </c>
      <c r="BB92" s="170" t="str">
        <f ca="1">IFERROR(AVERAGEIF('PMO REAL'!$F$12:$US$12,'PMO PREV'!BB$63,'PMO REAL'!$F43:$US43),"")</f>
        <v/>
      </c>
      <c r="BC92" s="170" t="str">
        <f ca="1">IFERROR(AVERAGEIF('PMO REAL'!$F$12:$US$12,'PMO PREV'!BC$63,'PMO REAL'!$F43:$US43),"")</f>
        <v/>
      </c>
      <c r="BD92" s="170" t="str">
        <f ca="1">IFERROR(AVERAGEIF('PMO REAL'!$F$12:$US$12,'PMO PREV'!BD$63,'PMO REAL'!$F43:$US43),"")</f>
        <v/>
      </c>
      <c r="BE92" s="170" t="str">
        <f ca="1">IFERROR(AVERAGEIF('PMO REAL'!$F$12:$US$12,'PMO PREV'!BE$63,'PMO REAL'!$F43:$US43),"")</f>
        <v/>
      </c>
      <c r="BF92" s="170" t="str">
        <f ca="1">IFERROR(AVERAGEIF('PMO REAL'!$F$12:$US$12,'PMO PREV'!BF$63,'PMO REAL'!$F43:$US43),"")</f>
        <v/>
      </c>
      <c r="BG92" s="170" t="str">
        <f ca="1">IFERROR(AVERAGEIF('PMO REAL'!$F$12:$US$12,'PMO PREV'!BG$63,'PMO REAL'!$F43:$US43),"")</f>
        <v/>
      </c>
      <c r="BH92" s="170" t="str">
        <f ca="1">IFERROR(AVERAGEIF('PMO REAL'!$F$12:$US$12,'PMO PREV'!BH$63,'PMO REAL'!$F43:$US43),"")</f>
        <v/>
      </c>
      <c r="BI92" s="170" t="str">
        <f ca="1">IFERROR(AVERAGEIF('PMO REAL'!$F$12:$US$12,'PMO PREV'!BI$63,'PMO REAL'!$F43:$US43),"")</f>
        <v/>
      </c>
      <c r="BJ92" s="170" t="str">
        <f ca="1">IFERROR(AVERAGEIF('PMO REAL'!$F$12:$US$12,'PMO PREV'!BJ$63,'PMO REAL'!$F43:$US43),"")</f>
        <v/>
      </c>
      <c r="BK92" s="170" t="str">
        <f ca="1">IFERROR(AVERAGEIF('PMO REAL'!$F$12:$US$12,'PMO PREV'!BK$63,'PMO REAL'!$F43:$US43),"")</f>
        <v/>
      </c>
      <c r="BL92" s="170" t="str">
        <f ca="1">IFERROR(AVERAGEIF('PMO REAL'!$F$12:$US$12,'PMO PREV'!BL$63,'PMO REAL'!$F43:$US43),"")</f>
        <v/>
      </c>
      <c r="BM92" s="170" t="str">
        <f ca="1">IFERROR(AVERAGEIF('PMO REAL'!$F$12:$US$12,'PMO PREV'!BM$63,'PMO REAL'!$F43:$US43),"")</f>
        <v/>
      </c>
      <c r="BN92" s="170" t="str">
        <f ca="1">IFERROR(AVERAGEIF('PMO REAL'!$F$12:$US$12,'PMO PREV'!BN$63,'PMO REAL'!$F43:$US43),"")</f>
        <v/>
      </c>
      <c r="BO92" s="170" t="str">
        <f ca="1">IFERROR(AVERAGEIF('PMO REAL'!$F$12:$US$12,'PMO PREV'!BO$63,'PMO REAL'!$F43:$US43),"")</f>
        <v/>
      </c>
      <c r="BP92" s="170" t="str">
        <f ca="1">IFERROR(AVERAGEIF('PMO REAL'!$F$12:$US$12,'PMO PREV'!BP$63,'PMO REAL'!$F43:$US43),"")</f>
        <v/>
      </c>
      <c r="BQ92" s="170" t="str">
        <f ca="1">IFERROR(AVERAGEIF('PMO REAL'!$F$12:$US$12,'PMO PREV'!BQ$63,'PMO REAL'!$F43:$US43),"")</f>
        <v/>
      </c>
      <c r="BR92" s="170" t="str">
        <f ca="1">IFERROR(AVERAGEIF('PMO REAL'!$F$12:$US$12,'PMO PREV'!BR$63,'PMO REAL'!$F43:$US43),"")</f>
        <v/>
      </c>
      <c r="BS92" s="170" t="str">
        <f ca="1">IFERROR(AVERAGEIF('PMO REAL'!$F$12:$US$12,'PMO PREV'!BS$63,'PMO REAL'!$F43:$US43),"")</f>
        <v/>
      </c>
      <c r="BT92" s="170" t="str">
        <f ca="1">IFERROR(AVERAGEIF('PMO REAL'!$F$12:$US$12,'PMO PREV'!BT$63,'PMO REAL'!$F43:$US43),"")</f>
        <v/>
      </c>
      <c r="BU92" s="170" t="str">
        <f ca="1">IFERROR(AVERAGEIF('PMO REAL'!$F$12:$US$12,'PMO PREV'!BU$63,'PMO REAL'!$F43:$US43),"")</f>
        <v/>
      </c>
      <c r="BV92" s="170" t="str">
        <f ca="1">IFERROR(AVERAGEIF('PMO REAL'!$F$12:$US$12,'PMO PREV'!BV$63,'PMO REAL'!$F43:$US43),"")</f>
        <v/>
      </c>
      <c r="BW92" s="170" t="str">
        <f ca="1">IFERROR(AVERAGEIF('PMO REAL'!$F$12:$US$12,'PMO PREV'!BW$63,'PMO REAL'!$F43:$US43),"")</f>
        <v/>
      </c>
      <c r="BX92" s="170" t="str">
        <f ca="1">IFERROR(AVERAGEIF('PMO REAL'!$F$12:$US$12,'PMO PREV'!BX$63,'PMO REAL'!$F43:$US43),"")</f>
        <v/>
      </c>
      <c r="BY92" s="170" t="str">
        <f ca="1">IFERROR(AVERAGEIF('PMO REAL'!$F$12:$US$12,'PMO PREV'!BY$63,'PMO REAL'!$F43:$US43),"")</f>
        <v/>
      </c>
      <c r="BZ92" s="170" t="str">
        <f ca="1">IFERROR(AVERAGEIF('PMO REAL'!$F$12:$US$12,'PMO PREV'!BZ$63,'PMO REAL'!$F43:$US43),"")</f>
        <v/>
      </c>
      <c r="CA92" s="170" t="str">
        <f ca="1">IFERROR(AVERAGEIF('PMO REAL'!$F$12:$US$12,'PMO PREV'!CA$63,'PMO REAL'!$F43:$US43),"")</f>
        <v/>
      </c>
      <c r="CB92" s="170" t="str">
        <f ca="1">IFERROR(AVERAGEIF('PMO REAL'!$F$12:$US$12,'PMO PREV'!CB$63,'PMO REAL'!$F43:$US43),"")</f>
        <v/>
      </c>
      <c r="CC92" s="170" t="str">
        <f ca="1">IFERROR(AVERAGEIF('PMO REAL'!$F$12:$US$12,'PMO PREV'!CC$63,'PMO REAL'!$F43:$US43),"")</f>
        <v/>
      </c>
      <c r="CD92" s="170" t="str">
        <f ca="1">IFERROR(AVERAGEIF('PMO REAL'!$F$12:$US$12,'PMO PREV'!CD$63,'PMO REAL'!$F43:$US43),"")</f>
        <v/>
      </c>
      <c r="CE92" s="170" t="str">
        <f ca="1">IFERROR(AVERAGEIF('PMO REAL'!$F$12:$US$12,'PMO PREV'!CE$63,'PMO REAL'!$F43:$US43),"")</f>
        <v/>
      </c>
      <c r="CF92" s="170" t="str">
        <f ca="1">IFERROR(AVERAGEIF('PMO REAL'!$F$12:$US$12,'PMO PREV'!CF$63,'PMO REAL'!$F43:$US43),"")</f>
        <v/>
      </c>
      <c r="CG92" s="170" t="str">
        <f ca="1">IFERROR(AVERAGEIF('PMO REAL'!$F$12:$US$12,'PMO PREV'!CG$63,'PMO REAL'!$F43:$US43),"")</f>
        <v/>
      </c>
      <c r="CH92" s="120"/>
      <c r="CI92" s="121"/>
      <c r="CJ92" s="92"/>
      <c r="CK92" s="92"/>
      <c r="CL92" s="92"/>
      <c r="CM92" s="92"/>
      <c r="CN92" s="92"/>
      <c r="CO92" s="92"/>
    </row>
    <row r="93" spans="2:93" ht="15.75" customHeight="1" x14ac:dyDescent="0.3">
      <c r="B93" s="169" t="s">
        <v>50</v>
      </c>
      <c r="C93" s="171"/>
      <c r="D93" s="152" t="str">
        <f t="shared" ca="1" si="18"/>
        <v/>
      </c>
      <c r="E93" s="159" t="str">
        <f t="shared" ca="1" si="19"/>
        <v/>
      </c>
      <c r="F93" s="155" t="str">
        <f ca="1">IFERROR(AVERAGEIF('PMO REAL'!$F$12:$US$12,'PMO PREV'!F$63,'PMO REAL'!$F44:$US44),"")</f>
        <v/>
      </c>
      <c r="G93" s="170" t="str">
        <f ca="1">IFERROR(AVERAGEIF('PMO REAL'!$F$12:$US$12,'PMO PREV'!G$63,'PMO REAL'!$F44:$US44),"")</f>
        <v/>
      </c>
      <c r="H93" s="170" t="str">
        <f ca="1">IFERROR(AVERAGEIF('PMO REAL'!$F$12:$US$12,'PMO PREV'!H$63,'PMO REAL'!$F44:$US44),"")</f>
        <v/>
      </c>
      <c r="I93" s="170" t="str">
        <f ca="1">IFERROR(AVERAGEIF('PMO REAL'!$F$12:$US$12,'PMO PREV'!I$63,'PMO REAL'!$F44:$US44),"")</f>
        <v/>
      </c>
      <c r="J93" s="170" t="str">
        <f ca="1">IFERROR(AVERAGEIF('PMO REAL'!$F$12:$US$12,'PMO PREV'!J$63,'PMO REAL'!$F44:$US44),"")</f>
        <v/>
      </c>
      <c r="K93" s="170" t="str">
        <f ca="1">IFERROR(AVERAGEIF('PMO REAL'!$F$12:$US$12,'PMO PREV'!K$63,'PMO REAL'!$F44:$US44),"")</f>
        <v/>
      </c>
      <c r="L93" s="170" t="str">
        <f ca="1">IFERROR(AVERAGEIF('PMO REAL'!$F$12:$US$12,'PMO PREV'!L$63,'PMO REAL'!$F44:$US44),"")</f>
        <v/>
      </c>
      <c r="M93" s="170" t="str">
        <f ca="1">IFERROR(AVERAGEIF('PMO REAL'!$F$12:$US$12,'PMO PREV'!M$63,'PMO REAL'!$F44:$US44),"")</f>
        <v/>
      </c>
      <c r="N93" s="170" t="str">
        <f ca="1">IFERROR(AVERAGEIF('PMO REAL'!$F$12:$US$12,'PMO PREV'!N$63,'PMO REAL'!$F44:$US44),"")</f>
        <v/>
      </c>
      <c r="O93" s="170" t="str">
        <f ca="1">IFERROR(AVERAGEIF('PMO REAL'!$F$12:$US$12,'PMO PREV'!O$63,'PMO REAL'!$F44:$US44),"")</f>
        <v/>
      </c>
      <c r="P93" s="170" t="str">
        <f ca="1">IFERROR(AVERAGEIF('PMO REAL'!$F$12:$US$12,'PMO PREV'!P$63,'PMO REAL'!$F44:$US44),"")</f>
        <v/>
      </c>
      <c r="Q93" s="170" t="str">
        <f ca="1">IFERROR(AVERAGEIF('PMO REAL'!$F$12:$US$12,'PMO PREV'!Q$63,'PMO REAL'!$F44:$US44),"")</f>
        <v/>
      </c>
      <c r="R93" s="170" t="str">
        <f ca="1">IFERROR(AVERAGEIF('PMO REAL'!$F$12:$US$12,'PMO PREV'!R$63,'PMO REAL'!$F44:$US44),"")</f>
        <v/>
      </c>
      <c r="S93" s="170" t="str">
        <f ca="1">IFERROR(AVERAGEIF('PMO REAL'!$F$12:$US$12,'PMO PREV'!S$63,'PMO REAL'!$F44:$US44),"")</f>
        <v/>
      </c>
      <c r="T93" s="170" t="str">
        <f ca="1">IFERROR(AVERAGEIF('PMO REAL'!$F$12:$US$12,'PMO PREV'!T$63,'PMO REAL'!$F44:$US44),"")</f>
        <v/>
      </c>
      <c r="U93" s="170" t="str">
        <f ca="1">IFERROR(AVERAGEIF('PMO REAL'!$F$12:$US$12,'PMO PREV'!U$63,'PMO REAL'!$F44:$US44),"")</f>
        <v/>
      </c>
      <c r="V93" s="170" t="str">
        <f ca="1">IFERROR(AVERAGEIF('PMO REAL'!$F$12:$US$12,'PMO PREV'!V$63,'PMO REAL'!$F44:$US44),"")</f>
        <v/>
      </c>
      <c r="W93" s="170" t="str">
        <f ca="1">IFERROR(AVERAGEIF('PMO REAL'!$F$12:$US$12,'PMO PREV'!W$63,'PMO REAL'!$F44:$US44),"")</f>
        <v/>
      </c>
      <c r="X93" s="170" t="str">
        <f ca="1">IFERROR(AVERAGEIF('PMO REAL'!$F$12:$US$12,'PMO PREV'!X$63,'PMO REAL'!$F44:$US44),"")</f>
        <v/>
      </c>
      <c r="Y93" s="170" t="str">
        <f ca="1">IFERROR(AVERAGEIF('PMO REAL'!$F$12:$US$12,'PMO PREV'!Y$63,'PMO REAL'!$F44:$US44),"")</f>
        <v/>
      </c>
      <c r="Z93" s="170" t="str">
        <f ca="1">IFERROR(AVERAGEIF('PMO REAL'!$F$12:$US$12,'PMO PREV'!Z$63,'PMO REAL'!$F44:$US44),"")</f>
        <v/>
      </c>
      <c r="AA93" s="170" t="str">
        <f ca="1">IFERROR(AVERAGEIF('PMO REAL'!$F$12:$US$12,'PMO PREV'!AA$63,'PMO REAL'!$F44:$US44),"")</f>
        <v/>
      </c>
      <c r="AB93" s="170" t="str">
        <f ca="1">IFERROR(AVERAGEIF('PMO REAL'!$F$12:$US$12,'PMO PREV'!AB$63,'PMO REAL'!$F44:$US44),"")</f>
        <v/>
      </c>
      <c r="AC93" s="170" t="str">
        <f ca="1">IFERROR(AVERAGEIF('PMO REAL'!$F$12:$US$12,'PMO PREV'!AC$63,'PMO REAL'!$F44:$US44),"")</f>
        <v/>
      </c>
      <c r="AD93" s="170" t="str">
        <f ca="1">IFERROR(AVERAGEIF('PMO REAL'!$F$12:$US$12,'PMO PREV'!AD$63,'PMO REAL'!$F44:$US44),"")</f>
        <v/>
      </c>
      <c r="AE93" s="170" t="str">
        <f ca="1">IFERROR(AVERAGEIF('PMO REAL'!$F$12:$US$12,'PMO PREV'!AE$63,'PMO REAL'!$F44:$US44),"")</f>
        <v/>
      </c>
      <c r="AF93" s="170" t="str">
        <f ca="1">IFERROR(AVERAGEIF('PMO REAL'!$F$12:$US$12,'PMO PREV'!AF$63,'PMO REAL'!$F44:$US44),"")</f>
        <v/>
      </c>
      <c r="AG93" s="170" t="str">
        <f ca="1">IFERROR(AVERAGEIF('PMO REAL'!$F$12:$US$12,'PMO PREV'!AG$63,'PMO REAL'!$F44:$US44),"")</f>
        <v/>
      </c>
      <c r="AH93" s="170" t="str">
        <f ca="1">IFERROR(AVERAGEIF('PMO REAL'!$F$12:$US$12,'PMO PREV'!AH$63,'PMO REAL'!$F44:$US44),"")</f>
        <v/>
      </c>
      <c r="AI93" s="170" t="str">
        <f ca="1">IFERROR(AVERAGEIF('PMO REAL'!$F$12:$US$12,'PMO PREV'!AI$63,'PMO REAL'!$F44:$US44),"")</f>
        <v/>
      </c>
      <c r="AJ93" s="170" t="str">
        <f ca="1">IFERROR(AVERAGEIF('PMO REAL'!$F$12:$US$12,'PMO PREV'!AJ$63,'PMO REAL'!$F44:$US44),"")</f>
        <v/>
      </c>
      <c r="AK93" s="170" t="str">
        <f ca="1">IFERROR(AVERAGEIF('PMO REAL'!$F$12:$US$12,'PMO PREV'!AK$63,'PMO REAL'!$F44:$US44),"")</f>
        <v/>
      </c>
      <c r="AL93" s="170" t="str">
        <f ca="1">IFERROR(AVERAGEIF('PMO REAL'!$F$12:$US$12,'PMO PREV'!AL$63,'PMO REAL'!$F44:$US44),"")</f>
        <v/>
      </c>
      <c r="AM93" s="170" t="str">
        <f ca="1">IFERROR(AVERAGEIF('PMO REAL'!$F$12:$US$12,'PMO PREV'!AM$63,'PMO REAL'!$F44:$US44),"")</f>
        <v/>
      </c>
      <c r="AN93" s="170" t="str">
        <f ca="1">IFERROR(AVERAGEIF('PMO REAL'!$F$12:$US$12,'PMO PREV'!AN$63,'PMO REAL'!$F44:$US44),"")</f>
        <v/>
      </c>
      <c r="AO93" s="170" t="str">
        <f ca="1">IFERROR(AVERAGEIF('PMO REAL'!$F$12:$US$12,'PMO PREV'!AO$63,'PMO REAL'!$F44:$US44),"")</f>
        <v/>
      </c>
      <c r="AP93" s="170" t="str">
        <f ca="1">IFERROR(AVERAGEIF('PMO REAL'!$F$12:$US$12,'PMO PREV'!AP$63,'PMO REAL'!$F44:$US44),"")</f>
        <v/>
      </c>
      <c r="AQ93" s="170" t="str">
        <f ca="1">IFERROR(AVERAGEIF('PMO REAL'!$F$12:$US$12,'PMO PREV'!AQ$63,'PMO REAL'!$F44:$US44),"")</f>
        <v/>
      </c>
      <c r="AR93" s="170" t="str">
        <f ca="1">IFERROR(AVERAGEIF('PMO REAL'!$F$12:$US$12,'PMO PREV'!AR$63,'PMO REAL'!$F44:$US44),"")</f>
        <v/>
      </c>
      <c r="AS93" s="170" t="str">
        <f ca="1">IFERROR(AVERAGEIF('PMO REAL'!$F$12:$US$12,'PMO PREV'!AS$63,'PMO REAL'!$F44:$US44),"")</f>
        <v/>
      </c>
      <c r="AT93" s="170" t="str">
        <f ca="1">IFERROR(AVERAGEIF('PMO REAL'!$F$12:$US$12,'PMO PREV'!AT$63,'PMO REAL'!$F44:$US44),"")</f>
        <v/>
      </c>
      <c r="AU93" s="170" t="str">
        <f ca="1">IFERROR(AVERAGEIF('PMO REAL'!$F$12:$US$12,'PMO PREV'!AU$63,'PMO REAL'!$F44:$US44),"")</f>
        <v/>
      </c>
      <c r="AV93" s="170" t="str">
        <f ca="1">IFERROR(AVERAGEIF('PMO REAL'!$F$12:$US$12,'PMO PREV'!AV$63,'PMO REAL'!$F44:$US44),"")</f>
        <v/>
      </c>
      <c r="AW93" s="170" t="str">
        <f ca="1">IFERROR(AVERAGEIF('PMO REAL'!$F$12:$US$12,'PMO PREV'!AW$63,'PMO REAL'!$F44:$US44),"")</f>
        <v/>
      </c>
      <c r="AX93" s="170" t="str">
        <f ca="1">IFERROR(AVERAGEIF('PMO REAL'!$F$12:$US$12,'PMO PREV'!AX$63,'PMO REAL'!$F44:$US44),"")</f>
        <v/>
      </c>
      <c r="AY93" s="170" t="str">
        <f ca="1">IFERROR(AVERAGEIF('PMO REAL'!$F$12:$US$12,'PMO PREV'!AY$63,'PMO REAL'!$F44:$US44),"")</f>
        <v/>
      </c>
      <c r="AZ93" s="170" t="str">
        <f ca="1">IFERROR(AVERAGEIF('PMO REAL'!$F$12:$US$12,'PMO PREV'!AZ$63,'PMO REAL'!$F44:$US44),"")</f>
        <v/>
      </c>
      <c r="BA93" s="170" t="str">
        <f ca="1">IFERROR(AVERAGEIF('PMO REAL'!$F$12:$US$12,'PMO PREV'!BA$63,'PMO REAL'!$F44:$US44),"")</f>
        <v/>
      </c>
      <c r="BB93" s="170" t="str">
        <f ca="1">IFERROR(AVERAGEIF('PMO REAL'!$F$12:$US$12,'PMO PREV'!BB$63,'PMO REAL'!$F44:$US44),"")</f>
        <v/>
      </c>
      <c r="BC93" s="170" t="str">
        <f ca="1">IFERROR(AVERAGEIF('PMO REAL'!$F$12:$US$12,'PMO PREV'!BC$63,'PMO REAL'!$F44:$US44),"")</f>
        <v/>
      </c>
      <c r="BD93" s="170" t="str">
        <f ca="1">IFERROR(AVERAGEIF('PMO REAL'!$F$12:$US$12,'PMO PREV'!BD$63,'PMO REAL'!$F44:$US44),"")</f>
        <v/>
      </c>
      <c r="BE93" s="170" t="str">
        <f ca="1">IFERROR(AVERAGEIF('PMO REAL'!$F$12:$US$12,'PMO PREV'!BE$63,'PMO REAL'!$F44:$US44),"")</f>
        <v/>
      </c>
      <c r="BF93" s="170" t="str">
        <f ca="1">IFERROR(AVERAGEIF('PMO REAL'!$F$12:$US$12,'PMO PREV'!BF$63,'PMO REAL'!$F44:$US44),"")</f>
        <v/>
      </c>
      <c r="BG93" s="170" t="str">
        <f ca="1">IFERROR(AVERAGEIF('PMO REAL'!$F$12:$US$12,'PMO PREV'!BG$63,'PMO REAL'!$F44:$US44),"")</f>
        <v/>
      </c>
      <c r="BH93" s="170" t="str">
        <f ca="1">IFERROR(AVERAGEIF('PMO REAL'!$F$12:$US$12,'PMO PREV'!BH$63,'PMO REAL'!$F44:$US44),"")</f>
        <v/>
      </c>
      <c r="BI93" s="170" t="str">
        <f ca="1">IFERROR(AVERAGEIF('PMO REAL'!$F$12:$US$12,'PMO PREV'!BI$63,'PMO REAL'!$F44:$US44),"")</f>
        <v/>
      </c>
      <c r="BJ93" s="170" t="str">
        <f ca="1">IFERROR(AVERAGEIF('PMO REAL'!$F$12:$US$12,'PMO PREV'!BJ$63,'PMO REAL'!$F44:$US44),"")</f>
        <v/>
      </c>
      <c r="BK93" s="170" t="str">
        <f ca="1">IFERROR(AVERAGEIF('PMO REAL'!$F$12:$US$12,'PMO PREV'!BK$63,'PMO REAL'!$F44:$US44),"")</f>
        <v/>
      </c>
      <c r="BL93" s="170" t="str">
        <f ca="1">IFERROR(AVERAGEIF('PMO REAL'!$F$12:$US$12,'PMO PREV'!BL$63,'PMO REAL'!$F44:$US44),"")</f>
        <v/>
      </c>
      <c r="BM93" s="170" t="str">
        <f ca="1">IFERROR(AVERAGEIF('PMO REAL'!$F$12:$US$12,'PMO PREV'!BM$63,'PMO REAL'!$F44:$US44),"")</f>
        <v/>
      </c>
      <c r="BN93" s="170" t="str">
        <f ca="1">IFERROR(AVERAGEIF('PMO REAL'!$F$12:$US$12,'PMO PREV'!BN$63,'PMO REAL'!$F44:$US44),"")</f>
        <v/>
      </c>
      <c r="BO93" s="170" t="str">
        <f ca="1">IFERROR(AVERAGEIF('PMO REAL'!$F$12:$US$12,'PMO PREV'!BO$63,'PMO REAL'!$F44:$US44),"")</f>
        <v/>
      </c>
      <c r="BP93" s="170" t="str">
        <f ca="1">IFERROR(AVERAGEIF('PMO REAL'!$F$12:$US$12,'PMO PREV'!BP$63,'PMO REAL'!$F44:$US44),"")</f>
        <v/>
      </c>
      <c r="BQ93" s="170" t="str">
        <f ca="1">IFERROR(AVERAGEIF('PMO REAL'!$F$12:$US$12,'PMO PREV'!BQ$63,'PMO REAL'!$F44:$US44),"")</f>
        <v/>
      </c>
      <c r="BR93" s="170" t="str">
        <f ca="1">IFERROR(AVERAGEIF('PMO REAL'!$F$12:$US$12,'PMO PREV'!BR$63,'PMO REAL'!$F44:$US44),"")</f>
        <v/>
      </c>
      <c r="BS93" s="170" t="str">
        <f ca="1">IFERROR(AVERAGEIF('PMO REAL'!$F$12:$US$12,'PMO PREV'!BS$63,'PMO REAL'!$F44:$US44),"")</f>
        <v/>
      </c>
      <c r="BT93" s="170" t="str">
        <f ca="1">IFERROR(AVERAGEIF('PMO REAL'!$F$12:$US$12,'PMO PREV'!BT$63,'PMO REAL'!$F44:$US44),"")</f>
        <v/>
      </c>
      <c r="BU93" s="170" t="str">
        <f ca="1">IFERROR(AVERAGEIF('PMO REAL'!$F$12:$US$12,'PMO PREV'!BU$63,'PMO REAL'!$F44:$US44),"")</f>
        <v/>
      </c>
      <c r="BV93" s="170" t="str">
        <f ca="1">IFERROR(AVERAGEIF('PMO REAL'!$F$12:$US$12,'PMO PREV'!BV$63,'PMO REAL'!$F44:$US44),"")</f>
        <v/>
      </c>
      <c r="BW93" s="170" t="str">
        <f ca="1">IFERROR(AVERAGEIF('PMO REAL'!$F$12:$US$12,'PMO PREV'!BW$63,'PMO REAL'!$F44:$US44),"")</f>
        <v/>
      </c>
      <c r="BX93" s="170" t="str">
        <f ca="1">IFERROR(AVERAGEIF('PMO REAL'!$F$12:$US$12,'PMO PREV'!BX$63,'PMO REAL'!$F44:$US44),"")</f>
        <v/>
      </c>
      <c r="BY93" s="170" t="str">
        <f ca="1">IFERROR(AVERAGEIF('PMO REAL'!$F$12:$US$12,'PMO PREV'!BY$63,'PMO REAL'!$F44:$US44),"")</f>
        <v/>
      </c>
      <c r="BZ93" s="170" t="str">
        <f ca="1">IFERROR(AVERAGEIF('PMO REAL'!$F$12:$US$12,'PMO PREV'!BZ$63,'PMO REAL'!$F44:$US44),"")</f>
        <v/>
      </c>
      <c r="CA93" s="170" t="str">
        <f ca="1">IFERROR(AVERAGEIF('PMO REAL'!$F$12:$US$12,'PMO PREV'!CA$63,'PMO REAL'!$F44:$US44),"")</f>
        <v/>
      </c>
      <c r="CB93" s="170" t="str">
        <f ca="1">IFERROR(AVERAGEIF('PMO REAL'!$F$12:$US$12,'PMO PREV'!CB$63,'PMO REAL'!$F44:$US44),"")</f>
        <v/>
      </c>
      <c r="CC93" s="170" t="str">
        <f ca="1">IFERROR(AVERAGEIF('PMO REAL'!$F$12:$US$12,'PMO PREV'!CC$63,'PMO REAL'!$F44:$US44),"")</f>
        <v/>
      </c>
      <c r="CD93" s="170" t="str">
        <f ca="1">IFERROR(AVERAGEIF('PMO REAL'!$F$12:$US$12,'PMO PREV'!CD$63,'PMO REAL'!$F44:$US44),"")</f>
        <v/>
      </c>
      <c r="CE93" s="170" t="str">
        <f ca="1">IFERROR(AVERAGEIF('PMO REAL'!$F$12:$US$12,'PMO PREV'!CE$63,'PMO REAL'!$F44:$US44),"")</f>
        <v/>
      </c>
      <c r="CF93" s="170" t="str">
        <f ca="1">IFERROR(AVERAGEIF('PMO REAL'!$F$12:$US$12,'PMO PREV'!CF$63,'PMO REAL'!$F44:$US44),"")</f>
        <v/>
      </c>
      <c r="CG93" s="170" t="str">
        <f ca="1">IFERROR(AVERAGEIF('PMO REAL'!$F$12:$US$12,'PMO PREV'!CG$63,'PMO REAL'!$F44:$US44),"")</f>
        <v/>
      </c>
      <c r="CH93" s="120"/>
      <c r="CI93" s="121"/>
      <c r="CJ93" s="92"/>
      <c r="CK93" s="92"/>
      <c r="CL93" s="92"/>
      <c r="CM93" s="92"/>
      <c r="CN93" s="92"/>
      <c r="CO93" s="92"/>
    </row>
    <row r="94" spans="2:93" ht="15.75" customHeight="1" x14ac:dyDescent="0.3">
      <c r="B94" s="169" t="s">
        <v>49</v>
      </c>
      <c r="C94" s="171"/>
      <c r="D94" s="152" t="str">
        <f t="shared" ca="1" si="18"/>
        <v/>
      </c>
      <c r="E94" s="159" t="str">
        <f t="shared" ca="1" si="19"/>
        <v/>
      </c>
      <c r="F94" s="155" t="str">
        <f ca="1">IFERROR(AVERAGEIF('PMO REAL'!$F$12:$US$12,'PMO PREV'!F$63,'PMO REAL'!$F45:$US45),"")</f>
        <v/>
      </c>
      <c r="G94" s="170" t="str">
        <f ca="1">IFERROR(AVERAGEIF('PMO REAL'!$F$12:$US$12,'PMO PREV'!G$63,'PMO REAL'!$F45:$US45),"")</f>
        <v/>
      </c>
      <c r="H94" s="170" t="str">
        <f ca="1">IFERROR(AVERAGEIF('PMO REAL'!$F$12:$US$12,'PMO PREV'!H$63,'PMO REAL'!$F45:$US45),"")</f>
        <v/>
      </c>
      <c r="I94" s="170" t="str">
        <f ca="1">IFERROR(AVERAGEIF('PMO REAL'!$F$12:$US$12,'PMO PREV'!I$63,'PMO REAL'!$F45:$US45),"")</f>
        <v/>
      </c>
      <c r="J94" s="170" t="str">
        <f ca="1">IFERROR(AVERAGEIF('PMO REAL'!$F$12:$US$12,'PMO PREV'!J$63,'PMO REAL'!$F45:$US45),"")</f>
        <v/>
      </c>
      <c r="K94" s="170" t="str">
        <f ca="1">IFERROR(AVERAGEIF('PMO REAL'!$F$12:$US$12,'PMO PREV'!K$63,'PMO REAL'!$F45:$US45),"")</f>
        <v/>
      </c>
      <c r="L94" s="170" t="str">
        <f ca="1">IFERROR(AVERAGEIF('PMO REAL'!$F$12:$US$12,'PMO PREV'!L$63,'PMO REAL'!$F45:$US45),"")</f>
        <v/>
      </c>
      <c r="M94" s="170" t="str">
        <f ca="1">IFERROR(AVERAGEIF('PMO REAL'!$F$12:$US$12,'PMO PREV'!M$63,'PMO REAL'!$F45:$US45),"")</f>
        <v/>
      </c>
      <c r="N94" s="170" t="str">
        <f ca="1">IFERROR(AVERAGEIF('PMO REAL'!$F$12:$US$12,'PMO PREV'!N$63,'PMO REAL'!$F45:$US45),"")</f>
        <v/>
      </c>
      <c r="O94" s="170" t="str">
        <f ca="1">IFERROR(AVERAGEIF('PMO REAL'!$F$12:$US$12,'PMO PREV'!O$63,'PMO REAL'!$F45:$US45),"")</f>
        <v/>
      </c>
      <c r="P94" s="170" t="str">
        <f ca="1">IFERROR(AVERAGEIF('PMO REAL'!$F$12:$US$12,'PMO PREV'!P$63,'PMO REAL'!$F45:$US45),"")</f>
        <v/>
      </c>
      <c r="Q94" s="170" t="str">
        <f ca="1">IFERROR(AVERAGEIF('PMO REAL'!$F$12:$US$12,'PMO PREV'!Q$63,'PMO REAL'!$F45:$US45),"")</f>
        <v/>
      </c>
      <c r="R94" s="170" t="str">
        <f ca="1">IFERROR(AVERAGEIF('PMO REAL'!$F$12:$US$12,'PMO PREV'!R$63,'PMO REAL'!$F45:$US45),"")</f>
        <v/>
      </c>
      <c r="S94" s="170" t="str">
        <f ca="1">IFERROR(AVERAGEIF('PMO REAL'!$F$12:$US$12,'PMO PREV'!S$63,'PMO REAL'!$F45:$US45),"")</f>
        <v/>
      </c>
      <c r="T94" s="170" t="str">
        <f ca="1">IFERROR(AVERAGEIF('PMO REAL'!$F$12:$US$12,'PMO PREV'!T$63,'PMO REAL'!$F45:$US45),"")</f>
        <v/>
      </c>
      <c r="U94" s="170" t="str">
        <f ca="1">IFERROR(AVERAGEIF('PMO REAL'!$F$12:$US$12,'PMO PREV'!U$63,'PMO REAL'!$F45:$US45),"")</f>
        <v/>
      </c>
      <c r="V94" s="170" t="str">
        <f ca="1">IFERROR(AVERAGEIF('PMO REAL'!$F$12:$US$12,'PMO PREV'!V$63,'PMO REAL'!$F45:$US45),"")</f>
        <v/>
      </c>
      <c r="W94" s="170" t="str">
        <f ca="1">IFERROR(AVERAGEIF('PMO REAL'!$F$12:$US$12,'PMO PREV'!W$63,'PMO REAL'!$F45:$US45),"")</f>
        <v/>
      </c>
      <c r="X94" s="170" t="str">
        <f ca="1">IFERROR(AVERAGEIF('PMO REAL'!$F$12:$US$12,'PMO PREV'!X$63,'PMO REAL'!$F45:$US45),"")</f>
        <v/>
      </c>
      <c r="Y94" s="170" t="str">
        <f ca="1">IFERROR(AVERAGEIF('PMO REAL'!$F$12:$US$12,'PMO PREV'!Y$63,'PMO REAL'!$F45:$US45),"")</f>
        <v/>
      </c>
      <c r="Z94" s="170" t="str">
        <f ca="1">IFERROR(AVERAGEIF('PMO REAL'!$F$12:$US$12,'PMO PREV'!Z$63,'PMO REAL'!$F45:$US45),"")</f>
        <v/>
      </c>
      <c r="AA94" s="170" t="str">
        <f ca="1">IFERROR(AVERAGEIF('PMO REAL'!$F$12:$US$12,'PMO PREV'!AA$63,'PMO REAL'!$F45:$US45),"")</f>
        <v/>
      </c>
      <c r="AB94" s="170" t="str">
        <f ca="1">IFERROR(AVERAGEIF('PMO REAL'!$F$12:$US$12,'PMO PREV'!AB$63,'PMO REAL'!$F45:$US45),"")</f>
        <v/>
      </c>
      <c r="AC94" s="170" t="str">
        <f ca="1">IFERROR(AVERAGEIF('PMO REAL'!$F$12:$US$12,'PMO PREV'!AC$63,'PMO REAL'!$F45:$US45),"")</f>
        <v/>
      </c>
      <c r="AD94" s="170" t="str">
        <f ca="1">IFERROR(AVERAGEIF('PMO REAL'!$F$12:$US$12,'PMO PREV'!AD$63,'PMO REAL'!$F45:$US45),"")</f>
        <v/>
      </c>
      <c r="AE94" s="170" t="str">
        <f ca="1">IFERROR(AVERAGEIF('PMO REAL'!$F$12:$US$12,'PMO PREV'!AE$63,'PMO REAL'!$F45:$US45),"")</f>
        <v/>
      </c>
      <c r="AF94" s="170" t="str">
        <f ca="1">IFERROR(AVERAGEIF('PMO REAL'!$F$12:$US$12,'PMO PREV'!AF$63,'PMO REAL'!$F45:$US45),"")</f>
        <v/>
      </c>
      <c r="AG94" s="170" t="str">
        <f ca="1">IFERROR(AVERAGEIF('PMO REAL'!$F$12:$US$12,'PMO PREV'!AG$63,'PMO REAL'!$F45:$US45),"")</f>
        <v/>
      </c>
      <c r="AH94" s="170" t="str">
        <f ca="1">IFERROR(AVERAGEIF('PMO REAL'!$F$12:$US$12,'PMO PREV'!AH$63,'PMO REAL'!$F45:$US45),"")</f>
        <v/>
      </c>
      <c r="AI94" s="170" t="str">
        <f ca="1">IFERROR(AVERAGEIF('PMO REAL'!$F$12:$US$12,'PMO PREV'!AI$63,'PMO REAL'!$F45:$US45),"")</f>
        <v/>
      </c>
      <c r="AJ94" s="170" t="str">
        <f ca="1">IFERROR(AVERAGEIF('PMO REAL'!$F$12:$US$12,'PMO PREV'!AJ$63,'PMO REAL'!$F45:$US45),"")</f>
        <v/>
      </c>
      <c r="AK94" s="170" t="str">
        <f ca="1">IFERROR(AVERAGEIF('PMO REAL'!$F$12:$US$12,'PMO PREV'!AK$63,'PMO REAL'!$F45:$US45),"")</f>
        <v/>
      </c>
      <c r="AL94" s="170" t="str">
        <f ca="1">IFERROR(AVERAGEIF('PMO REAL'!$F$12:$US$12,'PMO PREV'!AL$63,'PMO REAL'!$F45:$US45),"")</f>
        <v/>
      </c>
      <c r="AM94" s="170" t="str">
        <f ca="1">IFERROR(AVERAGEIF('PMO REAL'!$F$12:$US$12,'PMO PREV'!AM$63,'PMO REAL'!$F45:$US45),"")</f>
        <v/>
      </c>
      <c r="AN94" s="170" t="str">
        <f ca="1">IFERROR(AVERAGEIF('PMO REAL'!$F$12:$US$12,'PMO PREV'!AN$63,'PMO REAL'!$F45:$US45),"")</f>
        <v/>
      </c>
      <c r="AO94" s="170" t="str">
        <f ca="1">IFERROR(AVERAGEIF('PMO REAL'!$F$12:$US$12,'PMO PREV'!AO$63,'PMO REAL'!$F45:$US45),"")</f>
        <v/>
      </c>
      <c r="AP94" s="170" t="str">
        <f ca="1">IFERROR(AVERAGEIF('PMO REAL'!$F$12:$US$12,'PMO PREV'!AP$63,'PMO REAL'!$F45:$US45),"")</f>
        <v/>
      </c>
      <c r="AQ94" s="170" t="str">
        <f ca="1">IFERROR(AVERAGEIF('PMO REAL'!$F$12:$US$12,'PMO PREV'!AQ$63,'PMO REAL'!$F45:$US45),"")</f>
        <v/>
      </c>
      <c r="AR94" s="170" t="str">
        <f ca="1">IFERROR(AVERAGEIF('PMO REAL'!$F$12:$US$12,'PMO PREV'!AR$63,'PMO REAL'!$F45:$US45),"")</f>
        <v/>
      </c>
      <c r="AS94" s="170" t="str">
        <f ca="1">IFERROR(AVERAGEIF('PMO REAL'!$F$12:$US$12,'PMO PREV'!AS$63,'PMO REAL'!$F45:$US45),"")</f>
        <v/>
      </c>
      <c r="AT94" s="170" t="str">
        <f ca="1">IFERROR(AVERAGEIF('PMO REAL'!$F$12:$US$12,'PMO PREV'!AT$63,'PMO REAL'!$F45:$US45),"")</f>
        <v/>
      </c>
      <c r="AU94" s="170" t="str">
        <f ca="1">IFERROR(AVERAGEIF('PMO REAL'!$F$12:$US$12,'PMO PREV'!AU$63,'PMO REAL'!$F45:$US45),"")</f>
        <v/>
      </c>
      <c r="AV94" s="170" t="str">
        <f ca="1">IFERROR(AVERAGEIF('PMO REAL'!$F$12:$US$12,'PMO PREV'!AV$63,'PMO REAL'!$F45:$US45),"")</f>
        <v/>
      </c>
      <c r="AW94" s="170" t="str">
        <f ca="1">IFERROR(AVERAGEIF('PMO REAL'!$F$12:$US$12,'PMO PREV'!AW$63,'PMO REAL'!$F45:$US45),"")</f>
        <v/>
      </c>
      <c r="AX94" s="170" t="str">
        <f ca="1">IFERROR(AVERAGEIF('PMO REAL'!$F$12:$US$12,'PMO PREV'!AX$63,'PMO REAL'!$F45:$US45),"")</f>
        <v/>
      </c>
      <c r="AY94" s="170" t="str">
        <f ca="1">IFERROR(AVERAGEIF('PMO REAL'!$F$12:$US$12,'PMO PREV'!AY$63,'PMO REAL'!$F45:$US45),"")</f>
        <v/>
      </c>
      <c r="AZ94" s="170" t="str">
        <f ca="1">IFERROR(AVERAGEIF('PMO REAL'!$F$12:$US$12,'PMO PREV'!AZ$63,'PMO REAL'!$F45:$US45),"")</f>
        <v/>
      </c>
      <c r="BA94" s="170" t="str">
        <f ca="1">IFERROR(AVERAGEIF('PMO REAL'!$F$12:$US$12,'PMO PREV'!BA$63,'PMO REAL'!$F45:$US45),"")</f>
        <v/>
      </c>
      <c r="BB94" s="170" t="str">
        <f ca="1">IFERROR(AVERAGEIF('PMO REAL'!$F$12:$US$12,'PMO PREV'!BB$63,'PMO REAL'!$F45:$US45),"")</f>
        <v/>
      </c>
      <c r="BC94" s="170" t="str">
        <f ca="1">IFERROR(AVERAGEIF('PMO REAL'!$F$12:$US$12,'PMO PREV'!BC$63,'PMO REAL'!$F45:$US45),"")</f>
        <v/>
      </c>
      <c r="BD94" s="170" t="str">
        <f ca="1">IFERROR(AVERAGEIF('PMO REAL'!$F$12:$US$12,'PMO PREV'!BD$63,'PMO REAL'!$F45:$US45),"")</f>
        <v/>
      </c>
      <c r="BE94" s="170" t="str">
        <f ca="1">IFERROR(AVERAGEIF('PMO REAL'!$F$12:$US$12,'PMO PREV'!BE$63,'PMO REAL'!$F45:$US45),"")</f>
        <v/>
      </c>
      <c r="BF94" s="170" t="str">
        <f ca="1">IFERROR(AVERAGEIF('PMO REAL'!$F$12:$US$12,'PMO PREV'!BF$63,'PMO REAL'!$F45:$US45),"")</f>
        <v/>
      </c>
      <c r="BG94" s="170" t="str">
        <f ca="1">IFERROR(AVERAGEIF('PMO REAL'!$F$12:$US$12,'PMO PREV'!BG$63,'PMO REAL'!$F45:$US45),"")</f>
        <v/>
      </c>
      <c r="BH94" s="170" t="str">
        <f ca="1">IFERROR(AVERAGEIF('PMO REAL'!$F$12:$US$12,'PMO PREV'!BH$63,'PMO REAL'!$F45:$US45),"")</f>
        <v/>
      </c>
      <c r="BI94" s="170" t="str">
        <f ca="1">IFERROR(AVERAGEIF('PMO REAL'!$F$12:$US$12,'PMO PREV'!BI$63,'PMO REAL'!$F45:$US45),"")</f>
        <v/>
      </c>
      <c r="BJ94" s="170" t="str">
        <f ca="1">IFERROR(AVERAGEIF('PMO REAL'!$F$12:$US$12,'PMO PREV'!BJ$63,'PMO REAL'!$F45:$US45),"")</f>
        <v/>
      </c>
      <c r="BK94" s="170" t="str">
        <f ca="1">IFERROR(AVERAGEIF('PMO REAL'!$F$12:$US$12,'PMO PREV'!BK$63,'PMO REAL'!$F45:$US45),"")</f>
        <v/>
      </c>
      <c r="BL94" s="170" t="str">
        <f ca="1">IFERROR(AVERAGEIF('PMO REAL'!$F$12:$US$12,'PMO PREV'!BL$63,'PMO REAL'!$F45:$US45),"")</f>
        <v/>
      </c>
      <c r="BM94" s="170" t="str">
        <f ca="1">IFERROR(AVERAGEIF('PMO REAL'!$F$12:$US$12,'PMO PREV'!BM$63,'PMO REAL'!$F45:$US45),"")</f>
        <v/>
      </c>
      <c r="BN94" s="170" t="str">
        <f ca="1">IFERROR(AVERAGEIF('PMO REAL'!$F$12:$US$12,'PMO PREV'!BN$63,'PMO REAL'!$F45:$US45),"")</f>
        <v/>
      </c>
      <c r="BO94" s="170" t="str">
        <f ca="1">IFERROR(AVERAGEIF('PMO REAL'!$F$12:$US$12,'PMO PREV'!BO$63,'PMO REAL'!$F45:$US45),"")</f>
        <v/>
      </c>
      <c r="BP94" s="170" t="str">
        <f ca="1">IFERROR(AVERAGEIF('PMO REAL'!$F$12:$US$12,'PMO PREV'!BP$63,'PMO REAL'!$F45:$US45),"")</f>
        <v/>
      </c>
      <c r="BQ94" s="170" t="str">
        <f ca="1">IFERROR(AVERAGEIF('PMO REAL'!$F$12:$US$12,'PMO PREV'!BQ$63,'PMO REAL'!$F45:$US45),"")</f>
        <v/>
      </c>
      <c r="BR94" s="170" t="str">
        <f ca="1">IFERROR(AVERAGEIF('PMO REAL'!$F$12:$US$12,'PMO PREV'!BR$63,'PMO REAL'!$F45:$US45),"")</f>
        <v/>
      </c>
      <c r="BS94" s="170" t="str">
        <f ca="1">IFERROR(AVERAGEIF('PMO REAL'!$F$12:$US$12,'PMO PREV'!BS$63,'PMO REAL'!$F45:$US45),"")</f>
        <v/>
      </c>
      <c r="BT94" s="170" t="str">
        <f ca="1">IFERROR(AVERAGEIF('PMO REAL'!$F$12:$US$12,'PMO PREV'!BT$63,'PMO REAL'!$F45:$US45),"")</f>
        <v/>
      </c>
      <c r="BU94" s="170" t="str">
        <f ca="1">IFERROR(AVERAGEIF('PMO REAL'!$F$12:$US$12,'PMO PREV'!BU$63,'PMO REAL'!$F45:$US45),"")</f>
        <v/>
      </c>
      <c r="BV94" s="170" t="str">
        <f ca="1">IFERROR(AVERAGEIF('PMO REAL'!$F$12:$US$12,'PMO PREV'!BV$63,'PMO REAL'!$F45:$US45),"")</f>
        <v/>
      </c>
      <c r="BW94" s="170" t="str">
        <f ca="1">IFERROR(AVERAGEIF('PMO REAL'!$F$12:$US$12,'PMO PREV'!BW$63,'PMO REAL'!$F45:$US45),"")</f>
        <v/>
      </c>
      <c r="BX94" s="170" t="str">
        <f ca="1">IFERROR(AVERAGEIF('PMO REAL'!$F$12:$US$12,'PMO PREV'!BX$63,'PMO REAL'!$F45:$US45),"")</f>
        <v/>
      </c>
      <c r="BY94" s="170" t="str">
        <f ca="1">IFERROR(AVERAGEIF('PMO REAL'!$F$12:$US$12,'PMO PREV'!BY$63,'PMO REAL'!$F45:$US45),"")</f>
        <v/>
      </c>
      <c r="BZ94" s="170" t="str">
        <f ca="1">IFERROR(AVERAGEIF('PMO REAL'!$F$12:$US$12,'PMO PREV'!BZ$63,'PMO REAL'!$F45:$US45),"")</f>
        <v/>
      </c>
      <c r="CA94" s="170" t="str">
        <f ca="1">IFERROR(AVERAGEIF('PMO REAL'!$F$12:$US$12,'PMO PREV'!CA$63,'PMO REAL'!$F45:$US45),"")</f>
        <v/>
      </c>
      <c r="CB94" s="170" t="str">
        <f ca="1">IFERROR(AVERAGEIF('PMO REAL'!$F$12:$US$12,'PMO PREV'!CB$63,'PMO REAL'!$F45:$US45),"")</f>
        <v/>
      </c>
      <c r="CC94" s="170" t="str">
        <f ca="1">IFERROR(AVERAGEIF('PMO REAL'!$F$12:$US$12,'PMO PREV'!CC$63,'PMO REAL'!$F45:$US45),"")</f>
        <v/>
      </c>
      <c r="CD94" s="170" t="str">
        <f ca="1">IFERROR(AVERAGEIF('PMO REAL'!$F$12:$US$12,'PMO PREV'!CD$63,'PMO REAL'!$F45:$US45),"")</f>
        <v/>
      </c>
      <c r="CE94" s="170" t="str">
        <f ca="1">IFERROR(AVERAGEIF('PMO REAL'!$F$12:$US$12,'PMO PREV'!CE$63,'PMO REAL'!$F45:$US45),"")</f>
        <v/>
      </c>
      <c r="CF94" s="170" t="str">
        <f ca="1">IFERROR(AVERAGEIF('PMO REAL'!$F$12:$US$12,'PMO PREV'!CF$63,'PMO REAL'!$F45:$US45),"")</f>
        <v/>
      </c>
      <c r="CG94" s="170" t="str">
        <f ca="1">IFERROR(AVERAGEIF('PMO REAL'!$F$12:$US$12,'PMO PREV'!CG$63,'PMO REAL'!$F45:$US45),"")</f>
        <v/>
      </c>
      <c r="CH94" s="120"/>
      <c r="CI94" s="121"/>
      <c r="CJ94" s="92"/>
      <c r="CK94" s="92"/>
      <c r="CL94" s="92"/>
      <c r="CM94" s="92"/>
      <c r="CN94" s="92"/>
      <c r="CO94" s="92"/>
    </row>
    <row r="95" spans="2:93" ht="15.75" customHeight="1" x14ac:dyDescent="0.3">
      <c r="B95" s="169" t="s">
        <v>48</v>
      </c>
      <c r="C95" s="171"/>
      <c r="D95" s="152" t="str">
        <f t="shared" ca="1" si="18"/>
        <v/>
      </c>
      <c r="E95" s="159" t="str">
        <f t="shared" ca="1" si="19"/>
        <v/>
      </c>
      <c r="F95" s="155" t="str">
        <f ca="1">IFERROR(AVERAGEIF('PMO REAL'!$F$12:$US$12,'PMO PREV'!F$63,'PMO REAL'!$F46:$US46),"")</f>
        <v/>
      </c>
      <c r="G95" s="170" t="str">
        <f ca="1">IFERROR(AVERAGEIF('PMO REAL'!$F$12:$US$12,'PMO PREV'!G$63,'PMO REAL'!$F46:$US46),"")</f>
        <v/>
      </c>
      <c r="H95" s="170" t="str">
        <f ca="1">IFERROR(AVERAGEIF('PMO REAL'!$F$12:$US$12,'PMO PREV'!H$63,'PMO REAL'!$F46:$US46),"")</f>
        <v/>
      </c>
      <c r="I95" s="170" t="str">
        <f ca="1">IFERROR(AVERAGEIF('PMO REAL'!$F$12:$US$12,'PMO PREV'!I$63,'PMO REAL'!$F46:$US46),"")</f>
        <v/>
      </c>
      <c r="J95" s="170" t="str">
        <f ca="1">IFERROR(AVERAGEIF('PMO REAL'!$F$12:$US$12,'PMO PREV'!J$63,'PMO REAL'!$F46:$US46),"")</f>
        <v/>
      </c>
      <c r="K95" s="170" t="str">
        <f ca="1">IFERROR(AVERAGEIF('PMO REAL'!$F$12:$US$12,'PMO PREV'!K$63,'PMO REAL'!$F46:$US46),"")</f>
        <v/>
      </c>
      <c r="L95" s="170" t="str">
        <f ca="1">IFERROR(AVERAGEIF('PMO REAL'!$F$12:$US$12,'PMO PREV'!L$63,'PMO REAL'!$F46:$US46),"")</f>
        <v/>
      </c>
      <c r="M95" s="170" t="str">
        <f ca="1">IFERROR(AVERAGEIF('PMO REAL'!$F$12:$US$12,'PMO PREV'!M$63,'PMO REAL'!$F46:$US46),"")</f>
        <v/>
      </c>
      <c r="N95" s="170" t="str">
        <f ca="1">IFERROR(AVERAGEIF('PMO REAL'!$F$12:$US$12,'PMO PREV'!N$63,'PMO REAL'!$F46:$US46),"")</f>
        <v/>
      </c>
      <c r="O95" s="170" t="str">
        <f ca="1">IFERROR(AVERAGEIF('PMO REAL'!$F$12:$US$12,'PMO PREV'!O$63,'PMO REAL'!$F46:$US46),"")</f>
        <v/>
      </c>
      <c r="P95" s="170" t="str">
        <f ca="1">IFERROR(AVERAGEIF('PMO REAL'!$F$12:$US$12,'PMO PREV'!P$63,'PMO REAL'!$F46:$US46),"")</f>
        <v/>
      </c>
      <c r="Q95" s="170" t="str">
        <f ca="1">IFERROR(AVERAGEIF('PMO REAL'!$F$12:$US$12,'PMO PREV'!Q$63,'PMO REAL'!$F46:$US46),"")</f>
        <v/>
      </c>
      <c r="R95" s="170" t="str">
        <f ca="1">IFERROR(AVERAGEIF('PMO REAL'!$F$12:$US$12,'PMO PREV'!R$63,'PMO REAL'!$F46:$US46),"")</f>
        <v/>
      </c>
      <c r="S95" s="170" t="str">
        <f ca="1">IFERROR(AVERAGEIF('PMO REAL'!$F$12:$US$12,'PMO PREV'!S$63,'PMO REAL'!$F46:$US46),"")</f>
        <v/>
      </c>
      <c r="T95" s="170" t="str">
        <f ca="1">IFERROR(AVERAGEIF('PMO REAL'!$F$12:$US$12,'PMO PREV'!T$63,'PMO REAL'!$F46:$US46),"")</f>
        <v/>
      </c>
      <c r="U95" s="170" t="str">
        <f ca="1">IFERROR(AVERAGEIF('PMO REAL'!$F$12:$US$12,'PMO PREV'!U$63,'PMO REAL'!$F46:$US46),"")</f>
        <v/>
      </c>
      <c r="V95" s="170" t="str">
        <f ca="1">IFERROR(AVERAGEIF('PMO REAL'!$F$12:$US$12,'PMO PREV'!V$63,'PMO REAL'!$F46:$US46),"")</f>
        <v/>
      </c>
      <c r="W95" s="170" t="str">
        <f ca="1">IFERROR(AVERAGEIF('PMO REAL'!$F$12:$US$12,'PMO PREV'!W$63,'PMO REAL'!$F46:$US46),"")</f>
        <v/>
      </c>
      <c r="X95" s="170" t="str">
        <f ca="1">IFERROR(AVERAGEIF('PMO REAL'!$F$12:$US$12,'PMO PREV'!X$63,'PMO REAL'!$F46:$US46),"")</f>
        <v/>
      </c>
      <c r="Y95" s="170" t="str">
        <f ca="1">IFERROR(AVERAGEIF('PMO REAL'!$F$12:$US$12,'PMO PREV'!Y$63,'PMO REAL'!$F46:$US46),"")</f>
        <v/>
      </c>
      <c r="Z95" s="170" t="str">
        <f ca="1">IFERROR(AVERAGEIF('PMO REAL'!$F$12:$US$12,'PMO PREV'!Z$63,'PMO REAL'!$F46:$US46),"")</f>
        <v/>
      </c>
      <c r="AA95" s="170" t="str">
        <f ca="1">IFERROR(AVERAGEIF('PMO REAL'!$F$12:$US$12,'PMO PREV'!AA$63,'PMO REAL'!$F46:$US46),"")</f>
        <v/>
      </c>
      <c r="AB95" s="170" t="str">
        <f ca="1">IFERROR(AVERAGEIF('PMO REAL'!$F$12:$US$12,'PMO PREV'!AB$63,'PMO REAL'!$F46:$US46),"")</f>
        <v/>
      </c>
      <c r="AC95" s="170" t="str">
        <f ca="1">IFERROR(AVERAGEIF('PMO REAL'!$F$12:$US$12,'PMO PREV'!AC$63,'PMO REAL'!$F46:$US46),"")</f>
        <v/>
      </c>
      <c r="AD95" s="170" t="str">
        <f ca="1">IFERROR(AVERAGEIF('PMO REAL'!$F$12:$US$12,'PMO PREV'!AD$63,'PMO REAL'!$F46:$US46),"")</f>
        <v/>
      </c>
      <c r="AE95" s="170" t="str">
        <f ca="1">IFERROR(AVERAGEIF('PMO REAL'!$F$12:$US$12,'PMO PREV'!AE$63,'PMO REAL'!$F46:$US46),"")</f>
        <v/>
      </c>
      <c r="AF95" s="170" t="str">
        <f ca="1">IFERROR(AVERAGEIF('PMO REAL'!$F$12:$US$12,'PMO PREV'!AF$63,'PMO REAL'!$F46:$US46),"")</f>
        <v/>
      </c>
      <c r="AG95" s="170" t="str">
        <f ca="1">IFERROR(AVERAGEIF('PMO REAL'!$F$12:$US$12,'PMO PREV'!AG$63,'PMO REAL'!$F46:$US46),"")</f>
        <v/>
      </c>
      <c r="AH95" s="170" t="str">
        <f ca="1">IFERROR(AVERAGEIF('PMO REAL'!$F$12:$US$12,'PMO PREV'!AH$63,'PMO REAL'!$F46:$US46),"")</f>
        <v/>
      </c>
      <c r="AI95" s="170" t="str">
        <f ca="1">IFERROR(AVERAGEIF('PMO REAL'!$F$12:$US$12,'PMO PREV'!AI$63,'PMO REAL'!$F46:$US46),"")</f>
        <v/>
      </c>
      <c r="AJ95" s="170" t="str">
        <f ca="1">IFERROR(AVERAGEIF('PMO REAL'!$F$12:$US$12,'PMO PREV'!AJ$63,'PMO REAL'!$F46:$US46),"")</f>
        <v/>
      </c>
      <c r="AK95" s="170" t="str">
        <f ca="1">IFERROR(AVERAGEIF('PMO REAL'!$F$12:$US$12,'PMO PREV'!AK$63,'PMO REAL'!$F46:$US46),"")</f>
        <v/>
      </c>
      <c r="AL95" s="170" t="str">
        <f ca="1">IFERROR(AVERAGEIF('PMO REAL'!$F$12:$US$12,'PMO PREV'!AL$63,'PMO REAL'!$F46:$US46),"")</f>
        <v/>
      </c>
      <c r="AM95" s="170" t="str">
        <f ca="1">IFERROR(AVERAGEIF('PMO REAL'!$F$12:$US$12,'PMO PREV'!AM$63,'PMO REAL'!$F46:$US46),"")</f>
        <v/>
      </c>
      <c r="AN95" s="170" t="str">
        <f ca="1">IFERROR(AVERAGEIF('PMO REAL'!$F$12:$US$12,'PMO PREV'!AN$63,'PMO REAL'!$F46:$US46),"")</f>
        <v/>
      </c>
      <c r="AO95" s="170" t="str">
        <f ca="1">IFERROR(AVERAGEIF('PMO REAL'!$F$12:$US$12,'PMO PREV'!AO$63,'PMO REAL'!$F46:$US46),"")</f>
        <v/>
      </c>
      <c r="AP95" s="170" t="str">
        <f ca="1">IFERROR(AVERAGEIF('PMO REAL'!$F$12:$US$12,'PMO PREV'!AP$63,'PMO REAL'!$F46:$US46),"")</f>
        <v/>
      </c>
      <c r="AQ95" s="170" t="str">
        <f ca="1">IFERROR(AVERAGEIF('PMO REAL'!$F$12:$US$12,'PMO PREV'!AQ$63,'PMO REAL'!$F46:$US46),"")</f>
        <v/>
      </c>
      <c r="AR95" s="170" t="str">
        <f ca="1">IFERROR(AVERAGEIF('PMO REAL'!$F$12:$US$12,'PMO PREV'!AR$63,'PMO REAL'!$F46:$US46),"")</f>
        <v/>
      </c>
      <c r="AS95" s="170" t="str">
        <f ca="1">IFERROR(AVERAGEIF('PMO REAL'!$F$12:$US$12,'PMO PREV'!AS$63,'PMO REAL'!$F46:$US46),"")</f>
        <v/>
      </c>
      <c r="AT95" s="170" t="str">
        <f ca="1">IFERROR(AVERAGEIF('PMO REAL'!$F$12:$US$12,'PMO PREV'!AT$63,'PMO REAL'!$F46:$US46),"")</f>
        <v/>
      </c>
      <c r="AU95" s="170" t="str">
        <f ca="1">IFERROR(AVERAGEIF('PMO REAL'!$F$12:$US$12,'PMO PREV'!AU$63,'PMO REAL'!$F46:$US46),"")</f>
        <v/>
      </c>
      <c r="AV95" s="170" t="str">
        <f ca="1">IFERROR(AVERAGEIF('PMO REAL'!$F$12:$US$12,'PMO PREV'!AV$63,'PMO REAL'!$F46:$US46),"")</f>
        <v/>
      </c>
      <c r="AW95" s="170" t="str">
        <f ca="1">IFERROR(AVERAGEIF('PMO REAL'!$F$12:$US$12,'PMO PREV'!AW$63,'PMO REAL'!$F46:$US46),"")</f>
        <v/>
      </c>
      <c r="AX95" s="170" t="str">
        <f ca="1">IFERROR(AVERAGEIF('PMO REAL'!$F$12:$US$12,'PMO PREV'!AX$63,'PMO REAL'!$F46:$US46),"")</f>
        <v/>
      </c>
      <c r="AY95" s="170" t="str">
        <f ca="1">IFERROR(AVERAGEIF('PMO REAL'!$F$12:$US$12,'PMO PREV'!AY$63,'PMO REAL'!$F46:$US46),"")</f>
        <v/>
      </c>
      <c r="AZ95" s="170" t="str">
        <f ca="1">IFERROR(AVERAGEIF('PMO REAL'!$F$12:$US$12,'PMO PREV'!AZ$63,'PMO REAL'!$F46:$US46),"")</f>
        <v/>
      </c>
      <c r="BA95" s="170" t="str">
        <f ca="1">IFERROR(AVERAGEIF('PMO REAL'!$F$12:$US$12,'PMO PREV'!BA$63,'PMO REAL'!$F46:$US46),"")</f>
        <v/>
      </c>
      <c r="BB95" s="170" t="str">
        <f ca="1">IFERROR(AVERAGEIF('PMO REAL'!$F$12:$US$12,'PMO PREV'!BB$63,'PMO REAL'!$F46:$US46),"")</f>
        <v/>
      </c>
      <c r="BC95" s="170" t="str">
        <f ca="1">IFERROR(AVERAGEIF('PMO REAL'!$F$12:$US$12,'PMO PREV'!BC$63,'PMO REAL'!$F46:$US46),"")</f>
        <v/>
      </c>
      <c r="BD95" s="170" t="str">
        <f ca="1">IFERROR(AVERAGEIF('PMO REAL'!$F$12:$US$12,'PMO PREV'!BD$63,'PMO REAL'!$F46:$US46),"")</f>
        <v/>
      </c>
      <c r="BE95" s="170" t="str">
        <f ca="1">IFERROR(AVERAGEIF('PMO REAL'!$F$12:$US$12,'PMO PREV'!BE$63,'PMO REAL'!$F46:$US46),"")</f>
        <v/>
      </c>
      <c r="BF95" s="170" t="str">
        <f ca="1">IFERROR(AVERAGEIF('PMO REAL'!$F$12:$US$12,'PMO PREV'!BF$63,'PMO REAL'!$F46:$US46),"")</f>
        <v/>
      </c>
      <c r="BG95" s="170" t="str">
        <f ca="1">IFERROR(AVERAGEIF('PMO REAL'!$F$12:$US$12,'PMO PREV'!BG$63,'PMO REAL'!$F46:$US46),"")</f>
        <v/>
      </c>
      <c r="BH95" s="170" t="str">
        <f ca="1">IFERROR(AVERAGEIF('PMO REAL'!$F$12:$US$12,'PMO PREV'!BH$63,'PMO REAL'!$F46:$US46),"")</f>
        <v/>
      </c>
      <c r="BI95" s="170" t="str">
        <f ca="1">IFERROR(AVERAGEIF('PMO REAL'!$F$12:$US$12,'PMO PREV'!BI$63,'PMO REAL'!$F46:$US46),"")</f>
        <v/>
      </c>
      <c r="BJ95" s="170" t="str">
        <f ca="1">IFERROR(AVERAGEIF('PMO REAL'!$F$12:$US$12,'PMO PREV'!BJ$63,'PMO REAL'!$F46:$US46),"")</f>
        <v/>
      </c>
      <c r="BK95" s="170" t="str">
        <f ca="1">IFERROR(AVERAGEIF('PMO REAL'!$F$12:$US$12,'PMO PREV'!BK$63,'PMO REAL'!$F46:$US46),"")</f>
        <v/>
      </c>
      <c r="BL95" s="170" t="str">
        <f ca="1">IFERROR(AVERAGEIF('PMO REAL'!$F$12:$US$12,'PMO PREV'!BL$63,'PMO REAL'!$F46:$US46),"")</f>
        <v/>
      </c>
      <c r="BM95" s="170" t="str">
        <f ca="1">IFERROR(AVERAGEIF('PMO REAL'!$F$12:$US$12,'PMO PREV'!BM$63,'PMO REAL'!$F46:$US46),"")</f>
        <v/>
      </c>
      <c r="BN95" s="170" t="str">
        <f ca="1">IFERROR(AVERAGEIF('PMO REAL'!$F$12:$US$12,'PMO PREV'!BN$63,'PMO REAL'!$F46:$US46),"")</f>
        <v/>
      </c>
      <c r="BO95" s="170" t="str">
        <f ca="1">IFERROR(AVERAGEIF('PMO REAL'!$F$12:$US$12,'PMO PREV'!BO$63,'PMO REAL'!$F46:$US46),"")</f>
        <v/>
      </c>
      <c r="BP95" s="170" t="str">
        <f ca="1">IFERROR(AVERAGEIF('PMO REAL'!$F$12:$US$12,'PMO PREV'!BP$63,'PMO REAL'!$F46:$US46),"")</f>
        <v/>
      </c>
      <c r="BQ95" s="170" t="str">
        <f ca="1">IFERROR(AVERAGEIF('PMO REAL'!$F$12:$US$12,'PMO PREV'!BQ$63,'PMO REAL'!$F46:$US46),"")</f>
        <v/>
      </c>
      <c r="BR95" s="170" t="str">
        <f ca="1">IFERROR(AVERAGEIF('PMO REAL'!$F$12:$US$12,'PMO PREV'!BR$63,'PMO REAL'!$F46:$US46),"")</f>
        <v/>
      </c>
      <c r="BS95" s="170" t="str">
        <f ca="1">IFERROR(AVERAGEIF('PMO REAL'!$F$12:$US$12,'PMO PREV'!BS$63,'PMO REAL'!$F46:$US46),"")</f>
        <v/>
      </c>
      <c r="BT95" s="170" t="str">
        <f ca="1">IFERROR(AVERAGEIF('PMO REAL'!$F$12:$US$12,'PMO PREV'!BT$63,'PMO REAL'!$F46:$US46),"")</f>
        <v/>
      </c>
      <c r="BU95" s="170" t="str">
        <f ca="1">IFERROR(AVERAGEIF('PMO REAL'!$F$12:$US$12,'PMO PREV'!BU$63,'PMO REAL'!$F46:$US46),"")</f>
        <v/>
      </c>
      <c r="BV95" s="170" t="str">
        <f ca="1">IFERROR(AVERAGEIF('PMO REAL'!$F$12:$US$12,'PMO PREV'!BV$63,'PMO REAL'!$F46:$US46),"")</f>
        <v/>
      </c>
      <c r="BW95" s="170" t="str">
        <f ca="1">IFERROR(AVERAGEIF('PMO REAL'!$F$12:$US$12,'PMO PREV'!BW$63,'PMO REAL'!$F46:$US46),"")</f>
        <v/>
      </c>
      <c r="BX95" s="170" t="str">
        <f ca="1">IFERROR(AVERAGEIF('PMO REAL'!$F$12:$US$12,'PMO PREV'!BX$63,'PMO REAL'!$F46:$US46),"")</f>
        <v/>
      </c>
      <c r="BY95" s="170" t="str">
        <f ca="1">IFERROR(AVERAGEIF('PMO REAL'!$F$12:$US$12,'PMO PREV'!BY$63,'PMO REAL'!$F46:$US46),"")</f>
        <v/>
      </c>
      <c r="BZ95" s="170" t="str">
        <f ca="1">IFERROR(AVERAGEIF('PMO REAL'!$F$12:$US$12,'PMO PREV'!BZ$63,'PMO REAL'!$F46:$US46),"")</f>
        <v/>
      </c>
      <c r="CA95" s="170" t="str">
        <f ca="1">IFERROR(AVERAGEIF('PMO REAL'!$F$12:$US$12,'PMO PREV'!CA$63,'PMO REAL'!$F46:$US46),"")</f>
        <v/>
      </c>
      <c r="CB95" s="170" t="str">
        <f ca="1">IFERROR(AVERAGEIF('PMO REAL'!$F$12:$US$12,'PMO PREV'!CB$63,'PMO REAL'!$F46:$US46),"")</f>
        <v/>
      </c>
      <c r="CC95" s="170" t="str">
        <f ca="1">IFERROR(AVERAGEIF('PMO REAL'!$F$12:$US$12,'PMO PREV'!CC$63,'PMO REAL'!$F46:$US46),"")</f>
        <v/>
      </c>
      <c r="CD95" s="170" t="str">
        <f ca="1">IFERROR(AVERAGEIF('PMO REAL'!$F$12:$US$12,'PMO PREV'!CD$63,'PMO REAL'!$F46:$US46),"")</f>
        <v/>
      </c>
      <c r="CE95" s="170" t="str">
        <f ca="1">IFERROR(AVERAGEIF('PMO REAL'!$F$12:$US$12,'PMO PREV'!CE$63,'PMO REAL'!$F46:$US46),"")</f>
        <v/>
      </c>
      <c r="CF95" s="170" t="str">
        <f ca="1">IFERROR(AVERAGEIF('PMO REAL'!$F$12:$US$12,'PMO PREV'!CF$63,'PMO REAL'!$F46:$US46),"")</f>
        <v/>
      </c>
      <c r="CG95" s="170" t="str">
        <f ca="1">IFERROR(AVERAGEIF('PMO REAL'!$F$12:$US$12,'PMO PREV'!CG$63,'PMO REAL'!$F46:$US46),"")</f>
        <v/>
      </c>
      <c r="CH95" s="120"/>
      <c r="CI95" s="121"/>
      <c r="CJ95" s="92"/>
      <c r="CK95" s="92"/>
      <c r="CL95" s="92"/>
      <c r="CM95" s="92"/>
      <c r="CN95" s="92"/>
      <c r="CO95" s="92"/>
    </row>
    <row r="96" spans="2:93" ht="15.75" customHeight="1" x14ac:dyDescent="0.3">
      <c r="B96" s="169" t="s">
        <v>47</v>
      </c>
      <c r="C96" s="171"/>
      <c r="D96" s="152" t="str">
        <f t="shared" ca="1" si="18"/>
        <v/>
      </c>
      <c r="E96" s="159" t="str">
        <f t="shared" ca="1" si="19"/>
        <v/>
      </c>
      <c r="F96" s="155" t="str">
        <f ca="1">IFERROR(AVERAGEIF('PMO REAL'!$F$12:$US$12,'PMO PREV'!F$63,'PMO REAL'!$F47:$US47),"")</f>
        <v/>
      </c>
      <c r="G96" s="170" t="str">
        <f ca="1">IFERROR(AVERAGEIF('PMO REAL'!$F$12:$US$12,'PMO PREV'!G$63,'PMO REAL'!$F47:$US47),"")</f>
        <v/>
      </c>
      <c r="H96" s="170" t="str">
        <f ca="1">IFERROR(AVERAGEIF('PMO REAL'!$F$12:$US$12,'PMO PREV'!H$63,'PMO REAL'!$F47:$US47),"")</f>
        <v/>
      </c>
      <c r="I96" s="170" t="str">
        <f ca="1">IFERROR(AVERAGEIF('PMO REAL'!$F$12:$US$12,'PMO PREV'!I$63,'PMO REAL'!$F47:$US47),"")</f>
        <v/>
      </c>
      <c r="J96" s="170" t="str">
        <f ca="1">IFERROR(AVERAGEIF('PMO REAL'!$F$12:$US$12,'PMO PREV'!J$63,'PMO REAL'!$F47:$US47),"")</f>
        <v/>
      </c>
      <c r="K96" s="170" t="str">
        <f ca="1">IFERROR(AVERAGEIF('PMO REAL'!$F$12:$US$12,'PMO PREV'!K$63,'PMO REAL'!$F47:$US47),"")</f>
        <v/>
      </c>
      <c r="L96" s="170" t="str">
        <f ca="1">IFERROR(AVERAGEIF('PMO REAL'!$F$12:$US$12,'PMO PREV'!L$63,'PMO REAL'!$F47:$US47),"")</f>
        <v/>
      </c>
      <c r="M96" s="170" t="str">
        <f ca="1">IFERROR(AVERAGEIF('PMO REAL'!$F$12:$US$12,'PMO PREV'!M$63,'PMO REAL'!$F47:$US47),"")</f>
        <v/>
      </c>
      <c r="N96" s="170" t="str">
        <f ca="1">IFERROR(AVERAGEIF('PMO REAL'!$F$12:$US$12,'PMO PREV'!N$63,'PMO REAL'!$F47:$US47),"")</f>
        <v/>
      </c>
      <c r="O96" s="170" t="str">
        <f ca="1">IFERROR(AVERAGEIF('PMO REAL'!$F$12:$US$12,'PMO PREV'!O$63,'PMO REAL'!$F47:$US47),"")</f>
        <v/>
      </c>
      <c r="P96" s="170" t="str">
        <f ca="1">IFERROR(AVERAGEIF('PMO REAL'!$F$12:$US$12,'PMO PREV'!P$63,'PMO REAL'!$F47:$US47),"")</f>
        <v/>
      </c>
      <c r="Q96" s="170" t="str">
        <f ca="1">IFERROR(AVERAGEIF('PMO REAL'!$F$12:$US$12,'PMO PREV'!Q$63,'PMO REAL'!$F47:$US47),"")</f>
        <v/>
      </c>
      <c r="R96" s="170" t="str">
        <f ca="1">IFERROR(AVERAGEIF('PMO REAL'!$F$12:$US$12,'PMO PREV'!R$63,'PMO REAL'!$F47:$US47),"")</f>
        <v/>
      </c>
      <c r="S96" s="170" t="str">
        <f ca="1">IFERROR(AVERAGEIF('PMO REAL'!$F$12:$US$12,'PMO PREV'!S$63,'PMO REAL'!$F47:$US47),"")</f>
        <v/>
      </c>
      <c r="T96" s="170" t="str">
        <f ca="1">IFERROR(AVERAGEIF('PMO REAL'!$F$12:$US$12,'PMO PREV'!T$63,'PMO REAL'!$F47:$US47),"")</f>
        <v/>
      </c>
      <c r="U96" s="170" t="str">
        <f ca="1">IFERROR(AVERAGEIF('PMO REAL'!$F$12:$US$12,'PMO PREV'!U$63,'PMO REAL'!$F47:$US47),"")</f>
        <v/>
      </c>
      <c r="V96" s="170" t="str">
        <f ca="1">IFERROR(AVERAGEIF('PMO REAL'!$F$12:$US$12,'PMO PREV'!V$63,'PMO REAL'!$F47:$US47),"")</f>
        <v/>
      </c>
      <c r="W96" s="170" t="str">
        <f ca="1">IFERROR(AVERAGEIF('PMO REAL'!$F$12:$US$12,'PMO PREV'!W$63,'PMO REAL'!$F47:$US47),"")</f>
        <v/>
      </c>
      <c r="X96" s="170" t="str">
        <f ca="1">IFERROR(AVERAGEIF('PMO REAL'!$F$12:$US$12,'PMO PREV'!X$63,'PMO REAL'!$F47:$US47),"")</f>
        <v/>
      </c>
      <c r="Y96" s="170" t="str">
        <f ca="1">IFERROR(AVERAGEIF('PMO REAL'!$F$12:$US$12,'PMO PREV'!Y$63,'PMO REAL'!$F47:$US47),"")</f>
        <v/>
      </c>
      <c r="Z96" s="170" t="str">
        <f ca="1">IFERROR(AVERAGEIF('PMO REAL'!$F$12:$US$12,'PMO PREV'!Z$63,'PMO REAL'!$F47:$US47),"")</f>
        <v/>
      </c>
      <c r="AA96" s="170" t="str">
        <f ca="1">IFERROR(AVERAGEIF('PMO REAL'!$F$12:$US$12,'PMO PREV'!AA$63,'PMO REAL'!$F47:$US47),"")</f>
        <v/>
      </c>
      <c r="AB96" s="170" t="str">
        <f ca="1">IFERROR(AVERAGEIF('PMO REAL'!$F$12:$US$12,'PMO PREV'!AB$63,'PMO REAL'!$F47:$US47),"")</f>
        <v/>
      </c>
      <c r="AC96" s="170" t="str">
        <f ca="1">IFERROR(AVERAGEIF('PMO REAL'!$F$12:$US$12,'PMO PREV'!AC$63,'PMO REAL'!$F47:$US47),"")</f>
        <v/>
      </c>
      <c r="AD96" s="170" t="str">
        <f ca="1">IFERROR(AVERAGEIF('PMO REAL'!$F$12:$US$12,'PMO PREV'!AD$63,'PMO REAL'!$F47:$US47),"")</f>
        <v/>
      </c>
      <c r="AE96" s="170" t="str">
        <f ca="1">IFERROR(AVERAGEIF('PMO REAL'!$F$12:$US$12,'PMO PREV'!AE$63,'PMO REAL'!$F47:$US47),"")</f>
        <v/>
      </c>
      <c r="AF96" s="170" t="str">
        <f ca="1">IFERROR(AVERAGEIF('PMO REAL'!$F$12:$US$12,'PMO PREV'!AF$63,'PMO REAL'!$F47:$US47),"")</f>
        <v/>
      </c>
      <c r="AG96" s="170" t="str">
        <f ca="1">IFERROR(AVERAGEIF('PMO REAL'!$F$12:$US$12,'PMO PREV'!AG$63,'PMO REAL'!$F47:$US47),"")</f>
        <v/>
      </c>
      <c r="AH96" s="170" t="str">
        <f ca="1">IFERROR(AVERAGEIF('PMO REAL'!$F$12:$US$12,'PMO PREV'!AH$63,'PMO REAL'!$F47:$US47),"")</f>
        <v/>
      </c>
      <c r="AI96" s="170" t="str">
        <f ca="1">IFERROR(AVERAGEIF('PMO REAL'!$F$12:$US$12,'PMO PREV'!AI$63,'PMO REAL'!$F47:$US47),"")</f>
        <v/>
      </c>
      <c r="AJ96" s="170" t="str">
        <f ca="1">IFERROR(AVERAGEIF('PMO REAL'!$F$12:$US$12,'PMO PREV'!AJ$63,'PMO REAL'!$F47:$US47),"")</f>
        <v/>
      </c>
      <c r="AK96" s="170" t="str">
        <f ca="1">IFERROR(AVERAGEIF('PMO REAL'!$F$12:$US$12,'PMO PREV'!AK$63,'PMO REAL'!$F47:$US47),"")</f>
        <v/>
      </c>
      <c r="AL96" s="170" t="str">
        <f ca="1">IFERROR(AVERAGEIF('PMO REAL'!$F$12:$US$12,'PMO PREV'!AL$63,'PMO REAL'!$F47:$US47),"")</f>
        <v/>
      </c>
      <c r="AM96" s="170" t="str">
        <f ca="1">IFERROR(AVERAGEIF('PMO REAL'!$F$12:$US$12,'PMO PREV'!AM$63,'PMO REAL'!$F47:$US47),"")</f>
        <v/>
      </c>
      <c r="AN96" s="170" t="str">
        <f ca="1">IFERROR(AVERAGEIF('PMO REAL'!$F$12:$US$12,'PMO PREV'!AN$63,'PMO REAL'!$F47:$US47),"")</f>
        <v/>
      </c>
      <c r="AO96" s="170" t="str">
        <f ca="1">IFERROR(AVERAGEIF('PMO REAL'!$F$12:$US$12,'PMO PREV'!AO$63,'PMO REAL'!$F47:$US47),"")</f>
        <v/>
      </c>
      <c r="AP96" s="170" t="str">
        <f ca="1">IFERROR(AVERAGEIF('PMO REAL'!$F$12:$US$12,'PMO PREV'!AP$63,'PMO REAL'!$F47:$US47),"")</f>
        <v/>
      </c>
      <c r="AQ96" s="170" t="str">
        <f ca="1">IFERROR(AVERAGEIF('PMO REAL'!$F$12:$US$12,'PMO PREV'!AQ$63,'PMO REAL'!$F47:$US47),"")</f>
        <v/>
      </c>
      <c r="AR96" s="170" t="str">
        <f ca="1">IFERROR(AVERAGEIF('PMO REAL'!$F$12:$US$12,'PMO PREV'!AR$63,'PMO REAL'!$F47:$US47),"")</f>
        <v/>
      </c>
      <c r="AS96" s="170" t="str">
        <f ca="1">IFERROR(AVERAGEIF('PMO REAL'!$F$12:$US$12,'PMO PREV'!AS$63,'PMO REAL'!$F47:$US47),"")</f>
        <v/>
      </c>
      <c r="AT96" s="170" t="str">
        <f ca="1">IFERROR(AVERAGEIF('PMO REAL'!$F$12:$US$12,'PMO PREV'!AT$63,'PMO REAL'!$F47:$US47),"")</f>
        <v/>
      </c>
      <c r="AU96" s="170" t="str">
        <f ca="1">IFERROR(AVERAGEIF('PMO REAL'!$F$12:$US$12,'PMO PREV'!AU$63,'PMO REAL'!$F47:$US47),"")</f>
        <v/>
      </c>
      <c r="AV96" s="170" t="str">
        <f ca="1">IFERROR(AVERAGEIF('PMO REAL'!$F$12:$US$12,'PMO PREV'!AV$63,'PMO REAL'!$F47:$US47),"")</f>
        <v/>
      </c>
      <c r="AW96" s="170" t="str">
        <f ca="1">IFERROR(AVERAGEIF('PMO REAL'!$F$12:$US$12,'PMO PREV'!AW$63,'PMO REAL'!$F47:$US47),"")</f>
        <v/>
      </c>
      <c r="AX96" s="170" t="str">
        <f ca="1">IFERROR(AVERAGEIF('PMO REAL'!$F$12:$US$12,'PMO PREV'!AX$63,'PMO REAL'!$F47:$US47),"")</f>
        <v/>
      </c>
      <c r="AY96" s="170" t="str">
        <f ca="1">IFERROR(AVERAGEIF('PMO REAL'!$F$12:$US$12,'PMO PREV'!AY$63,'PMO REAL'!$F47:$US47),"")</f>
        <v/>
      </c>
      <c r="AZ96" s="170" t="str">
        <f ca="1">IFERROR(AVERAGEIF('PMO REAL'!$F$12:$US$12,'PMO PREV'!AZ$63,'PMO REAL'!$F47:$US47),"")</f>
        <v/>
      </c>
      <c r="BA96" s="170" t="str">
        <f ca="1">IFERROR(AVERAGEIF('PMO REAL'!$F$12:$US$12,'PMO PREV'!BA$63,'PMO REAL'!$F47:$US47),"")</f>
        <v/>
      </c>
      <c r="BB96" s="170" t="str">
        <f ca="1">IFERROR(AVERAGEIF('PMO REAL'!$F$12:$US$12,'PMO PREV'!BB$63,'PMO REAL'!$F47:$US47),"")</f>
        <v/>
      </c>
      <c r="BC96" s="170" t="str">
        <f ca="1">IFERROR(AVERAGEIF('PMO REAL'!$F$12:$US$12,'PMO PREV'!BC$63,'PMO REAL'!$F47:$US47),"")</f>
        <v/>
      </c>
      <c r="BD96" s="170" t="str">
        <f ca="1">IFERROR(AVERAGEIF('PMO REAL'!$F$12:$US$12,'PMO PREV'!BD$63,'PMO REAL'!$F47:$US47),"")</f>
        <v/>
      </c>
      <c r="BE96" s="170" t="str">
        <f ca="1">IFERROR(AVERAGEIF('PMO REAL'!$F$12:$US$12,'PMO PREV'!BE$63,'PMO REAL'!$F47:$US47),"")</f>
        <v/>
      </c>
      <c r="BF96" s="170" t="str">
        <f ca="1">IFERROR(AVERAGEIF('PMO REAL'!$F$12:$US$12,'PMO PREV'!BF$63,'PMO REAL'!$F47:$US47),"")</f>
        <v/>
      </c>
      <c r="BG96" s="170" t="str">
        <f ca="1">IFERROR(AVERAGEIF('PMO REAL'!$F$12:$US$12,'PMO PREV'!BG$63,'PMO REAL'!$F47:$US47),"")</f>
        <v/>
      </c>
      <c r="BH96" s="170" t="str">
        <f ca="1">IFERROR(AVERAGEIF('PMO REAL'!$F$12:$US$12,'PMO PREV'!BH$63,'PMO REAL'!$F47:$US47),"")</f>
        <v/>
      </c>
      <c r="BI96" s="170" t="str">
        <f ca="1">IFERROR(AVERAGEIF('PMO REAL'!$F$12:$US$12,'PMO PREV'!BI$63,'PMO REAL'!$F47:$US47),"")</f>
        <v/>
      </c>
      <c r="BJ96" s="170" t="str">
        <f ca="1">IFERROR(AVERAGEIF('PMO REAL'!$F$12:$US$12,'PMO PREV'!BJ$63,'PMO REAL'!$F47:$US47),"")</f>
        <v/>
      </c>
      <c r="BK96" s="170" t="str">
        <f ca="1">IFERROR(AVERAGEIF('PMO REAL'!$F$12:$US$12,'PMO PREV'!BK$63,'PMO REAL'!$F47:$US47),"")</f>
        <v/>
      </c>
      <c r="BL96" s="170" t="str">
        <f ca="1">IFERROR(AVERAGEIF('PMO REAL'!$F$12:$US$12,'PMO PREV'!BL$63,'PMO REAL'!$F47:$US47),"")</f>
        <v/>
      </c>
      <c r="BM96" s="170" t="str">
        <f ca="1">IFERROR(AVERAGEIF('PMO REAL'!$F$12:$US$12,'PMO PREV'!BM$63,'PMO REAL'!$F47:$US47),"")</f>
        <v/>
      </c>
      <c r="BN96" s="170" t="str">
        <f ca="1">IFERROR(AVERAGEIF('PMO REAL'!$F$12:$US$12,'PMO PREV'!BN$63,'PMO REAL'!$F47:$US47),"")</f>
        <v/>
      </c>
      <c r="BO96" s="170" t="str">
        <f ca="1">IFERROR(AVERAGEIF('PMO REAL'!$F$12:$US$12,'PMO PREV'!BO$63,'PMO REAL'!$F47:$US47),"")</f>
        <v/>
      </c>
      <c r="BP96" s="170" t="str">
        <f ca="1">IFERROR(AVERAGEIF('PMO REAL'!$F$12:$US$12,'PMO PREV'!BP$63,'PMO REAL'!$F47:$US47),"")</f>
        <v/>
      </c>
      <c r="BQ96" s="170" t="str">
        <f ca="1">IFERROR(AVERAGEIF('PMO REAL'!$F$12:$US$12,'PMO PREV'!BQ$63,'PMO REAL'!$F47:$US47),"")</f>
        <v/>
      </c>
      <c r="BR96" s="170" t="str">
        <f ca="1">IFERROR(AVERAGEIF('PMO REAL'!$F$12:$US$12,'PMO PREV'!BR$63,'PMO REAL'!$F47:$US47),"")</f>
        <v/>
      </c>
      <c r="BS96" s="170" t="str">
        <f ca="1">IFERROR(AVERAGEIF('PMO REAL'!$F$12:$US$12,'PMO PREV'!BS$63,'PMO REAL'!$F47:$US47),"")</f>
        <v/>
      </c>
      <c r="BT96" s="170" t="str">
        <f ca="1">IFERROR(AVERAGEIF('PMO REAL'!$F$12:$US$12,'PMO PREV'!BT$63,'PMO REAL'!$F47:$US47),"")</f>
        <v/>
      </c>
      <c r="BU96" s="170" t="str">
        <f ca="1">IFERROR(AVERAGEIF('PMO REAL'!$F$12:$US$12,'PMO PREV'!BU$63,'PMO REAL'!$F47:$US47),"")</f>
        <v/>
      </c>
      <c r="BV96" s="170" t="str">
        <f ca="1">IFERROR(AVERAGEIF('PMO REAL'!$F$12:$US$12,'PMO PREV'!BV$63,'PMO REAL'!$F47:$US47),"")</f>
        <v/>
      </c>
      <c r="BW96" s="170" t="str">
        <f ca="1">IFERROR(AVERAGEIF('PMO REAL'!$F$12:$US$12,'PMO PREV'!BW$63,'PMO REAL'!$F47:$US47),"")</f>
        <v/>
      </c>
      <c r="BX96" s="170" t="str">
        <f ca="1">IFERROR(AVERAGEIF('PMO REAL'!$F$12:$US$12,'PMO PREV'!BX$63,'PMO REAL'!$F47:$US47),"")</f>
        <v/>
      </c>
      <c r="BY96" s="170" t="str">
        <f ca="1">IFERROR(AVERAGEIF('PMO REAL'!$F$12:$US$12,'PMO PREV'!BY$63,'PMO REAL'!$F47:$US47),"")</f>
        <v/>
      </c>
      <c r="BZ96" s="170" t="str">
        <f ca="1">IFERROR(AVERAGEIF('PMO REAL'!$F$12:$US$12,'PMO PREV'!BZ$63,'PMO REAL'!$F47:$US47),"")</f>
        <v/>
      </c>
      <c r="CA96" s="170" t="str">
        <f ca="1">IFERROR(AVERAGEIF('PMO REAL'!$F$12:$US$12,'PMO PREV'!CA$63,'PMO REAL'!$F47:$US47),"")</f>
        <v/>
      </c>
      <c r="CB96" s="170" t="str">
        <f ca="1">IFERROR(AVERAGEIF('PMO REAL'!$F$12:$US$12,'PMO PREV'!CB$63,'PMO REAL'!$F47:$US47),"")</f>
        <v/>
      </c>
      <c r="CC96" s="170" t="str">
        <f ca="1">IFERROR(AVERAGEIF('PMO REAL'!$F$12:$US$12,'PMO PREV'!CC$63,'PMO REAL'!$F47:$US47),"")</f>
        <v/>
      </c>
      <c r="CD96" s="170" t="str">
        <f ca="1">IFERROR(AVERAGEIF('PMO REAL'!$F$12:$US$12,'PMO PREV'!CD$63,'PMO REAL'!$F47:$US47),"")</f>
        <v/>
      </c>
      <c r="CE96" s="170" t="str">
        <f ca="1">IFERROR(AVERAGEIF('PMO REAL'!$F$12:$US$12,'PMO PREV'!CE$63,'PMO REAL'!$F47:$US47),"")</f>
        <v/>
      </c>
      <c r="CF96" s="170" t="str">
        <f ca="1">IFERROR(AVERAGEIF('PMO REAL'!$F$12:$US$12,'PMO PREV'!CF$63,'PMO REAL'!$F47:$US47),"")</f>
        <v/>
      </c>
      <c r="CG96" s="170" t="str">
        <f ca="1">IFERROR(AVERAGEIF('PMO REAL'!$F$12:$US$12,'PMO PREV'!CG$63,'PMO REAL'!$F47:$US47),"")</f>
        <v/>
      </c>
      <c r="CH96" s="120"/>
      <c r="CI96" s="121"/>
      <c r="CJ96" s="92"/>
      <c r="CK96" s="92"/>
      <c r="CL96" s="92"/>
      <c r="CM96" s="92"/>
      <c r="CN96" s="92"/>
      <c r="CO96" s="92"/>
    </row>
    <row r="97" spans="2:95" ht="15.75" customHeight="1" x14ac:dyDescent="0.3">
      <c r="B97" s="169" t="s">
        <v>46</v>
      </c>
      <c r="C97" s="171"/>
      <c r="D97" s="152" t="str">
        <f t="shared" ca="1" si="18"/>
        <v/>
      </c>
      <c r="E97" s="159" t="str">
        <f t="shared" ca="1" si="19"/>
        <v/>
      </c>
      <c r="F97" s="155" t="str">
        <f ca="1">IFERROR(AVERAGEIF('PMO REAL'!$F$12:$US$12,'PMO PREV'!F$63,'PMO REAL'!$F48:$US48),"")</f>
        <v/>
      </c>
      <c r="G97" s="170" t="str">
        <f ca="1">IFERROR(AVERAGEIF('PMO REAL'!$F$12:$US$12,'PMO PREV'!G$63,'PMO REAL'!$F48:$US48),"")</f>
        <v/>
      </c>
      <c r="H97" s="170" t="str">
        <f ca="1">IFERROR(AVERAGEIF('PMO REAL'!$F$12:$US$12,'PMO PREV'!H$63,'PMO REAL'!$F48:$US48),"")</f>
        <v/>
      </c>
      <c r="I97" s="170" t="str">
        <f ca="1">IFERROR(AVERAGEIF('PMO REAL'!$F$12:$US$12,'PMO PREV'!I$63,'PMO REAL'!$F48:$US48),"")</f>
        <v/>
      </c>
      <c r="J97" s="170" t="str">
        <f ca="1">IFERROR(AVERAGEIF('PMO REAL'!$F$12:$US$12,'PMO PREV'!J$63,'PMO REAL'!$F48:$US48),"")</f>
        <v/>
      </c>
      <c r="K97" s="170" t="str">
        <f ca="1">IFERROR(AVERAGEIF('PMO REAL'!$F$12:$US$12,'PMO PREV'!K$63,'PMO REAL'!$F48:$US48),"")</f>
        <v/>
      </c>
      <c r="L97" s="170" t="str">
        <f ca="1">IFERROR(AVERAGEIF('PMO REAL'!$F$12:$US$12,'PMO PREV'!L$63,'PMO REAL'!$F48:$US48),"")</f>
        <v/>
      </c>
      <c r="M97" s="170" t="str">
        <f ca="1">IFERROR(AVERAGEIF('PMO REAL'!$F$12:$US$12,'PMO PREV'!M$63,'PMO REAL'!$F48:$US48),"")</f>
        <v/>
      </c>
      <c r="N97" s="170" t="str">
        <f ca="1">IFERROR(AVERAGEIF('PMO REAL'!$F$12:$US$12,'PMO PREV'!N$63,'PMO REAL'!$F48:$US48),"")</f>
        <v/>
      </c>
      <c r="O97" s="170" t="str">
        <f ca="1">IFERROR(AVERAGEIF('PMO REAL'!$F$12:$US$12,'PMO PREV'!O$63,'PMO REAL'!$F48:$US48),"")</f>
        <v/>
      </c>
      <c r="P97" s="170" t="str">
        <f ca="1">IFERROR(AVERAGEIF('PMO REAL'!$F$12:$US$12,'PMO PREV'!P$63,'PMO REAL'!$F48:$US48),"")</f>
        <v/>
      </c>
      <c r="Q97" s="170" t="str">
        <f ca="1">IFERROR(AVERAGEIF('PMO REAL'!$F$12:$US$12,'PMO PREV'!Q$63,'PMO REAL'!$F48:$US48),"")</f>
        <v/>
      </c>
      <c r="R97" s="170" t="str">
        <f ca="1">IFERROR(AVERAGEIF('PMO REAL'!$F$12:$US$12,'PMO PREV'!R$63,'PMO REAL'!$F48:$US48),"")</f>
        <v/>
      </c>
      <c r="S97" s="170" t="str">
        <f ca="1">IFERROR(AVERAGEIF('PMO REAL'!$F$12:$US$12,'PMO PREV'!S$63,'PMO REAL'!$F48:$US48),"")</f>
        <v/>
      </c>
      <c r="T97" s="170" t="str">
        <f ca="1">IFERROR(AVERAGEIF('PMO REAL'!$F$12:$US$12,'PMO PREV'!T$63,'PMO REAL'!$F48:$US48),"")</f>
        <v/>
      </c>
      <c r="U97" s="170" t="str">
        <f ca="1">IFERROR(AVERAGEIF('PMO REAL'!$F$12:$US$12,'PMO PREV'!U$63,'PMO REAL'!$F48:$US48),"")</f>
        <v/>
      </c>
      <c r="V97" s="170" t="str">
        <f ca="1">IFERROR(AVERAGEIF('PMO REAL'!$F$12:$US$12,'PMO PREV'!V$63,'PMO REAL'!$F48:$US48),"")</f>
        <v/>
      </c>
      <c r="W97" s="170" t="str">
        <f ca="1">IFERROR(AVERAGEIF('PMO REAL'!$F$12:$US$12,'PMO PREV'!W$63,'PMO REAL'!$F48:$US48),"")</f>
        <v/>
      </c>
      <c r="X97" s="170" t="str">
        <f ca="1">IFERROR(AVERAGEIF('PMO REAL'!$F$12:$US$12,'PMO PREV'!X$63,'PMO REAL'!$F48:$US48),"")</f>
        <v/>
      </c>
      <c r="Y97" s="170" t="str">
        <f ca="1">IFERROR(AVERAGEIF('PMO REAL'!$F$12:$US$12,'PMO PREV'!Y$63,'PMO REAL'!$F48:$US48),"")</f>
        <v/>
      </c>
      <c r="Z97" s="170" t="str">
        <f ca="1">IFERROR(AVERAGEIF('PMO REAL'!$F$12:$US$12,'PMO PREV'!Z$63,'PMO REAL'!$F48:$US48),"")</f>
        <v/>
      </c>
      <c r="AA97" s="170" t="str">
        <f ca="1">IFERROR(AVERAGEIF('PMO REAL'!$F$12:$US$12,'PMO PREV'!AA$63,'PMO REAL'!$F48:$US48),"")</f>
        <v/>
      </c>
      <c r="AB97" s="170" t="str">
        <f ca="1">IFERROR(AVERAGEIF('PMO REAL'!$F$12:$US$12,'PMO PREV'!AB$63,'PMO REAL'!$F48:$US48),"")</f>
        <v/>
      </c>
      <c r="AC97" s="170" t="str">
        <f ca="1">IFERROR(AVERAGEIF('PMO REAL'!$F$12:$US$12,'PMO PREV'!AC$63,'PMO REAL'!$F48:$US48),"")</f>
        <v/>
      </c>
      <c r="AD97" s="170" t="str">
        <f ca="1">IFERROR(AVERAGEIF('PMO REAL'!$F$12:$US$12,'PMO PREV'!AD$63,'PMO REAL'!$F48:$US48),"")</f>
        <v/>
      </c>
      <c r="AE97" s="170" t="str">
        <f ca="1">IFERROR(AVERAGEIF('PMO REAL'!$F$12:$US$12,'PMO PREV'!AE$63,'PMO REAL'!$F48:$US48),"")</f>
        <v/>
      </c>
      <c r="AF97" s="170" t="str">
        <f ca="1">IFERROR(AVERAGEIF('PMO REAL'!$F$12:$US$12,'PMO PREV'!AF$63,'PMO REAL'!$F48:$US48),"")</f>
        <v/>
      </c>
      <c r="AG97" s="170" t="str">
        <f ca="1">IFERROR(AVERAGEIF('PMO REAL'!$F$12:$US$12,'PMO PREV'!AG$63,'PMO REAL'!$F48:$US48),"")</f>
        <v/>
      </c>
      <c r="AH97" s="170" t="str">
        <f ca="1">IFERROR(AVERAGEIF('PMO REAL'!$F$12:$US$12,'PMO PREV'!AH$63,'PMO REAL'!$F48:$US48),"")</f>
        <v/>
      </c>
      <c r="AI97" s="170" t="str">
        <f ca="1">IFERROR(AVERAGEIF('PMO REAL'!$F$12:$US$12,'PMO PREV'!AI$63,'PMO REAL'!$F48:$US48),"")</f>
        <v/>
      </c>
      <c r="AJ97" s="170" t="str">
        <f ca="1">IFERROR(AVERAGEIF('PMO REAL'!$F$12:$US$12,'PMO PREV'!AJ$63,'PMO REAL'!$F48:$US48),"")</f>
        <v/>
      </c>
      <c r="AK97" s="170" t="str">
        <f ca="1">IFERROR(AVERAGEIF('PMO REAL'!$F$12:$US$12,'PMO PREV'!AK$63,'PMO REAL'!$F48:$US48),"")</f>
        <v/>
      </c>
      <c r="AL97" s="170" t="str">
        <f ca="1">IFERROR(AVERAGEIF('PMO REAL'!$F$12:$US$12,'PMO PREV'!AL$63,'PMO REAL'!$F48:$US48),"")</f>
        <v/>
      </c>
      <c r="AM97" s="170" t="str">
        <f ca="1">IFERROR(AVERAGEIF('PMO REAL'!$F$12:$US$12,'PMO PREV'!AM$63,'PMO REAL'!$F48:$US48),"")</f>
        <v/>
      </c>
      <c r="AN97" s="170" t="str">
        <f ca="1">IFERROR(AVERAGEIF('PMO REAL'!$F$12:$US$12,'PMO PREV'!AN$63,'PMO REAL'!$F48:$US48),"")</f>
        <v/>
      </c>
      <c r="AO97" s="170" t="str">
        <f ca="1">IFERROR(AVERAGEIF('PMO REAL'!$F$12:$US$12,'PMO PREV'!AO$63,'PMO REAL'!$F48:$US48),"")</f>
        <v/>
      </c>
      <c r="AP97" s="170" t="str">
        <f ca="1">IFERROR(AVERAGEIF('PMO REAL'!$F$12:$US$12,'PMO PREV'!AP$63,'PMO REAL'!$F48:$US48),"")</f>
        <v/>
      </c>
      <c r="AQ97" s="170" t="str">
        <f ca="1">IFERROR(AVERAGEIF('PMO REAL'!$F$12:$US$12,'PMO PREV'!AQ$63,'PMO REAL'!$F48:$US48),"")</f>
        <v/>
      </c>
      <c r="AR97" s="170" t="str">
        <f ca="1">IFERROR(AVERAGEIF('PMO REAL'!$F$12:$US$12,'PMO PREV'!AR$63,'PMO REAL'!$F48:$US48),"")</f>
        <v/>
      </c>
      <c r="AS97" s="170" t="str">
        <f ca="1">IFERROR(AVERAGEIF('PMO REAL'!$F$12:$US$12,'PMO PREV'!AS$63,'PMO REAL'!$F48:$US48),"")</f>
        <v/>
      </c>
      <c r="AT97" s="170" t="str">
        <f ca="1">IFERROR(AVERAGEIF('PMO REAL'!$F$12:$US$12,'PMO PREV'!AT$63,'PMO REAL'!$F48:$US48),"")</f>
        <v/>
      </c>
      <c r="AU97" s="170" t="str">
        <f ca="1">IFERROR(AVERAGEIF('PMO REAL'!$F$12:$US$12,'PMO PREV'!AU$63,'PMO REAL'!$F48:$US48),"")</f>
        <v/>
      </c>
      <c r="AV97" s="170" t="str">
        <f ca="1">IFERROR(AVERAGEIF('PMO REAL'!$F$12:$US$12,'PMO PREV'!AV$63,'PMO REAL'!$F48:$US48),"")</f>
        <v/>
      </c>
      <c r="AW97" s="170" t="str">
        <f ca="1">IFERROR(AVERAGEIF('PMO REAL'!$F$12:$US$12,'PMO PREV'!AW$63,'PMO REAL'!$F48:$US48),"")</f>
        <v/>
      </c>
      <c r="AX97" s="170" t="str">
        <f ca="1">IFERROR(AVERAGEIF('PMO REAL'!$F$12:$US$12,'PMO PREV'!AX$63,'PMO REAL'!$F48:$US48),"")</f>
        <v/>
      </c>
      <c r="AY97" s="170" t="str">
        <f ca="1">IFERROR(AVERAGEIF('PMO REAL'!$F$12:$US$12,'PMO PREV'!AY$63,'PMO REAL'!$F48:$US48),"")</f>
        <v/>
      </c>
      <c r="AZ97" s="170" t="str">
        <f ca="1">IFERROR(AVERAGEIF('PMO REAL'!$F$12:$US$12,'PMO PREV'!AZ$63,'PMO REAL'!$F48:$US48),"")</f>
        <v/>
      </c>
      <c r="BA97" s="170" t="str">
        <f ca="1">IFERROR(AVERAGEIF('PMO REAL'!$F$12:$US$12,'PMO PREV'!BA$63,'PMO REAL'!$F48:$US48),"")</f>
        <v/>
      </c>
      <c r="BB97" s="170" t="str">
        <f ca="1">IFERROR(AVERAGEIF('PMO REAL'!$F$12:$US$12,'PMO PREV'!BB$63,'PMO REAL'!$F48:$US48),"")</f>
        <v/>
      </c>
      <c r="BC97" s="170" t="str">
        <f ca="1">IFERROR(AVERAGEIF('PMO REAL'!$F$12:$US$12,'PMO PREV'!BC$63,'PMO REAL'!$F48:$US48),"")</f>
        <v/>
      </c>
      <c r="BD97" s="170" t="str">
        <f ca="1">IFERROR(AVERAGEIF('PMO REAL'!$F$12:$US$12,'PMO PREV'!BD$63,'PMO REAL'!$F48:$US48),"")</f>
        <v/>
      </c>
      <c r="BE97" s="170" t="str">
        <f ca="1">IFERROR(AVERAGEIF('PMO REAL'!$F$12:$US$12,'PMO PREV'!BE$63,'PMO REAL'!$F48:$US48),"")</f>
        <v/>
      </c>
      <c r="BF97" s="170" t="str">
        <f ca="1">IFERROR(AVERAGEIF('PMO REAL'!$F$12:$US$12,'PMO PREV'!BF$63,'PMO REAL'!$F48:$US48),"")</f>
        <v/>
      </c>
      <c r="BG97" s="170" t="str">
        <f ca="1">IFERROR(AVERAGEIF('PMO REAL'!$F$12:$US$12,'PMO PREV'!BG$63,'PMO REAL'!$F48:$US48),"")</f>
        <v/>
      </c>
      <c r="BH97" s="170" t="str">
        <f ca="1">IFERROR(AVERAGEIF('PMO REAL'!$F$12:$US$12,'PMO PREV'!BH$63,'PMO REAL'!$F48:$US48),"")</f>
        <v/>
      </c>
      <c r="BI97" s="170" t="str">
        <f ca="1">IFERROR(AVERAGEIF('PMO REAL'!$F$12:$US$12,'PMO PREV'!BI$63,'PMO REAL'!$F48:$US48),"")</f>
        <v/>
      </c>
      <c r="BJ97" s="170" t="str">
        <f ca="1">IFERROR(AVERAGEIF('PMO REAL'!$F$12:$US$12,'PMO PREV'!BJ$63,'PMO REAL'!$F48:$US48),"")</f>
        <v/>
      </c>
      <c r="BK97" s="170" t="str">
        <f ca="1">IFERROR(AVERAGEIF('PMO REAL'!$F$12:$US$12,'PMO PREV'!BK$63,'PMO REAL'!$F48:$US48),"")</f>
        <v/>
      </c>
      <c r="BL97" s="170" t="str">
        <f ca="1">IFERROR(AVERAGEIF('PMO REAL'!$F$12:$US$12,'PMO PREV'!BL$63,'PMO REAL'!$F48:$US48),"")</f>
        <v/>
      </c>
      <c r="BM97" s="170" t="str">
        <f ca="1">IFERROR(AVERAGEIF('PMO REAL'!$F$12:$US$12,'PMO PREV'!BM$63,'PMO REAL'!$F48:$US48),"")</f>
        <v/>
      </c>
      <c r="BN97" s="170" t="str">
        <f ca="1">IFERROR(AVERAGEIF('PMO REAL'!$F$12:$US$12,'PMO PREV'!BN$63,'PMO REAL'!$F48:$US48),"")</f>
        <v/>
      </c>
      <c r="BO97" s="170" t="str">
        <f ca="1">IFERROR(AVERAGEIF('PMO REAL'!$F$12:$US$12,'PMO PREV'!BO$63,'PMO REAL'!$F48:$US48),"")</f>
        <v/>
      </c>
      <c r="BP97" s="170" t="str">
        <f ca="1">IFERROR(AVERAGEIF('PMO REAL'!$F$12:$US$12,'PMO PREV'!BP$63,'PMO REAL'!$F48:$US48),"")</f>
        <v/>
      </c>
      <c r="BQ97" s="170" t="str">
        <f ca="1">IFERROR(AVERAGEIF('PMO REAL'!$F$12:$US$12,'PMO PREV'!BQ$63,'PMO REAL'!$F48:$US48),"")</f>
        <v/>
      </c>
      <c r="BR97" s="170" t="str">
        <f ca="1">IFERROR(AVERAGEIF('PMO REAL'!$F$12:$US$12,'PMO PREV'!BR$63,'PMO REAL'!$F48:$US48),"")</f>
        <v/>
      </c>
      <c r="BS97" s="170" t="str">
        <f ca="1">IFERROR(AVERAGEIF('PMO REAL'!$F$12:$US$12,'PMO PREV'!BS$63,'PMO REAL'!$F48:$US48),"")</f>
        <v/>
      </c>
      <c r="BT97" s="170" t="str">
        <f ca="1">IFERROR(AVERAGEIF('PMO REAL'!$F$12:$US$12,'PMO PREV'!BT$63,'PMO REAL'!$F48:$US48),"")</f>
        <v/>
      </c>
      <c r="BU97" s="170" t="str">
        <f ca="1">IFERROR(AVERAGEIF('PMO REAL'!$F$12:$US$12,'PMO PREV'!BU$63,'PMO REAL'!$F48:$US48),"")</f>
        <v/>
      </c>
      <c r="BV97" s="170" t="str">
        <f ca="1">IFERROR(AVERAGEIF('PMO REAL'!$F$12:$US$12,'PMO PREV'!BV$63,'PMO REAL'!$F48:$US48),"")</f>
        <v/>
      </c>
      <c r="BW97" s="170" t="str">
        <f ca="1">IFERROR(AVERAGEIF('PMO REAL'!$F$12:$US$12,'PMO PREV'!BW$63,'PMO REAL'!$F48:$US48),"")</f>
        <v/>
      </c>
      <c r="BX97" s="170" t="str">
        <f ca="1">IFERROR(AVERAGEIF('PMO REAL'!$F$12:$US$12,'PMO PREV'!BX$63,'PMO REAL'!$F48:$US48),"")</f>
        <v/>
      </c>
      <c r="BY97" s="170" t="str">
        <f ca="1">IFERROR(AVERAGEIF('PMO REAL'!$F$12:$US$12,'PMO PREV'!BY$63,'PMO REAL'!$F48:$US48),"")</f>
        <v/>
      </c>
      <c r="BZ97" s="170" t="str">
        <f ca="1">IFERROR(AVERAGEIF('PMO REAL'!$F$12:$US$12,'PMO PREV'!BZ$63,'PMO REAL'!$F48:$US48),"")</f>
        <v/>
      </c>
      <c r="CA97" s="170" t="str">
        <f ca="1">IFERROR(AVERAGEIF('PMO REAL'!$F$12:$US$12,'PMO PREV'!CA$63,'PMO REAL'!$F48:$US48),"")</f>
        <v/>
      </c>
      <c r="CB97" s="170" t="str">
        <f ca="1">IFERROR(AVERAGEIF('PMO REAL'!$F$12:$US$12,'PMO PREV'!CB$63,'PMO REAL'!$F48:$US48),"")</f>
        <v/>
      </c>
      <c r="CC97" s="170" t="str">
        <f ca="1">IFERROR(AVERAGEIF('PMO REAL'!$F$12:$US$12,'PMO PREV'!CC$63,'PMO REAL'!$F48:$US48),"")</f>
        <v/>
      </c>
      <c r="CD97" s="170" t="str">
        <f ca="1">IFERROR(AVERAGEIF('PMO REAL'!$F$12:$US$12,'PMO PREV'!CD$63,'PMO REAL'!$F48:$US48),"")</f>
        <v/>
      </c>
      <c r="CE97" s="170" t="str">
        <f ca="1">IFERROR(AVERAGEIF('PMO REAL'!$F$12:$US$12,'PMO PREV'!CE$63,'PMO REAL'!$F48:$US48),"")</f>
        <v/>
      </c>
      <c r="CF97" s="170" t="str">
        <f ca="1">IFERROR(AVERAGEIF('PMO REAL'!$F$12:$US$12,'PMO PREV'!CF$63,'PMO REAL'!$F48:$US48),"")</f>
        <v/>
      </c>
      <c r="CG97" s="170" t="str">
        <f ca="1">IFERROR(AVERAGEIF('PMO REAL'!$F$12:$US$12,'PMO PREV'!CG$63,'PMO REAL'!$F48:$US48),"")</f>
        <v/>
      </c>
      <c r="CH97" s="120"/>
      <c r="CI97" s="121"/>
      <c r="CJ97" s="92"/>
      <c r="CK97" s="92"/>
      <c r="CL97" s="92"/>
      <c r="CM97" s="92"/>
      <c r="CN97" s="92"/>
      <c r="CO97" s="92"/>
    </row>
    <row r="98" spans="2:95" ht="15.75" customHeight="1" x14ac:dyDescent="0.3">
      <c r="B98" s="169" t="s">
        <v>45</v>
      </c>
      <c r="C98" s="171"/>
      <c r="D98" s="152" t="str">
        <f t="shared" ca="1" si="18"/>
        <v/>
      </c>
      <c r="E98" s="159" t="str">
        <f t="shared" ca="1" si="19"/>
        <v/>
      </c>
      <c r="F98" s="155" t="str">
        <f ca="1">IFERROR(AVERAGEIF('PMO REAL'!$F$12:$US$12,'PMO PREV'!F$63,'PMO REAL'!$F49:$US49),"")</f>
        <v/>
      </c>
      <c r="G98" s="170" t="str">
        <f ca="1">IFERROR(AVERAGEIF('PMO REAL'!$F$12:$US$12,'PMO PREV'!G$63,'PMO REAL'!$F49:$US49),"")</f>
        <v/>
      </c>
      <c r="H98" s="170" t="str">
        <f ca="1">IFERROR(AVERAGEIF('PMO REAL'!$F$12:$US$12,'PMO PREV'!H$63,'PMO REAL'!$F49:$US49),"")</f>
        <v/>
      </c>
      <c r="I98" s="170" t="str">
        <f ca="1">IFERROR(AVERAGEIF('PMO REAL'!$F$12:$US$12,'PMO PREV'!I$63,'PMO REAL'!$F49:$US49),"")</f>
        <v/>
      </c>
      <c r="J98" s="170" t="str">
        <f ca="1">IFERROR(AVERAGEIF('PMO REAL'!$F$12:$US$12,'PMO PREV'!J$63,'PMO REAL'!$F49:$US49),"")</f>
        <v/>
      </c>
      <c r="K98" s="170" t="str">
        <f ca="1">IFERROR(AVERAGEIF('PMO REAL'!$F$12:$US$12,'PMO PREV'!K$63,'PMO REAL'!$F49:$US49),"")</f>
        <v/>
      </c>
      <c r="L98" s="170" t="str">
        <f ca="1">IFERROR(AVERAGEIF('PMO REAL'!$F$12:$US$12,'PMO PREV'!L$63,'PMO REAL'!$F49:$US49),"")</f>
        <v/>
      </c>
      <c r="M98" s="170" t="str">
        <f ca="1">IFERROR(AVERAGEIF('PMO REAL'!$F$12:$US$12,'PMO PREV'!M$63,'PMO REAL'!$F49:$US49),"")</f>
        <v/>
      </c>
      <c r="N98" s="170" t="str">
        <f ca="1">IFERROR(AVERAGEIF('PMO REAL'!$F$12:$US$12,'PMO PREV'!N$63,'PMO REAL'!$F49:$US49),"")</f>
        <v/>
      </c>
      <c r="O98" s="170" t="str">
        <f ca="1">IFERROR(AVERAGEIF('PMO REAL'!$F$12:$US$12,'PMO PREV'!O$63,'PMO REAL'!$F49:$US49),"")</f>
        <v/>
      </c>
      <c r="P98" s="170" t="str">
        <f ca="1">IFERROR(AVERAGEIF('PMO REAL'!$F$12:$US$12,'PMO PREV'!P$63,'PMO REAL'!$F49:$US49),"")</f>
        <v/>
      </c>
      <c r="Q98" s="170" t="str">
        <f ca="1">IFERROR(AVERAGEIF('PMO REAL'!$F$12:$US$12,'PMO PREV'!Q$63,'PMO REAL'!$F49:$US49),"")</f>
        <v/>
      </c>
      <c r="R98" s="170" t="str">
        <f ca="1">IFERROR(AVERAGEIF('PMO REAL'!$F$12:$US$12,'PMO PREV'!R$63,'PMO REAL'!$F49:$US49),"")</f>
        <v/>
      </c>
      <c r="S98" s="170" t="str">
        <f ca="1">IFERROR(AVERAGEIF('PMO REAL'!$F$12:$US$12,'PMO PREV'!S$63,'PMO REAL'!$F49:$US49),"")</f>
        <v/>
      </c>
      <c r="T98" s="170" t="str">
        <f ca="1">IFERROR(AVERAGEIF('PMO REAL'!$F$12:$US$12,'PMO PREV'!T$63,'PMO REAL'!$F49:$US49),"")</f>
        <v/>
      </c>
      <c r="U98" s="170" t="str">
        <f ca="1">IFERROR(AVERAGEIF('PMO REAL'!$F$12:$US$12,'PMO PREV'!U$63,'PMO REAL'!$F49:$US49),"")</f>
        <v/>
      </c>
      <c r="V98" s="170" t="str">
        <f ca="1">IFERROR(AVERAGEIF('PMO REAL'!$F$12:$US$12,'PMO PREV'!V$63,'PMO REAL'!$F49:$US49),"")</f>
        <v/>
      </c>
      <c r="W98" s="170" t="str">
        <f ca="1">IFERROR(AVERAGEIF('PMO REAL'!$F$12:$US$12,'PMO PREV'!W$63,'PMO REAL'!$F49:$US49),"")</f>
        <v/>
      </c>
      <c r="X98" s="170" t="str">
        <f ca="1">IFERROR(AVERAGEIF('PMO REAL'!$F$12:$US$12,'PMO PREV'!X$63,'PMO REAL'!$F49:$US49),"")</f>
        <v/>
      </c>
      <c r="Y98" s="170" t="str">
        <f ca="1">IFERROR(AVERAGEIF('PMO REAL'!$F$12:$US$12,'PMO PREV'!Y$63,'PMO REAL'!$F49:$US49),"")</f>
        <v/>
      </c>
      <c r="Z98" s="170" t="str">
        <f ca="1">IFERROR(AVERAGEIF('PMO REAL'!$F$12:$US$12,'PMO PREV'!Z$63,'PMO REAL'!$F49:$US49),"")</f>
        <v/>
      </c>
      <c r="AA98" s="170" t="str">
        <f ca="1">IFERROR(AVERAGEIF('PMO REAL'!$F$12:$US$12,'PMO PREV'!AA$63,'PMO REAL'!$F49:$US49),"")</f>
        <v/>
      </c>
      <c r="AB98" s="170" t="str">
        <f ca="1">IFERROR(AVERAGEIF('PMO REAL'!$F$12:$US$12,'PMO PREV'!AB$63,'PMO REAL'!$F49:$US49),"")</f>
        <v/>
      </c>
      <c r="AC98" s="170" t="str">
        <f ca="1">IFERROR(AVERAGEIF('PMO REAL'!$F$12:$US$12,'PMO PREV'!AC$63,'PMO REAL'!$F49:$US49),"")</f>
        <v/>
      </c>
      <c r="AD98" s="170" t="str">
        <f ca="1">IFERROR(AVERAGEIF('PMO REAL'!$F$12:$US$12,'PMO PREV'!AD$63,'PMO REAL'!$F49:$US49),"")</f>
        <v/>
      </c>
      <c r="AE98" s="170" t="str">
        <f ca="1">IFERROR(AVERAGEIF('PMO REAL'!$F$12:$US$12,'PMO PREV'!AE$63,'PMO REAL'!$F49:$US49),"")</f>
        <v/>
      </c>
      <c r="AF98" s="170" t="str">
        <f ca="1">IFERROR(AVERAGEIF('PMO REAL'!$F$12:$US$12,'PMO PREV'!AF$63,'PMO REAL'!$F49:$US49),"")</f>
        <v/>
      </c>
      <c r="AG98" s="170" t="str">
        <f ca="1">IFERROR(AVERAGEIF('PMO REAL'!$F$12:$US$12,'PMO PREV'!AG$63,'PMO REAL'!$F49:$US49),"")</f>
        <v/>
      </c>
      <c r="AH98" s="170" t="str">
        <f ca="1">IFERROR(AVERAGEIF('PMO REAL'!$F$12:$US$12,'PMO PREV'!AH$63,'PMO REAL'!$F49:$US49),"")</f>
        <v/>
      </c>
      <c r="AI98" s="170" t="str">
        <f ca="1">IFERROR(AVERAGEIF('PMO REAL'!$F$12:$US$12,'PMO PREV'!AI$63,'PMO REAL'!$F49:$US49),"")</f>
        <v/>
      </c>
      <c r="AJ98" s="170" t="str">
        <f ca="1">IFERROR(AVERAGEIF('PMO REAL'!$F$12:$US$12,'PMO PREV'!AJ$63,'PMO REAL'!$F49:$US49),"")</f>
        <v/>
      </c>
      <c r="AK98" s="170" t="str">
        <f ca="1">IFERROR(AVERAGEIF('PMO REAL'!$F$12:$US$12,'PMO PREV'!AK$63,'PMO REAL'!$F49:$US49),"")</f>
        <v/>
      </c>
      <c r="AL98" s="170" t="str">
        <f ca="1">IFERROR(AVERAGEIF('PMO REAL'!$F$12:$US$12,'PMO PREV'!AL$63,'PMO REAL'!$F49:$US49),"")</f>
        <v/>
      </c>
      <c r="AM98" s="170" t="str">
        <f ca="1">IFERROR(AVERAGEIF('PMO REAL'!$F$12:$US$12,'PMO PREV'!AM$63,'PMO REAL'!$F49:$US49),"")</f>
        <v/>
      </c>
      <c r="AN98" s="170" t="str">
        <f ca="1">IFERROR(AVERAGEIF('PMO REAL'!$F$12:$US$12,'PMO PREV'!AN$63,'PMO REAL'!$F49:$US49),"")</f>
        <v/>
      </c>
      <c r="AO98" s="170" t="str">
        <f ca="1">IFERROR(AVERAGEIF('PMO REAL'!$F$12:$US$12,'PMO PREV'!AO$63,'PMO REAL'!$F49:$US49),"")</f>
        <v/>
      </c>
      <c r="AP98" s="170" t="str">
        <f ca="1">IFERROR(AVERAGEIF('PMO REAL'!$F$12:$US$12,'PMO PREV'!AP$63,'PMO REAL'!$F49:$US49),"")</f>
        <v/>
      </c>
      <c r="AQ98" s="170" t="str">
        <f ca="1">IFERROR(AVERAGEIF('PMO REAL'!$F$12:$US$12,'PMO PREV'!AQ$63,'PMO REAL'!$F49:$US49),"")</f>
        <v/>
      </c>
      <c r="AR98" s="170" t="str">
        <f ca="1">IFERROR(AVERAGEIF('PMO REAL'!$F$12:$US$12,'PMO PREV'!AR$63,'PMO REAL'!$F49:$US49),"")</f>
        <v/>
      </c>
      <c r="AS98" s="170" t="str">
        <f ca="1">IFERROR(AVERAGEIF('PMO REAL'!$F$12:$US$12,'PMO PREV'!AS$63,'PMO REAL'!$F49:$US49),"")</f>
        <v/>
      </c>
      <c r="AT98" s="170" t="str">
        <f ca="1">IFERROR(AVERAGEIF('PMO REAL'!$F$12:$US$12,'PMO PREV'!AT$63,'PMO REAL'!$F49:$US49),"")</f>
        <v/>
      </c>
      <c r="AU98" s="170" t="str">
        <f ca="1">IFERROR(AVERAGEIF('PMO REAL'!$F$12:$US$12,'PMO PREV'!AU$63,'PMO REAL'!$F49:$US49),"")</f>
        <v/>
      </c>
      <c r="AV98" s="170" t="str">
        <f ca="1">IFERROR(AVERAGEIF('PMO REAL'!$F$12:$US$12,'PMO PREV'!AV$63,'PMO REAL'!$F49:$US49),"")</f>
        <v/>
      </c>
      <c r="AW98" s="170" t="str">
        <f ca="1">IFERROR(AVERAGEIF('PMO REAL'!$F$12:$US$12,'PMO PREV'!AW$63,'PMO REAL'!$F49:$US49),"")</f>
        <v/>
      </c>
      <c r="AX98" s="170" t="str">
        <f ca="1">IFERROR(AVERAGEIF('PMO REAL'!$F$12:$US$12,'PMO PREV'!AX$63,'PMO REAL'!$F49:$US49),"")</f>
        <v/>
      </c>
      <c r="AY98" s="170" t="str">
        <f ca="1">IFERROR(AVERAGEIF('PMO REAL'!$F$12:$US$12,'PMO PREV'!AY$63,'PMO REAL'!$F49:$US49),"")</f>
        <v/>
      </c>
      <c r="AZ98" s="170" t="str">
        <f ca="1">IFERROR(AVERAGEIF('PMO REAL'!$F$12:$US$12,'PMO PREV'!AZ$63,'PMO REAL'!$F49:$US49),"")</f>
        <v/>
      </c>
      <c r="BA98" s="170" t="str">
        <f ca="1">IFERROR(AVERAGEIF('PMO REAL'!$F$12:$US$12,'PMO PREV'!BA$63,'PMO REAL'!$F49:$US49),"")</f>
        <v/>
      </c>
      <c r="BB98" s="170" t="str">
        <f ca="1">IFERROR(AVERAGEIF('PMO REAL'!$F$12:$US$12,'PMO PREV'!BB$63,'PMO REAL'!$F49:$US49),"")</f>
        <v/>
      </c>
      <c r="BC98" s="170" t="str">
        <f ca="1">IFERROR(AVERAGEIF('PMO REAL'!$F$12:$US$12,'PMO PREV'!BC$63,'PMO REAL'!$F49:$US49),"")</f>
        <v/>
      </c>
      <c r="BD98" s="170" t="str">
        <f ca="1">IFERROR(AVERAGEIF('PMO REAL'!$F$12:$US$12,'PMO PREV'!BD$63,'PMO REAL'!$F49:$US49),"")</f>
        <v/>
      </c>
      <c r="BE98" s="170" t="str">
        <f ca="1">IFERROR(AVERAGEIF('PMO REAL'!$F$12:$US$12,'PMO PREV'!BE$63,'PMO REAL'!$F49:$US49),"")</f>
        <v/>
      </c>
      <c r="BF98" s="170" t="str">
        <f ca="1">IFERROR(AVERAGEIF('PMO REAL'!$F$12:$US$12,'PMO PREV'!BF$63,'PMO REAL'!$F49:$US49),"")</f>
        <v/>
      </c>
      <c r="BG98" s="170" t="str">
        <f ca="1">IFERROR(AVERAGEIF('PMO REAL'!$F$12:$US$12,'PMO PREV'!BG$63,'PMO REAL'!$F49:$US49),"")</f>
        <v/>
      </c>
      <c r="BH98" s="170" t="str">
        <f ca="1">IFERROR(AVERAGEIF('PMO REAL'!$F$12:$US$12,'PMO PREV'!BH$63,'PMO REAL'!$F49:$US49),"")</f>
        <v/>
      </c>
      <c r="BI98" s="170" t="str">
        <f ca="1">IFERROR(AVERAGEIF('PMO REAL'!$F$12:$US$12,'PMO PREV'!BI$63,'PMO REAL'!$F49:$US49),"")</f>
        <v/>
      </c>
      <c r="BJ98" s="170" t="str">
        <f ca="1">IFERROR(AVERAGEIF('PMO REAL'!$F$12:$US$12,'PMO PREV'!BJ$63,'PMO REAL'!$F49:$US49),"")</f>
        <v/>
      </c>
      <c r="BK98" s="170" t="str">
        <f ca="1">IFERROR(AVERAGEIF('PMO REAL'!$F$12:$US$12,'PMO PREV'!BK$63,'PMO REAL'!$F49:$US49),"")</f>
        <v/>
      </c>
      <c r="BL98" s="170" t="str">
        <f ca="1">IFERROR(AVERAGEIF('PMO REAL'!$F$12:$US$12,'PMO PREV'!BL$63,'PMO REAL'!$F49:$US49),"")</f>
        <v/>
      </c>
      <c r="BM98" s="170" t="str">
        <f ca="1">IFERROR(AVERAGEIF('PMO REAL'!$F$12:$US$12,'PMO PREV'!BM$63,'PMO REAL'!$F49:$US49),"")</f>
        <v/>
      </c>
      <c r="BN98" s="170" t="str">
        <f ca="1">IFERROR(AVERAGEIF('PMO REAL'!$F$12:$US$12,'PMO PREV'!BN$63,'PMO REAL'!$F49:$US49),"")</f>
        <v/>
      </c>
      <c r="BO98" s="170" t="str">
        <f ca="1">IFERROR(AVERAGEIF('PMO REAL'!$F$12:$US$12,'PMO PREV'!BO$63,'PMO REAL'!$F49:$US49),"")</f>
        <v/>
      </c>
      <c r="BP98" s="170" t="str">
        <f ca="1">IFERROR(AVERAGEIF('PMO REAL'!$F$12:$US$12,'PMO PREV'!BP$63,'PMO REAL'!$F49:$US49),"")</f>
        <v/>
      </c>
      <c r="BQ98" s="170" t="str">
        <f ca="1">IFERROR(AVERAGEIF('PMO REAL'!$F$12:$US$12,'PMO PREV'!BQ$63,'PMO REAL'!$F49:$US49),"")</f>
        <v/>
      </c>
      <c r="BR98" s="170" t="str">
        <f ca="1">IFERROR(AVERAGEIF('PMO REAL'!$F$12:$US$12,'PMO PREV'!BR$63,'PMO REAL'!$F49:$US49),"")</f>
        <v/>
      </c>
      <c r="BS98" s="170" t="str">
        <f ca="1">IFERROR(AVERAGEIF('PMO REAL'!$F$12:$US$12,'PMO PREV'!BS$63,'PMO REAL'!$F49:$US49),"")</f>
        <v/>
      </c>
      <c r="BT98" s="170" t="str">
        <f ca="1">IFERROR(AVERAGEIF('PMO REAL'!$F$12:$US$12,'PMO PREV'!BT$63,'PMO REAL'!$F49:$US49),"")</f>
        <v/>
      </c>
      <c r="BU98" s="170" t="str">
        <f ca="1">IFERROR(AVERAGEIF('PMO REAL'!$F$12:$US$12,'PMO PREV'!BU$63,'PMO REAL'!$F49:$US49),"")</f>
        <v/>
      </c>
      <c r="BV98" s="170" t="str">
        <f ca="1">IFERROR(AVERAGEIF('PMO REAL'!$F$12:$US$12,'PMO PREV'!BV$63,'PMO REAL'!$F49:$US49),"")</f>
        <v/>
      </c>
      <c r="BW98" s="170" t="str">
        <f ca="1">IFERROR(AVERAGEIF('PMO REAL'!$F$12:$US$12,'PMO PREV'!BW$63,'PMO REAL'!$F49:$US49),"")</f>
        <v/>
      </c>
      <c r="BX98" s="170" t="str">
        <f ca="1">IFERROR(AVERAGEIF('PMO REAL'!$F$12:$US$12,'PMO PREV'!BX$63,'PMO REAL'!$F49:$US49),"")</f>
        <v/>
      </c>
      <c r="BY98" s="170" t="str">
        <f ca="1">IFERROR(AVERAGEIF('PMO REAL'!$F$12:$US$12,'PMO PREV'!BY$63,'PMO REAL'!$F49:$US49),"")</f>
        <v/>
      </c>
      <c r="BZ98" s="170" t="str">
        <f ca="1">IFERROR(AVERAGEIF('PMO REAL'!$F$12:$US$12,'PMO PREV'!BZ$63,'PMO REAL'!$F49:$US49),"")</f>
        <v/>
      </c>
      <c r="CA98" s="170" t="str">
        <f ca="1">IFERROR(AVERAGEIF('PMO REAL'!$F$12:$US$12,'PMO PREV'!CA$63,'PMO REAL'!$F49:$US49),"")</f>
        <v/>
      </c>
      <c r="CB98" s="170" t="str">
        <f ca="1">IFERROR(AVERAGEIF('PMO REAL'!$F$12:$US$12,'PMO PREV'!CB$63,'PMO REAL'!$F49:$US49),"")</f>
        <v/>
      </c>
      <c r="CC98" s="170" t="str">
        <f ca="1">IFERROR(AVERAGEIF('PMO REAL'!$F$12:$US$12,'PMO PREV'!CC$63,'PMO REAL'!$F49:$US49),"")</f>
        <v/>
      </c>
      <c r="CD98" s="170" t="str">
        <f ca="1">IFERROR(AVERAGEIF('PMO REAL'!$F$12:$US$12,'PMO PREV'!CD$63,'PMO REAL'!$F49:$US49),"")</f>
        <v/>
      </c>
      <c r="CE98" s="170" t="str">
        <f ca="1">IFERROR(AVERAGEIF('PMO REAL'!$F$12:$US$12,'PMO PREV'!CE$63,'PMO REAL'!$F49:$US49),"")</f>
        <v/>
      </c>
      <c r="CF98" s="170" t="str">
        <f ca="1">IFERROR(AVERAGEIF('PMO REAL'!$F$12:$US$12,'PMO PREV'!CF$63,'PMO REAL'!$F49:$US49),"")</f>
        <v/>
      </c>
      <c r="CG98" s="170" t="str">
        <f ca="1">IFERROR(AVERAGEIF('PMO REAL'!$F$12:$US$12,'PMO PREV'!CG$63,'PMO REAL'!$F49:$US49),"")</f>
        <v/>
      </c>
      <c r="CH98" s="120"/>
      <c r="CI98" s="121"/>
      <c r="CJ98" s="92"/>
      <c r="CK98" s="92"/>
      <c r="CL98" s="92"/>
      <c r="CM98" s="92"/>
      <c r="CN98" s="92"/>
      <c r="CO98" s="92"/>
    </row>
    <row r="99" spans="2:95" ht="15.75" customHeight="1" x14ac:dyDescent="0.3">
      <c r="B99" s="169" t="s">
        <v>44</v>
      </c>
      <c r="C99" s="171"/>
      <c r="D99" s="152" t="str">
        <f t="shared" ca="1" si="18"/>
        <v/>
      </c>
      <c r="E99" s="159" t="str">
        <f t="shared" ca="1" si="19"/>
        <v/>
      </c>
      <c r="F99" s="155" t="str">
        <f ca="1">IFERROR(AVERAGEIF('PMO REAL'!$F$12:$US$12,'PMO PREV'!F$63,'PMO REAL'!$F50:$US50),"")</f>
        <v/>
      </c>
      <c r="G99" s="170" t="str">
        <f ca="1">IFERROR(AVERAGEIF('PMO REAL'!$F$12:$US$12,'PMO PREV'!G$63,'PMO REAL'!$F50:$US50),"")</f>
        <v/>
      </c>
      <c r="H99" s="170" t="str">
        <f ca="1">IFERROR(AVERAGEIF('PMO REAL'!$F$12:$US$12,'PMO PREV'!H$63,'PMO REAL'!$F50:$US50),"")</f>
        <v/>
      </c>
      <c r="I99" s="170" t="str">
        <f ca="1">IFERROR(AVERAGEIF('PMO REAL'!$F$12:$US$12,'PMO PREV'!I$63,'PMO REAL'!$F50:$US50),"")</f>
        <v/>
      </c>
      <c r="J99" s="170" t="str">
        <f ca="1">IFERROR(AVERAGEIF('PMO REAL'!$F$12:$US$12,'PMO PREV'!J$63,'PMO REAL'!$F50:$US50),"")</f>
        <v/>
      </c>
      <c r="K99" s="170" t="str">
        <f ca="1">IFERROR(AVERAGEIF('PMO REAL'!$F$12:$US$12,'PMO PREV'!K$63,'PMO REAL'!$F50:$US50),"")</f>
        <v/>
      </c>
      <c r="L99" s="170" t="str">
        <f ca="1">IFERROR(AVERAGEIF('PMO REAL'!$F$12:$US$12,'PMO PREV'!L$63,'PMO REAL'!$F50:$US50),"")</f>
        <v/>
      </c>
      <c r="M99" s="170" t="str">
        <f ca="1">IFERROR(AVERAGEIF('PMO REAL'!$F$12:$US$12,'PMO PREV'!M$63,'PMO REAL'!$F50:$US50),"")</f>
        <v/>
      </c>
      <c r="N99" s="170" t="str">
        <f ca="1">IFERROR(AVERAGEIF('PMO REAL'!$F$12:$US$12,'PMO PREV'!N$63,'PMO REAL'!$F50:$US50),"")</f>
        <v/>
      </c>
      <c r="O99" s="170" t="str">
        <f ca="1">IFERROR(AVERAGEIF('PMO REAL'!$F$12:$US$12,'PMO PREV'!O$63,'PMO REAL'!$F50:$US50),"")</f>
        <v/>
      </c>
      <c r="P99" s="170" t="str">
        <f ca="1">IFERROR(AVERAGEIF('PMO REAL'!$F$12:$US$12,'PMO PREV'!P$63,'PMO REAL'!$F50:$US50),"")</f>
        <v/>
      </c>
      <c r="Q99" s="170" t="str">
        <f ca="1">IFERROR(AVERAGEIF('PMO REAL'!$F$12:$US$12,'PMO PREV'!Q$63,'PMO REAL'!$F50:$US50),"")</f>
        <v/>
      </c>
      <c r="R99" s="170" t="str">
        <f ca="1">IFERROR(AVERAGEIF('PMO REAL'!$F$12:$US$12,'PMO PREV'!R$63,'PMO REAL'!$F50:$US50),"")</f>
        <v/>
      </c>
      <c r="S99" s="170" t="str">
        <f ca="1">IFERROR(AVERAGEIF('PMO REAL'!$F$12:$US$12,'PMO PREV'!S$63,'PMO REAL'!$F50:$US50),"")</f>
        <v/>
      </c>
      <c r="T99" s="170" t="str">
        <f ca="1">IFERROR(AVERAGEIF('PMO REAL'!$F$12:$US$12,'PMO PREV'!T$63,'PMO REAL'!$F50:$US50),"")</f>
        <v/>
      </c>
      <c r="U99" s="170" t="str">
        <f ca="1">IFERROR(AVERAGEIF('PMO REAL'!$F$12:$US$12,'PMO PREV'!U$63,'PMO REAL'!$F50:$US50),"")</f>
        <v/>
      </c>
      <c r="V99" s="170" t="str">
        <f ca="1">IFERROR(AVERAGEIF('PMO REAL'!$F$12:$US$12,'PMO PREV'!V$63,'PMO REAL'!$F50:$US50),"")</f>
        <v/>
      </c>
      <c r="W99" s="170" t="str">
        <f ca="1">IFERROR(AVERAGEIF('PMO REAL'!$F$12:$US$12,'PMO PREV'!W$63,'PMO REAL'!$F50:$US50),"")</f>
        <v/>
      </c>
      <c r="X99" s="170" t="str">
        <f ca="1">IFERROR(AVERAGEIF('PMO REAL'!$F$12:$US$12,'PMO PREV'!X$63,'PMO REAL'!$F50:$US50),"")</f>
        <v/>
      </c>
      <c r="Y99" s="170" t="str">
        <f ca="1">IFERROR(AVERAGEIF('PMO REAL'!$F$12:$US$12,'PMO PREV'!Y$63,'PMO REAL'!$F50:$US50),"")</f>
        <v/>
      </c>
      <c r="Z99" s="170" t="str">
        <f ca="1">IFERROR(AVERAGEIF('PMO REAL'!$F$12:$US$12,'PMO PREV'!Z$63,'PMO REAL'!$F50:$US50),"")</f>
        <v/>
      </c>
      <c r="AA99" s="170" t="str">
        <f ca="1">IFERROR(AVERAGEIF('PMO REAL'!$F$12:$US$12,'PMO PREV'!AA$63,'PMO REAL'!$F50:$US50),"")</f>
        <v/>
      </c>
      <c r="AB99" s="170" t="str">
        <f ca="1">IFERROR(AVERAGEIF('PMO REAL'!$F$12:$US$12,'PMO PREV'!AB$63,'PMO REAL'!$F50:$US50),"")</f>
        <v/>
      </c>
      <c r="AC99" s="170" t="str">
        <f ca="1">IFERROR(AVERAGEIF('PMO REAL'!$F$12:$US$12,'PMO PREV'!AC$63,'PMO REAL'!$F50:$US50),"")</f>
        <v/>
      </c>
      <c r="AD99" s="170" t="str">
        <f ca="1">IFERROR(AVERAGEIF('PMO REAL'!$F$12:$US$12,'PMO PREV'!AD$63,'PMO REAL'!$F50:$US50),"")</f>
        <v/>
      </c>
      <c r="AE99" s="170" t="str">
        <f ca="1">IFERROR(AVERAGEIF('PMO REAL'!$F$12:$US$12,'PMO PREV'!AE$63,'PMO REAL'!$F50:$US50),"")</f>
        <v/>
      </c>
      <c r="AF99" s="170" t="str">
        <f ca="1">IFERROR(AVERAGEIF('PMO REAL'!$F$12:$US$12,'PMO PREV'!AF$63,'PMO REAL'!$F50:$US50),"")</f>
        <v/>
      </c>
      <c r="AG99" s="170" t="str">
        <f ca="1">IFERROR(AVERAGEIF('PMO REAL'!$F$12:$US$12,'PMO PREV'!AG$63,'PMO REAL'!$F50:$US50),"")</f>
        <v/>
      </c>
      <c r="AH99" s="170" t="str">
        <f ca="1">IFERROR(AVERAGEIF('PMO REAL'!$F$12:$US$12,'PMO PREV'!AH$63,'PMO REAL'!$F50:$US50),"")</f>
        <v/>
      </c>
      <c r="AI99" s="170" t="str">
        <f ca="1">IFERROR(AVERAGEIF('PMO REAL'!$F$12:$US$12,'PMO PREV'!AI$63,'PMO REAL'!$F50:$US50),"")</f>
        <v/>
      </c>
      <c r="AJ99" s="170" t="str">
        <f ca="1">IFERROR(AVERAGEIF('PMO REAL'!$F$12:$US$12,'PMO PREV'!AJ$63,'PMO REAL'!$F50:$US50),"")</f>
        <v/>
      </c>
      <c r="AK99" s="170" t="str">
        <f ca="1">IFERROR(AVERAGEIF('PMO REAL'!$F$12:$US$12,'PMO PREV'!AK$63,'PMO REAL'!$F50:$US50),"")</f>
        <v/>
      </c>
      <c r="AL99" s="170" t="str">
        <f ca="1">IFERROR(AVERAGEIF('PMO REAL'!$F$12:$US$12,'PMO PREV'!AL$63,'PMO REAL'!$F50:$US50),"")</f>
        <v/>
      </c>
      <c r="AM99" s="170" t="str">
        <f ca="1">IFERROR(AVERAGEIF('PMO REAL'!$F$12:$US$12,'PMO PREV'!AM$63,'PMO REAL'!$F50:$US50),"")</f>
        <v/>
      </c>
      <c r="AN99" s="170" t="str">
        <f ca="1">IFERROR(AVERAGEIF('PMO REAL'!$F$12:$US$12,'PMO PREV'!AN$63,'PMO REAL'!$F50:$US50),"")</f>
        <v/>
      </c>
      <c r="AO99" s="170" t="str">
        <f ca="1">IFERROR(AVERAGEIF('PMO REAL'!$F$12:$US$12,'PMO PREV'!AO$63,'PMO REAL'!$F50:$US50),"")</f>
        <v/>
      </c>
      <c r="AP99" s="170" t="str">
        <f ca="1">IFERROR(AVERAGEIF('PMO REAL'!$F$12:$US$12,'PMO PREV'!AP$63,'PMO REAL'!$F50:$US50),"")</f>
        <v/>
      </c>
      <c r="AQ99" s="170" t="str">
        <f ca="1">IFERROR(AVERAGEIF('PMO REAL'!$F$12:$US$12,'PMO PREV'!AQ$63,'PMO REAL'!$F50:$US50),"")</f>
        <v/>
      </c>
      <c r="AR99" s="170" t="str">
        <f ca="1">IFERROR(AVERAGEIF('PMO REAL'!$F$12:$US$12,'PMO PREV'!AR$63,'PMO REAL'!$F50:$US50),"")</f>
        <v/>
      </c>
      <c r="AS99" s="170" t="str">
        <f ca="1">IFERROR(AVERAGEIF('PMO REAL'!$F$12:$US$12,'PMO PREV'!AS$63,'PMO REAL'!$F50:$US50),"")</f>
        <v/>
      </c>
      <c r="AT99" s="170" t="str">
        <f ca="1">IFERROR(AVERAGEIF('PMO REAL'!$F$12:$US$12,'PMO PREV'!AT$63,'PMO REAL'!$F50:$US50),"")</f>
        <v/>
      </c>
      <c r="AU99" s="170" t="str">
        <f ca="1">IFERROR(AVERAGEIF('PMO REAL'!$F$12:$US$12,'PMO PREV'!AU$63,'PMO REAL'!$F50:$US50),"")</f>
        <v/>
      </c>
      <c r="AV99" s="170" t="str">
        <f ca="1">IFERROR(AVERAGEIF('PMO REAL'!$F$12:$US$12,'PMO PREV'!AV$63,'PMO REAL'!$F50:$US50),"")</f>
        <v/>
      </c>
      <c r="AW99" s="170" t="str">
        <f ca="1">IFERROR(AVERAGEIF('PMO REAL'!$F$12:$US$12,'PMO PREV'!AW$63,'PMO REAL'!$F50:$US50),"")</f>
        <v/>
      </c>
      <c r="AX99" s="170" t="str">
        <f ca="1">IFERROR(AVERAGEIF('PMO REAL'!$F$12:$US$12,'PMO PREV'!AX$63,'PMO REAL'!$F50:$US50),"")</f>
        <v/>
      </c>
      <c r="AY99" s="170" t="str">
        <f ca="1">IFERROR(AVERAGEIF('PMO REAL'!$F$12:$US$12,'PMO PREV'!AY$63,'PMO REAL'!$F50:$US50),"")</f>
        <v/>
      </c>
      <c r="AZ99" s="170" t="str">
        <f ca="1">IFERROR(AVERAGEIF('PMO REAL'!$F$12:$US$12,'PMO PREV'!AZ$63,'PMO REAL'!$F50:$US50),"")</f>
        <v/>
      </c>
      <c r="BA99" s="170" t="str">
        <f ca="1">IFERROR(AVERAGEIF('PMO REAL'!$F$12:$US$12,'PMO PREV'!BA$63,'PMO REAL'!$F50:$US50),"")</f>
        <v/>
      </c>
      <c r="BB99" s="170" t="str">
        <f ca="1">IFERROR(AVERAGEIF('PMO REAL'!$F$12:$US$12,'PMO PREV'!BB$63,'PMO REAL'!$F50:$US50),"")</f>
        <v/>
      </c>
      <c r="BC99" s="170" t="str">
        <f ca="1">IFERROR(AVERAGEIF('PMO REAL'!$F$12:$US$12,'PMO PREV'!BC$63,'PMO REAL'!$F50:$US50),"")</f>
        <v/>
      </c>
      <c r="BD99" s="170" t="str">
        <f ca="1">IFERROR(AVERAGEIF('PMO REAL'!$F$12:$US$12,'PMO PREV'!BD$63,'PMO REAL'!$F50:$US50),"")</f>
        <v/>
      </c>
      <c r="BE99" s="170" t="str">
        <f ca="1">IFERROR(AVERAGEIF('PMO REAL'!$F$12:$US$12,'PMO PREV'!BE$63,'PMO REAL'!$F50:$US50),"")</f>
        <v/>
      </c>
      <c r="BF99" s="170" t="str">
        <f ca="1">IFERROR(AVERAGEIF('PMO REAL'!$F$12:$US$12,'PMO PREV'!BF$63,'PMO REAL'!$F50:$US50),"")</f>
        <v/>
      </c>
      <c r="BG99" s="170" t="str">
        <f ca="1">IFERROR(AVERAGEIF('PMO REAL'!$F$12:$US$12,'PMO PREV'!BG$63,'PMO REAL'!$F50:$US50),"")</f>
        <v/>
      </c>
      <c r="BH99" s="170" t="str">
        <f ca="1">IFERROR(AVERAGEIF('PMO REAL'!$F$12:$US$12,'PMO PREV'!BH$63,'PMO REAL'!$F50:$US50),"")</f>
        <v/>
      </c>
      <c r="BI99" s="170" t="str">
        <f ca="1">IFERROR(AVERAGEIF('PMO REAL'!$F$12:$US$12,'PMO PREV'!BI$63,'PMO REAL'!$F50:$US50),"")</f>
        <v/>
      </c>
      <c r="BJ99" s="170" t="str">
        <f ca="1">IFERROR(AVERAGEIF('PMO REAL'!$F$12:$US$12,'PMO PREV'!BJ$63,'PMO REAL'!$F50:$US50),"")</f>
        <v/>
      </c>
      <c r="BK99" s="170" t="str">
        <f ca="1">IFERROR(AVERAGEIF('PMO REAL'!$F$12:$US$12,'PMO PREV'!BK$63,'PMO REAL'!$F50:$US50),"")</f>
        <v/>
      </c>
      <c r="BL99" s="170" t="str">
        <f ca="1">IFERROR(AVERAGEIF('PMO REAL'!$F$12:$US$12,'PMO PREV'!BL$63,'PMO REAL'!$F50:$US50),"")</f>
        <v/>
      </c>
      <c r="BM99" s="170" t="str">
        <f ca="1">IFERROR(AVERAGEIF('PMO REAL'!$F$12:$US$12,'PMO PREV'!BM$63,'PMO REAL'!$F50:$US50),"")</f>
        <v/>
      </c>
      <c r="BN99" s="170" t="str">
        <f ca="1">IFERROR(AVERAGEIF('PMO REAL'!$F$12:$US$12,'PMO PREV'!BN$63,'PMO REAL'!$F50:$US50),"")</f>
        <v/>
      </c>
      <c r="BO99" s="170" t="str">
        <f ca="1">IFERROR(AVERAGEIF('PMO REAL'!$F$12:$US$12,'PMO PREV'!BO$63,'PMO REAL'!$F50:$US50),"")</f>
        <v/>
      </c>
      <c r="BP99" s="170" t="str">
        <f ca="1">IFERROR(AVERAGEIF('PMO REAL'!$F$12:$US$12,'PMO PREV'!BP$63,'PMO REAL'!$F50:$US50),"")</f>
        <v/>
      </c>
      <c r="BQ99" s="170" t="str">
        <f ca="1">IFERROR(AVERAGEIF('PMO REAL'!$F$12:$US$12,'PMO PREV'!BQ$63,'PMO REAL'!$F50:$US50),"")</f>
        <v/>
      </c>
      <c r="BR99" s="170" t="str">
        <f ca="1">IFERROR(AVERAGEIF('PMO REAL'!$F$12:$US$12,'PMO PREV'!BR$63,'PMO REAL'!$F50:$US50),"")</f>
        <v/>
      </c>
      <c r="BS99" s="170" t="str">
        <f ca="1">IFERROR(AVERAGEIF('PMO REAL'!$F$12:$US$12,'PMO PREV'!BS$63,'PMO REAL'!$F50:$US50),"")</f>
        <v/>
      </c>
      <c r="BT99" s="170" t="str">
        <f ca="1">IFERROR(AVERAGEIF('PMO REAL'!$F$12:$US$12,'PMO PREV'!BT$63,'PMO REAL'!$F50:$US50),"")</f>
        <v/>
      </c>
      <c r="BU99" s="170" t="str">
        <f ca="1">IFERROR(AVERAGEIF('PMO REAL'!$F$12:$US$12,'PMO PREV'!BU$63,'PMO REAL'!$F50:$US50),"")</f>
        <v/>
      </c>
      <c r="BV99" s="170" t="str">
        <f ca="1">IFERROR(AVERAGEIF('PMO REAL'!$F$12:$US$12,'PMO PREV'!BV$63,'PMO REAL'!$F50:$US50),"")</f>
        <v/>
      </c>
      <c r="BW99" s="170" t="str">
        <f ca="1">IFERROR(AVERAGEIF('PMO REAL'!$F$12:$US$12,'PMO PREV'!BW$63,'PMO REAL'!$F50:$US50),"")</f>
        <v/>
      </c>
      <c r="BX99" s="170" t="str">
        <f ca="1">IFERROR(AVERAGEIF('PMO REAL'!$F$12:$US$12,'PMO PREV'!BX$63,'PMO REAL'!$F50:$US50),"")</f>
        <v/>
      </c>
      <c r="BY99" s="170" t="str">
        <f ca="1">IFERROR(AVERAGEIF('PMO REAL'!$F$12:$US$12,'PMO PREV'!BY$63,'PMO REAL'!$F50:$US50),"")</f>
        <v/>
      </c>
      <c r="BZ99" s="170" t="str">
        <f ca="1">IFERROR(AVERAGEIF('PMO REAL'!$F$12:$US$12,'PMO PREV'!BZ$63,'PMO REAL'!$F50:$US50),"")</f>
        <v/>
      </c>
      <c r="CA99" s="170" t="str">
        <f ca="1">IFERROR(AVERAGEIF('PMO REAL'!$F$12:$US$12,'PMO PREV'!CA$63,'PMO REAL'!$F50:$US50),"")</f>
        <v/>
      </c>
      <c r="CB99" s="170" t="str">
        <f ca="1">IFERROR(AVERAGEIF('PMO REAL'!$F$12:$US$12,'PMO PREV'!CB$63,'PMO REAL'!$F50:$US50),"")</f>
        <v/>
      </c>
      <c r="CC99" s="170" t="str">
        <f ca="1">IFERROR(AVERAGEIF('PMO REAL'!$F$12:$US$12,'PMO PREV'!CC$63,'PMO REAL'!$F50:$US50),"")</f>
        <v/>
      </c>
      <c r="CD99" s="170" t="str">
        <f ca="1">IFERROR(AVERAGEIF('PMO REAL'!$F$12:$US$12,'PMO PREV'!CD$63,'PMO REAL'!$F50:$US50),"")</f>
        <v/>
      </c>
      <c r="CE99" s="170" t="str">
        <f ca="1">IFERROR(AVERAGEIF('PMO REAL'!$F$12:$US$12,'PMO PREV'!CE$63,'PMO REAL'!$F50:$US50),"")</f>
        <v/>
      </c>
      <c r="CF99" s="170" t="str">
        <f ca="1">IFERROR(AVERAGEIF('PMO REAL'!$F$12:$US$12,'PMO PREV'!CF$63,'PMO REAL'!$F50:$US50),"")</f>
        <v/>
      </c>
      <c r="CG99" s="170" t="str">
        <f ca="1">IFERROR(AVERAGEIF('PMO REAL'!$F$12:$US$12,'PMO PREV'!CG$63,'PMO REAL'!$F50:$US50),"")</f>
        <v/>
      </c>
      <c r="CH99" s="120"/>
      <c r="CI99" s="121"/>
      <c r="CJ99" s="92"/>
      <c r="CK99" s="92"/>
      <c r="CL99" s="92"/>
      <c r="CM99" s="92"/>
      <c r="CN99" s="92"/>
      <c r="CO99" s="92"/>
    </row>
    <row r="100" spans="2:95" ht="15.75" customHeight="1" x14ac:dyDescent="0.3">
      <c r="B100" s="169" t="s">
        <v>43</v>
      </c>
      <c r="C100" s="171"/>
      <c r="D100" s="152" t="str">
        <f t="shared" ca="1" si="18"/>
        <v/>
      </c>
      <c r="E100" s="159" t="str">
        <f t="shared" ca="1" si="19"/>
        <v/>
      </c>
      <c r="F100" s="155" t="str">
        <f ca="1">IFERROR(AVERAGEIF('PMO REAL'!$F$12:$US$12,'PMO PREV'!F$63,'PMO REAL'!$F51:$US51),"")</f>
        <v/>
      </c>
      <c r="G100" s="170" t="str">
        <f ca="1">IFERROR(AVERAGEIF('PMO REAL'!$F$12:$US$12,'PMO PREV'!G$63,'PMO REAL'!$F51:$US51),"")</f>
        <v/>
      </c>
      <c r="H100" s="170" t="str">
        <f ca="1">IFERROR(AVERAGEIF('PMO REAL'!$F$12:$US$12,'PMO PREV'!H$63,'PMO REAL'!$F51:$US51),"")</f>
        <v/>
      </c>
      <c r="I100" s="170" t="str">
        <f ca="1">IFERROR(AVERAGEIF('PMO REAL'!$F$12:$US$12,'PMO PREV'!I$63,'PMO REAL'!$F51:$US51),"")</f>
        <v/>
      </c>
      <c r="J100" s="170" t="str">
        <f ca="1">IFERROR(AVERAGEIF('PMO REAL'!$F$12:$US$12,'PMO PREV'!J$63,'PMO REAL'!$F51:$US51),"")</f>
        <v/>
      </c>
      <c r="K100" s="170" t="str">
        <f ca="1">IFERROR(AVERAGEIF('PMO REAL'!$F$12:$US$12,'PMO PREV'!K$63,'PMO REAL'!$F51:$US51),"")</f>
        <v/>
      </c>
      <c r="L100" s="170" t="str">
        <f ca="1">IFERROR(AVERAGEIF('PMO REAL'!$F$12:$US$12,'PMO PREV'!L$63,'PMO REAL'!$F51:$US51),"")</f>
        <v/>
      </c>
      <c r="M100" s="170" t="str">
        <f ca="1">IFERROR(AVERAGEIF('PMO REAL'!$F$12:$US$12,'PMO PREV'!M$63,'PMO REAL'!$F51:$US51),"")</f>
        <v/>
      </c>
      <c r="N100" s="170" t="str">
        <f ca="1">IFERROR(AVERAGEIF('PMO REAL'!$F$12:$US$12,'PMO PREV'!N$63,'PMO REAL'!$F51:$US51),"")</f>
        <v/>
      </c>
      <c r="O100" s="170" t="str">
        <f ca="1">IFERROR(AVERAGEIF('PMO REAL'!$F$12:$US$12,'PMO PREV'!O$63,'PMO REAL'!$F51:$US51),"")</f>
        <v/>
      </c>
      <c r="P100" s="170" t="str">
        <f ca="1">IFERROR(AVERAGEIF('PMO REAL'!$F$12:$US$12,'PMO PREV'!P$63,'PMO REAL'!$F51:$US51),"")</f>
        <v/>
      </c>
      <c r="Q100" s="170" t="str">
        <f ca="1">IFERROR(AVERAGEIF('PMO REAL'!$F$12:$US$12,'PMO PREV'!Q$63,'PMO REAL'!$F51:$US51),"")</f>
        <v/>
      </c>
      <c r="R100" s="170" t="str">
        <f ca="1">IFERROR(AVERAGEIF('PMO REAL'!$F$12:$US$12,'PMO PREV'!R$63,'PMO REAL'!$F51:$US51),"")</f>
        <v/>
      </c>
      <c r="S100" s="170" t="str">
        <f ca="1">IFERROR(AVERAGEIF('PMO REAL'!$F$12:$US$12,'PMO PREV'!S$63,'PMO REAL'!$F51:$US51),"")</f>
        <v/>
      </c>
      <c r="T100" s="170" t="str">
        <f ca="1">IFERROR(AVERAGEIF('PMO REAL'!$F$12:$US$12,'PMO PREV'!T$63,'PMO REAL'!$F51:$US51),"")</f>
        <v/>
      </c>
      <c r="U100" s="170" t="str">
        <f ca="1">IFERROR(AVERAGEIF('PMO REAL'!$F$12:$US$12,'PMO PREV'!U$63,'PMO REAL'!$F51:$US51),"")</f>
        <v/>
      </c>
      <c r="V100" s="170" t="str">
        <f ca="1">IFERROR(AVERAGEIF('PMO REAL'!$F$12:$US$12,'PMO PREV'!V$63,'PMO REAL'!$F51:$US51),"")</f>
        <v/>
      </c>
      <c r="W100" s="170" t="str">
        <f ca="1">IFERROR(AVERAGEIF('PMO REAL'!$F$12:$US$12,'PMO PREV'!W$63,'PMO REAL'!$F51:$US51),"")</f>
        <v/>
      </c>
      <c r="X100" s="170" t="str">
        <f ca="1">IFERROR(AVERAGEIF('PMO REAL'!$F$12:$US$12,'PMO PREV'!X$63,'PMO REAL'!$F51:$US51),"")</f>
        <v/>
      </c>
      <c r="Y100" s="170" t="str">
        <f ca="1">IFERROR(AVERAGEIF('PMO REAL'!$F$12:$US$12,'PMO PREV'!Y$63,'PMO REAL'!$F51:$US51),"")</f>
        <v/>
      </c>
      <c r="Z100" s="170" t="str">
        <f ca="1">IFERROR(AVERAGEIF('PMO REAL'!$F$12:$US$12,'PMO PREV'!Z$63,'PMO REAL'!$F51:$US51),"")</f>
        <v/>
      </c>
      <c r="AA100" s="170" t="str">
        <f ca="1">IFERROR(AVERAGEIF('PMO REAL'!$F$12:$US$12,'PMO PREV'!AA$63,'PMO REAL'!$F51:$US51),"")</f>
        <v/>
      </c>
      <c r="AB100" s="170" t="str">
        <f ca="1">IFERROR(AVERAGEIF('PMO REAL'!$F$12:$US$12,'PMO PREV'!AB$63,'PMO REAL'!$F51:$US51),"")</f>
        <v/>
      </c>
      <c r="AC100" s="170" t="str">
        <f ca="1">IFERROR(AVERAGEIF('PMO REAL'!$F$12:$US$12,'PMO PREV'!AC$63,'PMO REAL'!$F51:$US51),"")</f>
        <v/>
      </c>
      <c r="AD100" s="170" t="str">
        <f ca="1">IFERROR(AVERAGEIF('PMO REAL'!$F$12:$US$12,'PMO PREV'!AD$63,'PMO REAL'!$F51:$US51),"")</f>
        <v/>
      </c>
      <c r="AE100" s="170" t="str">
        <f ca="1">IFERROR(AVERAGEIF('PMO REAL'!$F$12:$US$12,'PMO PREV'!AE$63,'PMO REAL'!$F51:$US51),"")</f>
        <v/>
      </c>
      <c r="AF100" s="170" t="str">
        <f ca="1">IFERROR(AVERAGEIF('PMO REAL'!$F$12:$US$12,'PMO PREV'!AF$63,'PMO REAL'!$F51:$US51),"")</f>
        <v/>
      </c>
      <c r="AG100" s="170" t="str">
        <f ca="1">IFERROR(AVERAGEIF('PMO REAL'!$F$12:$US$12,'PMO PREV'!AG$63,'PMO REAL'!$F51:$US51),"")</f>
        <v/>
      </c>
      <c r="AH100" s="170" t="str">
        <f ca="1">IFERROR(AVERAGEIF('PMO REAL'!$F$12:$US$12,'PMO PREV'!AH$63,'PMO REAL'!$F51:$US51),"")</f>
        <v/>
      </c>
      <c r="AI100" s="170" t="str">
        <f ca="1">IFERROR(AVERAGEIF('PMO REAL'!$F$12:$US$12,'PMO PREV'!AI$63,'PMO REAL'!$F51:$US51),"")</f>
        <v/>
      </c>
      <c r="AJ100" s="170" t="str">
        <f ca="1">IFERROR(AVERAGEIF('PMO REAL'!$F$12:$US$12,'PMO PREV'!AJ$63,'PMO REAL'!$F51:$US51),"")</f>
        <v/>
      </c>
      <c r="AK100" s="170" t="str">
        <f ca="1">IFERROR(AVERAGEIF('PMO REAL'!$F$12:$US$12,'PMO PREV'!AK$63,'PMO REAL'!$F51:$US51),"")</f>
        <v/>
      </c>
      <c r="AL100" s="170" t="str">
        <f ca="1">IFERROR(AVERAGEIF('PMO REAL'!$F$12:$US$12,'PMO PREV'!AL$63,'PMO REAL'!$F51:$US51),"")</f>
        <v/>
      </c>
      <c r="AM100" s="170" t="str">
        <f ca="1">IFERROR(AVERAGEIF('PMO REAL'!$F$12:$US$12,'PMO PREV'!AM$63,'PMO REAL'!$F51:$US51),"")</f>
        <v/>
      </c>
      <c r="AN100" s="170" t="str">
        <f ca="1">IFERROR(AVERAGEIF('PMO REAL'!$F$12:$US$12,'PMO PREV'!AN$63,'PMO REAL'!$F51:$US51),"")</f>
        <v/>
      </c>
      <c r="AO100" s="170" t="str">
        <f ca="1">IFERROR(AVERAGEIF('PMO REAL'!$F$12:$US$12,'PMO PREV'!AO$63,'PMO REAL'!$F51:$US51),"")</f>
        <v/>
      </c>
      <c r="AP100" s="170" t="str">
        <f ca="1">IFERROR(AVERAGEIF('PMO REAL'!$F$12:$US$12,'PMO PREV'!AP$63,'PMO REAL'!$F51:$US51),"")</f>
        <v/>
      </c>
      <c r="AQ100" s="170" t="str">
        <f ca="1">IFERROR(AVERAGEIF('PMO REAL'!$F$12:$US$12,'PMO PREV'!AQ$63,'PMO REAL'!$F51:$US51),"")</f>
        <v/>
      </c>
      <c r="AR100" s="170" t="str">
        <f ca="1">IFERROR(AVERAGEIF('PMO REAL'!$F$12:$US$12,'PMO PREV'!AR$63,'PMO REAL'!$F51:$US51),"")</f>
        <v/>
      </c>
      <c r="AS100" s="170" t="str">
        <f ca="1">IFERROR(AVERAGEIF('PMO REAL'!$F$12:$US$12,'PMO PREV'!AS$63,'PMO REAL'!$F51:$US51),"")</f>
        <v/>
      </c>
      <c r="AT100" s="170" t="str">
        <f ca="1">IFERROR(AVERAGEIF('PMO REAL'!$F$12:$US$12,'PMO PREV'!AT$63,'PMO REAL'!$F51:$US51),"")</f>
        <v/>
      </c>
      <c r="AU100" s="170" t="str">
        <f ca="1">IFERROR(AVERAGEIF('PMO REAL'!$F$12:$US$12,'PMO PREV'!AU$63,'PMO REAL'!$F51:$US51),"")</f>
        <v/>
      </c>
      <c r="AV100" s="170" t="str">
        <f ca="1">IFERROR(AVERAGEIF('PMO REAL'!$F$12:$US$12,'PMO PREV'!AV$63,'PMO REAL'!$F51:$US51),"")</f>
        <v/>
      </c>
      <c r="AW100" s="170" t="str">
        <f ca="1">IFERROR(AVERAGEIF('PMO REAL'!$F$12:$US$12,'PMO PREV'!AW$63,'PMO REAL'!$F51:$US51),"")</f>
        <v/>
      </c>
      <c r="AX100" s="170" t="str">
        <f ca="1">IFERROR(AVERAGEIF('PMO REAL'!$F$12:$US$12,'PMO PREV'!AX$63,'PMO REAL'!$F51:$US51),"")</f>
        <v/>
      </c>
      <c r="AY100" s="170" t="str">
        <f ca="1">IFERROR(AVERAGEIF('PMO REAL'!$F$12:$US$12,'PMO PREV'!AY$63,'PMO REAL'!$F51:$US51),"")</f>
        <v/>
      </c>
      <c r="AZ100" s="170" t="str">
        <f ca="1">IFERROR(AVERAGEIF('PMO REAL'!$F$12:$US$12,'PMO PREV'!AZ$63,'PMO REAL'!$F51:$US51),"")</f>
        <v/>
      </c>
      <c r="BA100" s="170" t="str">
        <f ca="1">IFERROR(AVERAGEIF('PMO REAL'!$F$12:$US$12,'PMO PREV'!BA$63,'PMO REAL'!$F51:$US51),"")</f>
        <v/>
      </c>
      <c r="BB100" s="170" t="str">
        <f ca="1">IFERROR(AVERAGEIF('PMO REAL'!$F$12:$US$12,'PMO PREV'!BB$63,'PMO REAL'!$F51:$US51),"")</f>
        <v/>
      </c>
      <c r="BC100" s="170" t="str">
        <f ca="1">IFERROR(AVERAGEIF('PMO REAL'!$F$12:$US$12,'PMO PREV'!BC$63,'PMO REAL'!$F51:$US51),"")</f>
        <v/>
      </c>
      <c r="BD100" s="170" t="str">
        <f ca="1">IFERROR(AVERAGEIF('PMO REAL'!$F$12:$US$12,'PMO PREV'!BD$63,'PMO REAL'!$F51:$US51),"")</f>
        <v/>
      </c>
      <c r="BE100" s="170" t="str">
        <f ca="1">IFERROR(AVERAGEIF('PMO REAL'!$F$12:$US$12,'PMO PREV'!BE$63,'PMO REAL'!$F51:$US51),"")</f>
        <v/>
      </c>
      <c r="BF100" s="170" t="str">
        <f ca="1">IFERROR(AVERAGEIF('PMO REAL'!$F$12:$US$12,'PMO PREV'!BF$63,'PMO REAL'!$F51:$US51),"")</f>
        <v/>
      </c>
      <c r="BG100" s="170" t="str">
        <f ca="1">IFERROR(AVERAGEIF('PMO REAL'!$F$12:$US$12,'PMO PREV'!BG$63,'PMO REAL'!$F51:$US51),"")</f>
        <v/>
      </c>
      <c r="BH100" s="170" t="str">
        <f ca="1">IFERROR(AVERAGEIF('PMO REAL'!$F$12:$US$12,'PMO PREV'!BH$63,'PMO REAL'!$F51:$US51),"")</f>
        <v/>
      </c>
      <c r="BI100" s="170" t="str">
        <f ca="1">IFERROR(AVERAGEIF('PMO REAL'!$F$12:$US$12,'PMO PREV'!BI$63,'PMO REAL'!$F51:$US51),"")</f>
        <v/>
      </c>
      <c r="BJ100" s="170" t="str">
        <f ca="1">IFERROR(AVERAGEIF('PMO REAL'!$F$12:$US$12,'PMO PREV'!BJ$63,'PMO REAL'!$F51:$US51),"")</f>
        <v/>
      </c>
      <c r="BK100" s="170" t="str">
        <f ca="1">IFERROR(AVERAGEIF('PMO REAL'!$F$12:$US$12,'PMO PREV'!BK$63,'PMO REAL'!$F51:$US51),"")</f>
        <v/>
      </c>
      <c r="BL100" s="170" t="str">
        <f ca="1">IFERROR(AVERAGEIF('PMO REAL'!$F$12:$US$12,'PMO PREV'!BL$63,'PMO REAL'!$F51:$US51),"")</f>
        <v/>
      </c>
      <c r="BM100" s="170" t="str">
        <f ca="1">IFERROR(AVERAGEIF('PMO REAL'!$F$12:$US$12,'PMO PREV'!BM$63,'PMO REAL'!$F51:$US51),"")</f>
        <v/>
      </c>
      <c r="BN100" s="170" t="str">
        <f ca="1">IFERROR(AVERAGEIF('PMO REAL'!$F$12:$US$12,'PMO PREV'!BN$63,'PMO REAL'!$F51:$US51),"")</f>
        <v/>
      </c>
      <c r="BO100" s="170" t="str">
        <f ca="1">IFERROR(AVERAGEIF('PMO REAL'!$F$12:$US$12,'PMO PREV'!BO$63,'PMO REAL'!$F51:$US51),"")</f>
        <v/>
      </c>
      <c r="BP100" s="170" t="str">
        <f ca="1">IFERROR(AVERAGEIF('PMO REAL'!$F$12:$US$12,'PMO PREV'!BP$63,'PMO REAL'!$F51:$US51),"")</f>
        <v/>
      </c>
      <c r="BQ100" s="170" t="str">
        <f ca="1">IFERROR(AVERAGEIF('PMO REAL'!$F$12:$US$12,'PMO PREV'!BQ$63,'PMO REAL'!$F51:$US51),"")</f>
        <v/>
      </c>
      <c r="BR100" s="170" t="str">
        <f ca="1">IFERROR(AVERAGEIF('PMO REAL'!$F$12:$US$12,'PMO PREV'!BR$63,'PMO REAL'!$F51:$US51),"")</f>
        <v/>
      </c>
      <c r="BS100" s="170" t="str">
        <f ca="1">IFERROR(AVERAGEIF('PMO REAL'!$F$12:$US$12,'PMO PREV'!BS$63,'PMO REAL'!$F51:$US51),"")</f>
        <v/>
      </c>
      <c r="BT100" s="170" t="str">
        <f ca="1">IFERROR(AVERAGEIF('PMO REAL'!$F$12:$US$12,'PMO PREV'!BT$63,'PMO REAL'!$F51:$US51),"")</f>
        <v/>
      </c>
      <c r="BU100" s="170" t="str">
        <f ca="1">IFERROR(AVERAGEIF('PMO REAL'!$F$12:$US$12,'PMO PREV'!BU$63,'PMO REAL'!$F51:$US51),"")</f>
        <v/>
      </c>
      <c r="BV100" s="170" t="str">
        <f ca="1">IFERROR(AVERAGEIF('PMO REAL'!$F$12:$US$12,'PMO PREV'!BV$63,'PMO REAL'!$F51:$US51),"")</f>
        <v/>
      </c>
      <c r="BW100" s="170" t="str">
        <f ca="1">IFERROR(AVERAGEIF('PMO REAL'!$F$12:$US$12,'PMO PREV'!BW$63,'PMO REAL'!$F51:$US51),"")</f>
        <v/>
      </c>
      <c r="BX100" s="170" t="str">
        <f ca="1">IFERROR(AVERAGEIF('PMO REAL'!$F$12:$US$12,'PMO PREV'!BX$63,'PMO REAL'!$F51:$US51),"")</f>
        <v/>
      </c>
      <c r="BY100" s="170" t="str">
        <f ca="1">IFERROR(AVERAGEIF('PMO REAL'!$F$12:$US$12,'PMO PREV'!BY$63,'PMO REAL'!$F51:$US51),"")</f>
        <v/>
      </c>
      <c r="BZ100" s="170" t="str">
        <f ca="1">IFERROR(AVERAGEIF('PMO REAL'!$F$12:$US$12,'PMO PREV'!BZ$63,'PMO REAL'!$F51:$US51),"")</f>
        <v/>
      </c>
      <c r="CA100" s="170" t="str">
        <f ca="1">IFERROR(AVERAGEIF('PMO REAL'!$F$12:$US$12,'PMO PREV'!CA$63,'PMO REAL'!$F51:$US51),"")</f>
        <v/>
      </c>
      <c r="CB100" s="170" t="str">
        <f ca="1">IFERROR(AVERAGEIF('PMO REAL'!$F$12:$US$12,'PMO PREV'!CB$63,'PMO REAL'!$F51:$US51),"")</f>
        <v/>
      </c>
      <c r="CC100" s="170" t="str">
        <f ca="1">IFERROR(AVERAGEIF('PMO REAL'!$F$12:$US$12,'PMO PREV'!CC$63,'PMO REAL'!$F51:$US51),"")</f>
        <v/>
      </c>
      <c r="CD100" s="170" t="str">
        <f ca="1">IFERROR(AVERAGEIF('PMO REAL'!$F$12:$US$12,'PMO PREV'!CD$63,'PMO REAL'!$F51:$US51),"")</f>
        <v/>
      </c>
      <c r="CE100" s="170" t="str">
        <f ca="1">IFERROR(AVERAGEIF('PMO REAL'!$F$12:$US$12,'PMO PREV'!CE$63,'PMO REAL'!$F51:$US51),"")</f>
        <v/>
      </c>
      <c r="CF100" s="170" t="str">
        <f ca="1">IFERROR(AVERAGEIF('PMO REAL'!$F$12:$US$12,'PMO PREV'!CF$63,'PMO REAL'!$F51:$US51),"")</f>
        <v/>
      </c>
      <c r="CG100" s="170" t="str">
        <f ca="1">IFERROR(AVERAGEIF('PMO REAL'!$F$12:$US$12,'PMO PREV'!CG$63,'PMO REAL'!$F51:$US51),"")</f>
        <v/>
      </c>
      <c r="CH100" s="120"/>
      <c r="CI100" s="121"/>
      <c r="CJ100" s="92"/>
      <c r="CK100" s="92"/>
      <c r="CL100" s="92"/>
      <c r="CM100" s="92"/>
      <c r="CN100" s="92"/>
      <c r="CO100" s="92"/>
    </row>
    <row r="101" spans="2:95" ht="15.75" customHeight="1" x14ac:dyDescent="0.3">
      <c r="B101" s="169" t="s">
        <v>42</v>
      </c>
      <c r="C101" s="171"/>
      <c r="D101" s="152" t="str">
        <f t="shared" ca="1" si="18"/>
        <v/>
      </c>
      <c r="E101" s="159" t="str">
        <f t="shared" ca="1" si="19"/>
        <v/>
      </c>
      <c r="F101" s="155" t="str">
        <f ca="1">IFERROR(AVERAGEIF('PMO REAL'!$F$12:$US$12,'PMO PREV'!F$63,'PMO REAL'!$F52:$US52),"")</f>
        <v/>
      </c>
      <c r="G101" s="170" t="str">
        <f ca="1">IFERROR(AVERAGEIF('PMO REAL'!$F$12:$US$12,'PMO PREV'!G$63,'PMO REAL'!$F52:$US52),"")</f>
        <v/>
      </c>
      <c r="H101" s="170" t="str">
        <f ca="1">IFERROR(AVERAGEIF('PMO REAL'!$F$12:$US$12,'PMO PREV'!H$63,'PMO REAL'!$F52:$US52),"")</f>
        <v/>
      </c>
      <c r="I101" s="170" t="str">
        <f ca="1">IFERROR(AVERAGEIF('PMO REAL'!$F$12:$US$12,'PMO PREV'!I$63,'PMO REAL'!$F52:$US52),"")</f>
        <v/>
      </c>
      <c r="J101" s="170" t="str">
        <f ca="1">IFERROR(AVERAGEIF('PMO REAL'!$F$12:$US$12,'PMO PREV'!J$63,'PMO REAL'!$F52:$US52),"")</f>
        <v/>
      </c>
      <c r="K101" s="170" t="str">
        <f ca="1">IFERROR(AVERAGEIF('PMO REAL'!$F$12:$US$12,'PMO PREV'!K$63,'PMO REAL'!$F52:$US52),"")</f>
        <v/>
      </c>
      <c r="L101" s="170" t="str">
        <f ca="1">IFERROR(AVERAGEIF('PMO REAL'!$F$12:$US$12,'PMO PREV'!L$63,'PMO REAL'!$F52:$US52),"")</f>
        <v/>
      </c>
      <c r="M101" s="170" t="str">
        <f ca="1">IFERROR(AVERAGEIF('PMO REAL'!$F$12:$US$12,'PMO PREV'!M$63,'PMO REAL'!$F52:$US52),"")</f>
        <v/>
      </c>
      <c r="N101" s="170" t="str">
        <f ca="1">IFERROR(AVERAGEIF('PMO REAL'!$F$12:$US$12,'PMO PREV'!N$63,'PMO REAL'!$F52:$US52),"")</f>
        <v/>
      </c>
      <c r="O101" s="170" t="str">
        <f ca="1">IFERROR(AVERAGEIF('PMO REAL'!$F$12:$US$12,'PMO PREV'!O$63,'PMO REAL'!$F52:$US52),"")</f>
        <v/>
      </c>
      <c r="P101" s="170" t="str">
        <f ca="1">IFERROR(AVERAGEIF('PMO REAL'!$F$12:$US$12,'PMO PREV'!P$63,'PMO REAL'!$F52:$US52),"")</f>
        <v/>
      </c>
      <c r="Q101" s="170" t="str">
        <f ca="1">IFERROR(AVERAGEIF('PMO REAL'!$F$12:$US$12,'PMO PREV'!Q$63,'PMO REAL'!$F52:$US52),"")</f>
        <v/>
      </c>
      <c r="R101" s="170" t="str">
        <f ca="1">IFERROR(AVERAGEIF('PMO REAL'!$F$12:$US$12,'PMO PREV'!R$63,'PMO REAL'!$F52:$US52),"")</f>
        <v/>
      </c>
      <c r="S101" s="170" t="str">
        <f ca="1">IFERROR(AVERAGEIF('PMO REAL'!$F$12:$US$12,'PMO PREV'!S$63,'PMO REAL'!$F52:$US52),"")</f>
        <v/>
      </c>
      <c r="T101" s="170" t="str">
        <f ca="1">IFERROR(AVERAGEIF('PMO REAL'!$F$12:$US$12,'PMO PREV'!T$63,'PMO REAL'!$F52:$US52),"")</f>
        <v/>
      </c>
      <c r="U101" s="170" t="str">
        <f ca="1">IFERROR(AVERAGEIF('PMO REAL'!$F$12:$US$12,'PMO PREV'!U$63,'PMO REAL'!$F52:$US52),"")</f>
        <v/>
      </c>
      <c r="V101" s="170" t="str">
        <f ca="1">IFERROR(AVERAGEIF('PMO REAL'!$F$12:$US$12,'PMO PREV'!V$63,'PMO REAL'!$F52:$US52),"")</f>
        <v/>
      </c>
      <c r="W101" s="170" t="str">
        <f ca="1">IFERROR(AVERAGEIF('PMO REAL'!$F$12:$US$12,'PMO PREV'!W$63,'PMO REAL'!$F52:$US52),"")</f>
        <v/>
      </c>
      <c r="X101" s="170" t="str">
        <f ca="1">IFERROR(AVERAGEIF('PMO REAL'!$F$12:$US$12,'PMO PREV'!X$63,'PMO REAL'!$F52:$US52),"")</f>
        <v/>
      </c>
      <c r="Y101" s="170" t="str">
        <f ca="1">IFERROR(AVERAGEIF('PMO REAL'!$F$12:$US$12,'PMO PREV'!Y$63,'PMO REAL'!$F52:$US52),"")</f>
        <v/>
      </c>
      <c r="Z101" s="170" t="str">
        <f ca="1">IFERROR(AVERAGEIF('PMO REAL'!$F$12:$US$12,'PMO PREV'!Z$63,'PMO REAL'!$F52:$US52),"")</f>
        <v/>
      </c>
      <c r="AA101" s="170" t="str">
        <f ca="1">IFERROR(AVERAGEIF('PMO REAL'!$F$12:$US$12,'PMO PREV'!AA$63,'PMO REAL'!$F52:$US52),"")</f>
        <v/>
      </c>
      <c r="AB101" s="170" t="str">
        <f ca="1">IFERROR(AVERAGEIF('PMO REAL'!$F$12:$US$12,'PMO PREV'!AB$63,'PMO REAL'!$F52:$US52),"")</f>
        <v/>
      </c>
      <c r="AC101" s="170" t="str">
        <f ca="1">IFERROR(AVERAGEIF('PMO REAL'!$F$12:$US$12,'PMO PREV'!AC$63,'PMO REAL'!$F52:$US52),"")</f>
        <v/>
      </c>
      <c r="AD101" s="170" t="str">
        <f ca="1">IFERROR(AVERAGEIF('PMO REAL'!$F$12:$US$12,'PMO PREV'!AD$63,'PMO REAL'!$F52:$US52),"")</f>
        <v/>
      </c>
      <c r="AE101" s="170" t="str">
        <f ca="1">IFERROR(AVERAGEIF('PMO REAL'!$F$12:$US$12,'PMO PREV'!AE$63,'PMO REAL'!$F52:$US52),"")</f>
        <v/>
      </c>
      <c r="AF101" s="170" t="str">
        <f ca="1">IFERROR(AVERAGEIF('PMO REAL'!$F$12:$US$12,'PMO PREV'!AF$63,'PMO REAL'!$F52:$US52),"")</f>
        <v/>
      </c>
      <c r="AG101" s="170" t="str">
        <f ca="1">IFERROR(AVERAGEIF('PMO REAL'!$F$12:$US$12,'PMO PREV'!AG$63,'PMO REAL'!$F52:$US52),"")</f>
        <v/>
      </c>
      <c r="AH101" s="170" t="str">
        <f ca="1">IFERROR(AVERAGEIF('PMO REAL'!$F$12:$US$12,'PMO PREV'!AH$63,'PMO REAL'!$F52:$US52),"")</f>
        <v/>
      </c>
      <c r="AI101" s="170" t="str">
        <f ca="1">IFERROR(AVERAGEIF('PMO REAL'!$F$12:$US$12,'PMO PREV'!AI$63,'PMO REAL'!$F52:$US52),"")</f>
        <v/>
      </c>
      <c r="AJ101" s="170" t="str">
        <f ca="1">IFERROR(AVERAGEIF('PMO REAL'!$F$12:$US$12,'PMO PREV'!AJ$63,'PMO REAL'!$F52:$US52),"")</f>
        <v/>
      </c>
      <c r="AK101" s="170" t="str">
        <f ca="1">IFERROR(AVERAGEIF('PMO REAL'!$F$12:$US$12,'PMO PREV'!AK$63,'PMO REAL'!$F52:$US52),"")</f>
        <v/>
      </c>
      <c r="AL101" s="170" t="str">
        <f ca="1">IFERROR(AVERAGEIF('PMO REAL'!$F$12:$US$12,'PMO PREV'!AL$63,'PMO REAL'!$F52:$US52),"")</f>
        <v/>
      </c>
      <c r="AM101" s="170" t="str">
        <f ca="1">IFERROR(AVERAGEIF('PMO REAL'!$F$12:$US$12,'PMO PREV'!AM$63,'PMO REAL'!$F52:$US52),"")</f>
        <v/>
      </c>
      <c r="AN101" s="170" t="str">
        <f ca="1">IFERROR(AVERAGEIF('PMO REAL'!$F$12:$US$12,'PMO PREV'!AN$63,'PMO REAL'!$F52:$US52),"")</f>
        <v/>
      </c>
      <c r="AO101" s="170" t="str">
        <f ca="1">IFERROR(AVERAGEIF('PMO REAL'!$F$12:$US$12,'PMO PREV'!AO$63,'PMO REAL'!$F52:$US52),"")</f>
        <v/>
      </c>
      <c r="AP101" s="170" t="str">
        <f ca="1">IFERROR(AVERAGEIF('PMO REAL'!$F$12:$US$12,'PMO PREV'!AP$63,'PMO REAL'!$F52:$US52),"")</f>
        <v/>
      </c>
      <c r="AQ101" s="170" t="str">
        <f ca="1">IFERROR(AVERAGEIF('PMO REAL'!$F$12:$US$12,'PMO PREV'!AQ$63,'PMO REAL'!$F52:$US52),"")</f>
        <v/>
      </c>
      <c r="AR101" s="170" t="str">
        <f ca="1">IFERROR(AVERAGEIF('PMO REAL'!$F$12:$US$12,'PMO PREV'!AR$63,'PMO REAL'!$F52:$US52),"")</f>
        <v/>
      </c>
      <c r="AS101" s="170" t="str">
        <f ca="1">IFERROR(AVERAGEIF('PMO REAL'!$F$12:$US$12,'PMO PREV'!AS$63,'PMO REAL'!$F52:$US52),"")</f>
        <v/>
      </c>
      <c r="AT101" s="170" t="str">
        <f ca="1">IFERROR(AVERAGEIF('PMO REAL'!$F$12:$US$12,'PMO PREV'!AT$63,'PMO REAL'!$F52:$US52),"")</f>
        <v/>
      </c>
      <c r="AU101" s="170" t="str">
        <f ca="1">IFERROR(AVERAGEIF('PMO REAL'!$F$12:$US$12,'PMO PREV'!AU$63,'PMO REAL'!$F52:$US52),"")</f>
        <v/>
      </c>
      <c r="AV101" s="170" t="str">
        <f ca="1">IFERROR(AVERAGEIF('PMO REAL'!$F$12:$US$12,'PMO PREV'!AV$63,'PMO REAL'!$F52:$US52),"")</f>
        <v/>
      </c>
      <c r="AW101" s="170" t="str">
        <f ca="1">IFERROR(AVERAGEIF('PMO REAL'!$F$12:$US$12,'PMO PREV'!AW$63,'PMO REAL'!$F52:$US52),"")</f>
        <v/>
      </c>
      <c r="AX101" s="170" t="str">
        <f ca="1">IFERROR(AVERAGEIF('PMO REAL'!$F$12:$US$12,'PMO PREV'!AX$63,'PMO REAL'!$F52:$US52),"")</f>
        <v/>
      </c>
      <c r="AY101" s="170" t="str">
        <f ca="1">IFERROR(AVERAGEIF('PMO REAL'!$F$12:$US$12,'PMO PREV'!AY$63,'PMO REAL'!$F52:$US52),"")</f>
        <v/>
      </c>
      <c r="AZ101" s="170" t="str">
        <f ca="1">IFERROR(AVERAGEIF('PMO REAL'!$F$12:$US$12,'PMO PREV'!AZ$63,'PMO REAL'!$F52:$US52),"")</f>
        <v/>
      </c>
      <c r="BA101" s="170" t="str">
        <f ca="1">IFERROR(AVERAGEIF('PMO REAL'!$F$12:$US$12,'PMO PREV'!BA$63,'PMO REAL'!$F52:$US52),"")</f>
        <v/>
      </c>
      <c r="BB101" s="170" t="str">
        <f ca="1">IFERROR(AVERAGEIF('PMO REAL'!$F$12:$US$12,'PMO PREV'!BB$63,'PMO REAL'!$F52:$US52),"")</f>
        <v/>
      </c>
      <c r="BC101" s="170" t="str">
        <f ca="1">IFERROR(AVERAGEIF('PMO REAL'!$F$12:$US$12,'PMO PREV'!BC$63,'PMO REAL'!$F52:$US52),"")</f>
        <v/>
      </c>
      <c r="BD101" s="170" t="str">
        <f ca="1">IFERROR(AVERAGEIF('PMO REAL'!$F$12:$US$12,'PMO PREV'!BD$63,'PMO REAL'!$F52:$US52),"")</f>
        <v/>
      </c>
      <c r="BE101" s="170" t="str">
        <f ca="1">IFERROR(AVERAGEIF('PMO REAL'!$F$12:$US$12,'PMO PREV'!BE$63,'PMO REAL'!$F52:$US52),"")</f>
        <v/>
      </c>
      <c r="BF101" s="170" t="str">
        <f ca="1">IFERROR(AVERAGEIF('PMO REAL'!$F$12:$US$12,'PMO PREV'!BF$63,'PMO REAL'!$F52:$US52),"")</f>
        <v/>
      </c>
      <c r="BG101" s="170" t="str">
        <f ca="1">IFERROR(AVERAGEIF('PMO REAL'!$F$12:$US$12,'PMO PREV'!BG$63,'PMO REAL'!$F52:$US52),"")</f>
        <v/>
      </c>
      <c r="BH101" s="170" t="str">
        <f ca="1">IFERROR(AVERAGEIF('PMO REAL'!$F$12:$US$12,'PMO PREV'!BH$63,'PMO REAL'!$F52:$US52),"")</f>
        <v/>
      </c>
      <c r="BI101" s="170" t="str">
        <f ca="1">IFERROR(AVERAGEIF('PMO REAL'!$F$12:$US$12,'PMO PREV'!BI$63,'PMO REAL'!$F52:$US52),"")</f>
        <v/>
      </c>
      <c r="BJ101" s="170" t="str">
        <f ca="1">IFERROR(AVERAGEIF('PMO REAL'!$F$12:$US$12,'PMO PREV'!BJ$63,'PMO REAL'!$F52:$US52),"")</f>
        <v/>
      </c>
      <c r="BK101" s="170" t="str">
        <f ca="1">IFERROR(AVERAGEIF('PMO REAL'!$F$12:$US$12,'PMO PREV'!BK$63,'PMO REAL'!$F52:$US52),"")</f>
        <v/>
      </c>
      <c r="BL101" s="170" t="str">
        <f ca="1">IFERROR(AVERAGEIF('PMO REAL'!$F$12:$US$12,'PMO PREV'!BL$63,'PMO REAL'!$F52:$US52),"")</f>
        <v/>
      </c>
      <c r="BM101" s="170" t="str">
        <f ca="1">IFERROR(AVERAGEIF('PMO REAL'!$F$12:$US$12,'PMO PREV'!BM$63,'PMO REAL'!$F52:$US52),"")</f>
        <v/>
      </c>
      <c r="BN101" s="170" t="str">
        <f ca="1">IFERROR(AVERAGEIF('PMO REAL'!$F$12:$US$12,'PMO PREV'!BN$63,'PMO REAL'!$F52:$US52),"")</f>
        <v/>
      </c>
      <c r="BO101" s="170" t="str">
        <f ca="1">IFERROR(AVERAGEIF('PMO REAL'!$F$12:$US$12,'PMO PREV'!BO$63,'PMO REAL'!$F52:$US52),"")</f>
        <v/>
      </c>
      <c r="BP101" s="170" t="str">
        <f ca="1">IFERROR(AVERAGEIF('PMO REAL'!$F$12:$US$12,'PMO PREV'!BP$63,'PMO REAL'!$F52:$US52),"")</f>
        <v/>
      </c>
      <c r="BQ101" s="170" t="str">
        <f ca="1">IFERROR(AVERAGEIF('PMO REAL'!$F$12:$US$12,'PMO PREV'!BQ$63,'PMO REAL'!$F52:$US52),"")</f>
        <v/>
      </c>
      <c r="BR101" s="170" t="str">
        <f ca="1">IFERROR(AVERAGEIF('PMO REAL'!$F$12:$US$12,'PMO PREV'!BR$63,'PMO REAL'!$F52:$US52),"")</f>
        <v/>
      </c>
      <c r="BS101" s="170" t="str">
        <f ca="1">IFERROR(AVERAGEIF('PMO REAL'!$F$12:$US$12,'PMO PREV'!BS$63,'PMO REAL'!$F52:$US52),"")</f>
        <v/>
      </c>
      <c r="BT101" s="170" t="str">
        <f ca="1">IFERROR(AVERAGEIF('PMO REAL'!$F$12:$US$12,'PMO PREV'!BT$63,'PMO REAL'!$F52:$US52),"")</f>
        <v/>
      </c>
      <c r="BU101" s="170" t="str">
        <f ca="1">IFERROR(AVERAGEIF('PMO REAL'!$F$12:$US$12,'PMO PREV'!BU$63,'PMO REAL'!$F52:$US52),"")</f>
        <v/>
      </c>
      <c r="BV101" s="170" t="str">
        <f ca="1">IFERROR(AVERAGEIF('PMO REAL'!$F$12:$US$12,'PMO PREV'!BV$63,'PMO REAL'!$F52:$US52),"")</f>
        <v/>
      </c>
      <c r="BW101" s="170" t="str">
        <f ca="1">IFERROR(AVERAGEIF('PMO REAL'!$F$12:$US$12,'PMO PREV'!BW$63,'PMO REAL'!$F52:$US52),"")</f>
        <v/>
      </c>
      <c r="BX101" s="170" t="str">
        <f ca="1">IFERROR(AVERAGEIF('PMO REAL'!$F$12:$US$12,'PMO PREV'!BX$63,'PMO REAL'!$F52:$US52),"")</f>
        <v/>
      </c>
      <c r="BY101" s="170" t="str">
        <f ca="1">IFERROR(AVERAGEIF('PMO REAL'!$F$12:$US$12,'PMO PREV'!BY$63,'PMO REAL'!$F52:$US52),"")</f>
        <v/>
      </c>
      <c r="BZ101" s="170" t="str">
        <f ca="1">IFERROR(AVERAGEIF('PMO REAL'!$F$12:$US$12,'PMO PREV'!BZ$63,'PMO REAL'!$F52:$US52),"")</f>
        <v/>
      </c>
      <c r="CA101" s="170" t="str">
        <f ca="1">IFERROR(AVERAGEIF('PMO REAL'!$F$12:$US$12,'PMO PREV'!CA$63,'PMO REAL'!$F52:$US52),"")</f>
        <v/>
      </c>
      <c r="CB101" s="170" t="str">
        <f ca="1">IFERROR(AVERAGEIF('PMO REAL'!$F$12:$US$12,'PMO PREV'!CB$63,'PMO REAL'!$F52:$US52),"")</f>
        <v/>
      </c>
      <c r="CC101" s="170" t="str">
        <f ca="1">IFERROR(AVERAGEIF('PMO REAL'!$F$12:$US$12,'PMO PREV'!CC$63,'PMO REAL'!$F52:$US52),"")</f>
        <v/>
      </c>
      <c r="CD101" s="170" t="str">
        <f ca="1">IFERROR(AVERAGEIF('PMO REAL'!$F$12:$US$12,'PMO PREV'!CD$63,'PMO REAL'!$F52:$US52),"")</f>
        <v/>
      </c>
      <c r="CE101" s="170" t="str">
        <f ca="1">IFERROR(AVERAGEIF('PMO REAL'!$F$12:$US$12,'PMO PREV'!CE$63,'PMO REAL'!$F52:$US52),"")</f>
        <v/>
      </c>
      <c r="CF101" s="170" t="str">
        <f ca="1">IFERROR(AVERAGEIF('PMO REAL'!$F$12:$US$12,'PMO PREV'!CF$63,'PMO REAL'!$F52:$US52),"")</f>
        <v/>
      </c>
      <c r="CG101" s="170" t="str">
        <f ca="1">IFERROR(AVERAGEIF('PMO REAL'!$F$12:$US$12,'PMO PREV'!CG$63,'PMO REAL'!$F52:$US52),"")</f>
        <v/>
      </c>
      <c r="CH101" s="120"/>
      <c r="CI101" s="121"/>
      <c r="CJ101" s="92"/>
      <c r="CK101" s="92"/>
      <c r="CL101" s="92"/>
      <c r="CM101" s="92"/>
      <c r="CN101" s="92"/>
      <c r="CO101" s="92"/>
    </row>
    <row r="102" spans="2:95" ht="15.75" customHeight="1" x14ac:dyDescent="0.3">
      <c r="B102" s="169" t="s">
        <v>41</v>
      </c>
      <c r="C102" s="171"/>
      <c r="D102" s="152" t="str">
        <f t="shared" ca="1" si="18"/>
        <v/>
      </c>
      <c r="E102" s="159" t="str">
        <f t="shared" ca="1" si="19"/>
        <v/>
      </c>
      <c r="F102" s="155" t="str">
        <f ca="1">IFERROR(AVERAGEIF('PMO REAL'!$F$12:$US$12,'PMO PREV'!F$63,'PMO REAL'!$F53:$US53),"")</f>
        <v/>
      </c>
      <c r="G102" s="170" t="str">
        <f ca="1">IFERROR(AVERAGEIF('PMO REAL'!$F$12:$US$12,'PMO PREV'!G$63,'PMO REAL'!$F53:$US53),"")</f>
        <v/>
      </c>
      <c r="H102" s="170" t="str">
        <f ca="1">IFERROR(AVERAGEIF('PMO REAL'!$F$12:$US$12,'PMO PREV'!H$63,'PMO REAL'!$F53:$US53),"")</f>
        <v/>
      </c>
      <c r="I102" s="170" t="str">
        <f ca="1">IFERROR(AVERAGEIF('PMO REAL'!$F$12:$US$12,'PMO PREV'!I$63,'PMO REAL'!$F53:$US53),"")</f>
        <v/>
      </c>
      <c r="J102" s="170" t="str">
        <f ca="1">IFERROR(AVERAGEIF('PMO REAL'!$F$12:$US$12,'PMO PREV'!J$63,'PMO REAL'!$F53:$US53),"")</f>
        <v/>
      </c>
      <c r="K102" s="170" t="str">
        <f ca="1">IFERROR(AVERAGEIF('PMO REAL'!$F$12:$US$12,'PMO PREV'!K$63,'PMO REAL'!$F53:$US53),"")</f>
        <v/>
      </c>
      <c r="L102" s="170" t="str">
        <f ca="1">IFERROR(AVERAGEIF('PMO REAL'!$F$12:$US$12,'PMO PREV'!L$63,'PMO REAL'!$F53:$US53),"")</f>
        <v/>
      </c>
      <c r="M102" s="170" t="str">
        <f ca="1">IFERROR(AVERAGEIF('PMO REAL'!$F$12:$US$12,'PMO PREV'!M$63,'PMO REAL'!$F53:$US53),"")</f>
        <v/>
      </c>
      <c r="N102" s="170" t="str">
        <f ca="1">IFERROR(AVERAGEIF('PMO REAL'!$F$12:$US$12,'PMO PREV'!N$63,'PMO REAL'!$F53:$US53),"")</f>
        <v/>
      </c>
      <c r="O102" s="170" t="str">
        <f ca="1">IFERROR(AVERAGEIF('PMO REAL'!$F$12:$US$12,'PMO PREV'!O$63,'PMO REAL'!$F53:$US53),"")</f>
        <v/>
      </c>
      <c r="P102" s="170" t="str">
        <f ca="1">IFERROR(AVERAGEIF('PMO REAL'!$F$12:$US$12,'PMO PREV'!P$63,'PMO REAL'!$F53:$US53),"")</f>
        <v/>
      </c>
      <c r="Q102" s="170" t="str">
        <f ca="1">IFERROR(AVERAGEIF('PMO REAL'!$F$12:$US$12,'PMO PREV'!Q$63,'PMO REAL'!$F53:$US53),"")</f>
        <v/>
      </c>
      <c r="R102" s="170" t="str">
        <f ca="1">IFERROR(AVERAGEIF('PMO REAL'!$F$12:$US$12,'PMO PREV'!R$63,'PMO REAL'!$F53:$US53),"")</f>
        <v/>
      </c>
      <c r="S102" s="170" t="str">
        <f ca="1">IFERROR(AVERAGEIF('PMO REAL'!$F$12:$US$12,'PMO PREV'!S$63,'PMO REAL'!$F53:$US53),"")</f>
        <v/>
      </c>
      <c r="T102" s="170" t="str">
        <f ca="1">IFERROR(AVERAGEIF('PMO REAL'!$F$12:$US$12,'PMO PREV'!T$63,'PMO REAL'!$F53:$US53),"")</f>
        <v/>
      </c>
      <c r="U102" s="170" t="str">
        <f ca="1">IFERROR(AVERAGEIF('PMO REAL'!$F$12:$US$12,'PMO PREV'!U$63,'PMO REAL'!$F53:$US53),"")</f>
        <v/>
      </c>
      <c r="V102" s="170" t="str">
        <f ca="1">IFERROR(AVERAGEIF('PMO REAL'!$F$12:$US$12,'PMO PREV'!V$63,'PMO REAL'!$F53:$US53),"")</f>
        <v/>
      </c>
      <c r="W102" s="170" t="str">
        <f ca="1">IFERROR(AVERAGEIF('PMO REAL'!$F$12:$US$12,'PMO PREV'!W$63,'PMO REAL'!$F53:$US53),"")</f>
        <v/>
      </c>
      <c r="X102" s="170" t="str">
        <f ca="1">IFERROR(AVERAGEIF('PMO REAL'!$F$12:$US$12,'PMO PREV'!X$63,'PMO REAL'!$F53:$US53),"")</f>
        <v/>
      </c>
      <c r="Y102" s="170" t="str">
        <f ca="1">IFERROR(AVERAGEIF('PMO REAL'!$F$12:$US$12,'PMO PREV'!Y$63,'PMO REAL'!$F53:$US53),"")</f>
        <v/>
      </c>
      <c r="Z102" s="170" t="str">
        <f ca="1">IFERROR(AVERAGEIF('PMO REAL'!$F$12:$US$12,'PMO PREV'!Z$63,'PMO REAL'!$F53:$US53),"")</f>
        <v/>
      </c>
      <c r="AA102" s="170" t="str">
        <f ca="1">IFERROR(AVERAGEIF('PMO REAL'!$F$12:$US$12,'PMO PREV'!AA$63,'PMO REAL'!$F53:$US53),"")</f>
        <v/>
      </c>
      <c r="AB102" s="170" t="str">
        <f ca="1">IFERROR(AVERAGEIF('PMO REAL'!$F$12:$US$12,'PMO PREV'!AB$63,'PMO REAL'!$F53:$US53),"")</f>
        <v/>
      </c>
      <c r="AC102" s="170" t="str">
        <f ca="1">IFERROR(AVERAGEIF('PMO REAL'!$F$12:$US$12,'PMO PREV'!AC$63,'PMO REAL'!$F53:$US53),"")</f>
        <v/>
      </c>
      <c r="AD102" s="170" t="str">
        <f ca="1">IFERROR(AVERAGEIF('PMO REAL'!$F$12:$US$12,'PMO PREV'!AD$63,'PMO REAL'!$F53:$US53),"")</f>
        <v/>
      </c>
      <c r="AE102" s="170" t="str">
        <f ca="1">IFERROR(AVERAGEIF('PMO REAL'!$F$12:$US$12,'PMO PREV'!AE$63,'PMO REAL'!$F53:$US53),"")</f>
        <v/>
      </c>
      <c r="AF102" s="170" t="str">
        <f ca="1">IFERROR(AVERAGEIF('PMO REAL'!$F$12:$US$12,'PMO PREV'!AF$63,'PMO REAL'!$F53:$US53),"")</f>
        <v/>
      </c>
      <c r="AG102" s="170" t="str">
        <f ca="1">IFERROR(AVERAGEIF('PMO REAL'!$F$12:$US$12,'PMO PREV'!AG$63,'PMO REAL'!$F53:$US53),"")</f>
        <v/>
      </c>
      <c r="AH102" s="170" t="str">
        <f ca="1">IFERROR(AVERAGEIF('PMO REAL'!$F$12:$US$12,'PMO PREV'!AH$63,'PMO REAL'!$F53:$US53),"")</f>
        <v/>
      </c>
      <c r="AI102" s="170" t="str">
        <f ca="1">IFERROR(AVERAGEIF('PMO REAL'!$F$12:$US$12,'PMO PREV'!AI$63,'PMO REAL'!$F53:$US53),"")</f>
        <v/>
      </c>
      <c r="AJ102" s="170" t="str">
        <f ca="1">IFERROR(AVERAGEIF('PMO REAL'!$F$12:$US$12,'PMO PREV'!AJ$63,'PMO REAL'!$F53:$US53),"")</f>
        <v/>
      </c>
      <c r="AK102" s="170" t="str">
        <f ca="1">IFERROR(AVERAGEIF('PMO REAL'!$F$12:$US$12,'PMO PREV'!AK$63,'PMO REAL'!$F53:$US53),"")</f>
        <v/>
      </c>
      <c r="AL102" s="170" t="str">
        <f ca="1">IFERROR(AVERAGEIF('PMO REAL'!$F$12:$US$12,'PMO PREV'!AL$63,'PMO REAL'!$F53:$US53),"")</f>
        <v/>
      </c>
      <c r="AM102" s="170" t="str">
        <f ca="1">IFERROR(AVERAGEIF('PMO REAL'!$F$12:$US$12,'PMO PREV'!AM$63,'PMO REAL'!$F53:$US53),"")</f>
        <v/>
      </c>
      <c r="AN102" s="170" t="str">
        <f ca="1">IFERROR(AVERAGEIF('PMO REAL'!$F$12:$US$12,'PMO PREV'!AN$63,'PMO REAL'!$F53:$US53),"")</f>
        <v/>
      </c>
      <c r="AO102" s="170" t="str">
        <f ca="1">IFERROR(AVERAGEIF('PMO REAL'!$F$12:$US$12,'PMO PREV'!AO$63,'PMO REAL'!$F53:$US53),"")</f>
        <v/>
      </c>
      <c r="AP102" s="170" t="str">
        <f ca="1">IFERROR(AVERAGEIF('PMO REAL'!$F$12:$US$12,'PMO PREV'!AP$63,'PMO REAL'!$F53:$US53),"")</f>
        <v/>
      </c>
      <c r="AQ102" s="170" t="str">
        <f ca="1">IFERROR(AVERAGEIF('PMO REAL'!$F$12:$US$12,'PMO PREV'!AQ$63,'PMO REAL'!$F53:$US53),"")</f>
        <v/>
      </c>
      <c r="AR102" s="170" t="str">
        <f ca="1">IFERROR(AVERAGEIF('PMO REAL'!$F$12:$US$12,'PMO PREV'!AR$63,'PMO REAL'!$F53:$US53),"")</f>
        <v/>
      </c>
      <c r="AS102" s="170" t="str">
        <f ca="1">IFERROR(AVERAGEIF('PMO REAL'!$F$12:$US$12,'PMO PREV'!AS$63,'PMO REAL'!$F53:$US53),"")</f>
        <v/>
      </c>
      <c r="AT102" s="170" t="str">
        <f ca="1">IFERROR(AVERAGEIF('PMO REAL'!$F$12:$US$12,'PMO PREV'!AT$63,'PMO REAL'!$F53:$US53),"")</f>
        <v/>
      </c>
      <c r="AU102" s="170" t="str">
        <f ca="1">IFERROR(AVERAGEIF('PMO REAL'!$F$12:$US$12,'PMO PREV'!AU$63,'PMO REAL'!$F53:$US53),"")</f>
        <v/>
      </c>
      <c r="AV102" s="170" t="str">
        <f ca="1">IFERROR(AVERAGEIF('PMO REAL'!$F$12:$US$12,'PMO PREV'!AV$63,'PMO REAL'!$F53:$US53),"")</f>
        <v/>
      </c>
      <c r="AW102" s="170" t="str">
        <f ca="1">IFERROR(AVERAGEIF('PMO REAL'!$F$12:$US$12,'PMO PREV'!AW$63,'PMO REAL'!$F53:$US53),"")</f>
        <v/>
      </c>
      <c r="AX102" s="170" t="str">
        <f ca="1">IFERROR(AVERAGEIF('PMO REAL'!$F$12:$US$12,'PMO PREV'!AX$63,'PMO REAL'!$F53:$US53),"")</f>
        <v/>
      </c>
      <c r="AY102" s="170" t="str">
        <f ca="1">IFERROR(AVERAGEIF('PMO REAL'!$F$12:$US$12,'PMO PREV'!AY$63,'PMO REAL'!$F53:$US53),"")</f>
        <v/>
      </c>
      <c r="AZ102" s="170" t="str">
        <f ca="1">IFERROR(AVERAGEIF('PMO REAL'!$F$12:$US$12,'PMO PREV'!AZ$63,'PMO REAL'!$F53:$US53),"")</f>
        <v/>
      </c>
      <c r="BA102" s="170" t="str">
        <f ca="1">IFERROR(AVERAGEIF('PMO REAL'!$F$12:$US$12,'PMO PREV'!BA$63,'PMO REAL'!$F53:$US53),"")</f>
        <v/>
      </c>
      <c r="BB102" s="170" t="str">
        <f ca="1">IFERROR(AVERAGEIF('PMO REAL'!$F$12:$US$12,'PMO PREV'!BB$63,'PMO REAL'!$F53:$US53),"")</f>
        <v/>
      </c>
      <c r="BC102" s="170" t="str">
        <f ca="1">IFERROR(AVERAGEIF('PMO REAL'!$F$12:$US$12,'PMO PREV'!BC$63,'PMO REAL'!$F53:$US53),"")</f>
        <v/>
      </c>
      <c r="BD102" s="170" t="str">
        <f ca="1">IFERROR(AVERAGEIF('PMO REAL'!$F$12:$US$12,'PMO PREV'!BD$63,'PMO REAL'!$F53:$US53),"")</f>
        <v/>
      </c>
      <c r="BE102" s="170" t="str">
        <f ca="1">IFERROR(AVERAGEIF('PMO REAL'!$F$12:$US$12,'PMO PREV'!BE$63,'PMO REAL'!$F53:$US53),"")</f>
        <v/>
      </c>
      <c r="BF102" s="170" t="str">
        <f ca="1">IFERROR(AVERAGEIF('PMO REAL'!$F$12:$US$12,'PMO PREV'!BF$63,'PMO REAL'!$F53:$US53),"")</f>
        <v/>
      </c>
      <c r="BG102" s="170" t="str">
        <f ca="1">IFERROR(AVERAGEIF('PMO REAL'!$F$12:$US$12,'PMO PREV'!BG$63,'PMO REAL'!$F53:$US53),"")</f>
        <v/>
      </c>
      <c r="BH102" s="170" t="str">
        <f ca="1">IFERROR(AVERAGEIF('PMO REAL'!$F$12:$US$12,'PMO PREV'!BH$63,'PMO REAL'!$F53:$US53),"")</f>
        <v/>
      </c>
      <c r="BI102" s="170" t="str">
        <f ca="1">IFERROR(AVERAGEIF('PMO REAL'!$F$12:$US$12,'PMO PREV'!BI$63,'PMO REAL'!$F53:$US53),"")</f>
        <v/>
      </c>
      <c r="BJ102" s="170" t="str">
        <f ca="1">IFERROR(AVERAGEIF('PMO REAL'!$F$12:$US$12,'PMO PREV'!BJ$63,'PMO REAL'!$F53:$US53),"")</f>
        <v/>
      </c>
      <c r="BK102" s="170" t="str">
        <f ca="1">IFERROR(AVERAGEIF('PMO REAL'!$F$12:$US$12,'PMO PREV'!BK$63,'PMO REAL'!$F53:$US53),"")</f>
        <v/>
      </c>
      <c r="BL102" s="170" t="str">
        <f ca="1">IFERROR(AVERAGEIF('PMO REAL'!$F$12:$US$12,'PMO PREV'!BL$63,'PMO REAL'!$F53:$US53),"")</f>
        <v/>
      </c>
      <c r="BM102" s="170" t="str">
        <f ca="1">IFERROR(AVERAGEIF('PMO REAL'!$F$12:$US$12,'PMO PREV'!BM$63,'PMO REAL'!$F53:$US53),"")</f>
        <v/>
      </c>
      <c r="BN102" s="170" t="str">
        <f ca="1">IFERROR(AVERAGEIF('PMO REAL'!$F$12:$US$12,'PMO PREV'!BN$63,'PMO REAL'!$F53:$US53),"")</f>
        <v/>
      </c>
      <c r="BO102" s="170" t="str">
        <f ca="1">IFERROR(AVERAGEIF('PMO REAL'!$F$12:$US$12,'PMO PREV'!BO$63,'PMO REAL'!$F53:$US53),"")</f>
        <v/>
      </c>
      <c r="BP102" s="170" t="str">
        <f ca="1">IFERROR(AVERAGEIF('PMO REAL'!$F$12:$US$12,'PMO PREV'!BP$63,'PMO REAL'!$F53:$US53),"")</f>
        <v/>
      </c>
      <c r="BQ102" s="170" t="str">
        <f ca="1">IFERROR(AVERAGEIF('PMO REAL'!$F$12:$US$12,'PMO PREV'!BQ$63,'PMO REAL'!$F53:$US53),"")</f>
        <v/>
      </c>
      <c r="BR102" s="170" t="str">
        <f ca="1">IFERROR(AVERAGEIF('PMO REAL'!$F$12:$US$12,'PMO PREV'!BR$63,'PMO REAL'!$F53:$US53),"")</f>
        <v/>
      </c>
      <c r="BS102" s="170" t="str">
        <f ca="1">IFERROR(AVERAGEIF('PMO REAL'!$F$12:$US$12,'PMO PREV'!BS$63,'PMO REAL'!$F53:$US53),"")</f>
        <v/>
      </c>
      <c r="BT102" s="170" t="str">
        <f ca="1">IFERROR(AVERAGEIF('PMO REAL'!$F$12:$US$12,'PMO PREV'!BT$63,'PMO REAL'!$F53:$US53),"")</f>
        <v/>
      </c>
      <c r="BU102" s="170" t="str">
        <f ca="1">IFERROR(AVERAGEIF('PMO REAL'!$F$12:$US$12,'PMO PREV'!BU$63,'PMO REAL'!$F53:$US53),"")</f>
        <v/>
      </c>
      <c r="BV102" s="170" t="str">
        <f ca="1">IFERROR(AVERAGEIF('PMO REAL'!$F$12:$US$12,'PMO PREV'!BV$63,'PMO REAL'!$F53:$US53),"")</f>
        <v/>
      </c>
      <c r="BW102" s="170" t="str">
        <f ca="1">IFERROR(AVERAGEIF('PMO REAL'!$F$12:$US$12,'PMO PREV'!BW$63,'PMO REAL'!$F53:$US53),"")</f>
        <v/>
      </c>
      <c r="BX102" s="170" t="str">
        <f ca="1">IFERROR(AVERAGEIF('PMO REAL'!$F$12:$US$12,'PMO PREV'!BX$63,'PMO REAL'!$F53:$US53),"")</f>
        <v/>
      </c>
      <c r="BY102" s="170" t="str">
        <f ca="1">IFERROR(AVERAGEIF('PMO REAL'!$F$12:$US$12,'PMO PREV'!BY$63,'PMO REAL'!$F53:$US53),"")</f>
        <v/>
      </c>
      <c r="BZ102" s="170" t="str">
        <f ca="1">IFERROR(AVERAGEIF('PMO REAL'!$F$12:$US$12,'PMO PREV'!BZ$63,'PMO REAL'!$F53:$US53),"")</f>
        <v/>
      </c>
      <c r="CA102" s="170" t="str">
        <f ca="1">IFERROR(AVERAGEIF('PMO REAL'!$F$12:$US$12,'PMO PREV'!CA$63,'PMO REAL'!$F53:$US53),"")</f>
        <v/>
      </c>
      <c r="CB102" s="170" t="str">
        <f ca="1">IFERROR(AVERAGEIF('PMO REAL'!$F$12:$US$12,'PMO PREV'!CB$63,'PMO REAL'!$F53:$US53),"")</f>
        <v/>
      </c>
      <c r="CC102" s="170" t="str">
        <f ca="1">IFERROR(AVERAGEIF('PMO REAL'!$F$12:$US$12,'PMO PREV'!CC$63,'PMO REAL'!$F53:$US53),"")</f>
        <v/>
      </c>
      <c r="CD102" s="170" t="str">
        <f ca="1">IFERROR(AVERAGEIF('PMO REAL'!$F$12:$US$12,'PMO PREV'!CD$63,'PMO REAL'!$F53:$US53),"")</f>
        <v/>
      </c>
      <c r="CE102" s="170" t="str">
        <f ca="1">IFERROR(AVERAGEIF('PMO REAL'!$F$12:$US$12,'PMO PREV'!CE$63,'PMO REAL'!$F53:$US53),"")</f>
        <v/>
      </c>
      <c r="CF102" s="170" t="str">
        <f ca="1">IFERROR(AVERAGEIF('PMO REAL'!$F$12:$US$12,'PMO PREV'!CF$63,'PMO REAL'!$F53:$US53),"")</f>
        <v/>
      </c>
      <c r="CG102" s="170" t="str">
        <f ca="1">IFERROR(AVERAGEIF('PMO REAL'!$F$12:$US$12,'PMO PREV'!CG$63,'PMO REAL'!$F53:$US53),"")</f>
        <v/>
      </c>
      <c r="CH102" s="120"/>
      <c r="CI102" s="121"/>
      <c r="CJ102" s="92"/>
      <c r="CK102" s="92"/>
      <c r="CL102" s="92"/>
      <c r="CM102" s="92"/>
      <c r="CN102" s="92"/>
      <c r="CO102" s="92"/>
    </row>
    <row r="103" spans="2:95" ht="18" customHeight="1" x14ac:dyDescent="0.3">
      <c r="B103" s="172" t="s">
        <v>38</v>
      </c>
      <c r="C103" s="173" t="s">
        <v>40</v>
      </c>
      <c r="D103" s="174">
        <f ca="1">IFERROR(E103/$E$52,"")</f>
        <v>0</v>
      </c>
      <c r="E103" s="175">
        <f ca="1">AVERAGE(F103:CG103)</f>
        <v>0</v>
      </c>
      <c r="F103" s="176">
        <f t="shared" ref="F103:AK103" ca="1" si="20">SUM(F65:F70)</f>
        <v>0</v>
      </c>
      <c r="G103" s="176">
        <f t="shared" ca="1" si="20"/>
        <v>0</v>
      </c>
      <c r="H103" s="176">
        <f t="shared" ca="1" si="20"/>
        <v>0</v>
      </c>
      <c r="I103" s="176">
        <f t="shared" ca="1" si="20"/>
        <v>0</v>
      </c>
      <c r="J103" s="176">
        <f t="shared" ca="1" si="20"/>
        <v>0</v>
      </c>
      <c r="K103" s="176">
        <f t="shared" ca="1" si="20"/>
        <v>0</v>
      </c>
      <c r="L103" s="176">
        <f t="shared" ca="1" si="20"/>
        <v>0</v>
      </c>
      <c r="M103" s="176">
        <f t="shared" ca="1" si="20"/>
        <v>0</v>
      </c>
      <c r="N103" s="176">
        <f t="shared" ca="1" si="20"/>
        <v>0</v>
      </c>
      <c r="O103" s="176">
        <f t="shared" ca="1" si="20"/>
        <v>0</v>
      </c>
      <c r="P103" s="176">
        <f t="shared" ca="1" si="20"/>
        <v>0</v>
      </c>
      <c r="Q103" s="176">
        <f t="shared" ca="1" si="20"/>
        <v>0</v>
      </c>
      <c r="R103" s="176">
        <f t="shared" ca="1" si="20"/>
        <v>0</v>
      </c>
      <c r="S103" s="176">
        <f t="shared" ca="1" si="20"/>
        <v>0</v>
      </c>
      <c r="T103" s="176">
        <f t="shared" ca="1" si="20"/>
        <v>0</v>
      </c>
      <c r="U103" s="176">
        <f t="shared" ca="1" si="20"/>
        <v>0</v>
      </c>
      <c r="V103" s="176">
        <f t="shared" ca="1" si="20"/>
        <v>0</v>
      </c>
      <c r="W103" s="176">
        <f t="shared" ca="1" si="20"/>
        <v>0</v>
      </c>
      <c r="X103" s="176">
        <f t="shared" ca="1" si="20"/>
        <v>0</v>
      </c>
      <c r="Y103" s="176">
        <f t="shared" ca="1" si="20"/>
        <v>0</v>
      </c>
      <c r="Z103" s="176">
        <f t="shared" ca="1" si="20"/>
        <v>0</v>
      </c>
      <c r="AA103" s="176">
        <f t="shared" ca="1" si="20"/>
        <v>0</v>
      </c>
      <c r="AB103" s="176">
        <f t="shared" ca="1" si="20"/>
        <v>0</v>
      </c>
      <c r="AC103" s="176">
        <f t="shared" ca="1" si="20"/>
        <v>0</v>
      </c>
      <c r="AD103" s="176">
        <f t="shared" ca="1" si="20"/>
        <v>0</v>
      </c>
      <c r="AE103" s="176">
        <f t="shared" ca="1" si="20"/>
        <v>0</v>
      </c>
      <c r="AF103" s="176">
        <f t="shared" ca="1" si="20"/>
        <v>0</v>
      </c>
      <c r="AG103" s="176">
        <f t="shared" ca="1" si="20"/>
        <v>0</v>
      </c>
      <c r="AH103" s="176">
        <f t="shared" ca="1" si="20"/>
        <v>0</v>
      </c>
      <c r="AI103" s="176">
        <f t="shared" ca="1" si="20"/>
        <v>0</v>
      </c>
      <c r="AJ103" s="176">
        <f t="shared" ca="1" si="20"/>
        <v>0</v>
      </c>
      <c r="AK103" s="176">
        <f t="shared" ca="1" si="20"/>
        <v>0</v>
      </c>
      <c r="AL103" s="176">
        <f t="shared" ref="AL103:BQ103" ca="1" si="21">SUM(AL65:AL70)</f>
        <v>0</v>
      </c>
      <c r="AM103" s="176">
        <f t="shared" ca="1" si="21"/>
        <v>0</v>
      </c>
      <c r="AN103" s="176">
        <f t="shared" ca="1" si="21"/>
        <v>0</v>
      </c>
      <c r="AO103" s="176">
        <f t="shared" ca="1" si="21"/>
        <v>0</v>
      </c>
      <c r="AP103" s="176">
        <f t="shared" ca="1" si="21"/>
        <v>0</v>
      </c>
      <c r="AQ103" s="176">
        <f t="shared" ca="1" si="21"/>
        <v>0</v>
      </c>
      <c r="AR103" s="176">
        <f t="shared" ca="1" si="21"/>
        <v>0</v>
      </c>
      <c r="AS103" s="176">
        <f t="shared" ca="1" si="21"/>
        <v>0</v>
      </c>
      <c r="AT103" s="176">
        <f t="shared" ca="1" si="21"/>
        <v>0</v>
      </c>
      <c r="AU103" s="176">
        <f t="shared" ca="1" si="21"/>
        <v>0</v>
      </c>
      <c r="AV103" s="176">
        <f t="shared" ca="1" si="21"/>
        <v>0</v>
      </c>
      <c r="AW103" s="176">
        <f t="shared" ca="1" si="21"/>
        <v>0</v>
      </c>
      <c r="AX103" s="176">
        <f t="shared" ca="1" si="21"/>
        <v>0</v>
      </c>
      <c r="AY103" s="176">
        <f t="shared" ca="1" si="21"/>
        <v>0</v>
      </c>
      <c r="AZ103" s="176">
        <f t="shared" ca="1" si="21"/>
        <v>0</v>
      </c>
      <c r="BA103" s="176">
        <f t="shared" ca="1" si="21"/>
        <v>0</v>
      </c>
      <c r="BB103" s="176">
        <f t="shared" ca="1" si="21"/>
        <v>0</v>
      </c>
      <c r="BC103" s="176">
        <f t="shared" ca="1" si="21"/>
        <v>0</v>
      </c>
      <c r="BD103" s="176">
        <f t="shared" ca="1" si="21"/>
        <v>0</v>
      </c>
      <c r="BE103" s="176">
        <f t="shared" ca="1" si="21"/>
        <v>0</v>
      </c>
      <c r="BF103" s="176">
        <f t="shared" ca="1" si="21"/>
        <v>0</v>
      </c>
      <c r="BG103" s="176">
        <f t="shared" ca="1" si="21"/>
        <v>0</v>
      </c>
      <c r="BH103" s="176">
        <f t="shared" ca="1" si="21"/>
        <v>0</v>
      </c>
      <c r="BI103" s="176">
        <f t="shared" ca="1" si="21"/>
        <v>0</v>
      </c>
      <c r="BJ103" s="176">
        <f t="shared" ca="1" si="21"/>
        <v>0</v>
      </c>
      <c r="BK103" s="176">
        <f t="shared" ca="1" si="21"/>
        <v>0</v>
      </c>
      <c r="BL103" s="176">
        <f t="shared" ca="1" si="21"/>
        <v>0</v>
      </c>
      <c r="BM103" s="176">
        <f t="shared" ca="1" si="21"/>
        <v>0</v>
      </c>
      <c r="BN103" s="176">
        <f t="shared" ca="1" si="21"/>
        <v>0</v>
      </c>
      <c r="BO103" s="176">
        <f t="shared" ca="1" si="21"/>
        <v>0</v>
      </c>
      <c r="BP103" s="176">
        <f t="shared" ca="1" si="21"/>
        <v>0</v>
      </c>
      <c r="BQ103" s="176">
        <f t="shared" ca="1" si="21"/>
        <v>0</v>
      </c>
      <c r="BR103" s="176">
        <f t="shared" ref="BR103:CG103" ca="1" si="22">SUM(BR65:BR70)</f>
        <v>0</v>
      </c>
      <c r="BS103" s="176">
        <f t="shared" ca="1" si="22"/>
        <v>0</v>
      </c>
      <c r="BT103" s="176">
        <f t="shared" ca="1" si="22"/>
        <v>0</v>
      </c>
      <c r="BU103" s="176">
        <f t="shared" ca="1" si="22"/>
        <v>0</v>
      </c>
      <c r="BV103" s="176">
        <f t="shared" ca="1" si="22"/>
        <v>0</v>
      </c>
      <c r="BW103" s="176">
        <f t="shared" ca="1" si="22"/>
        <v>0</v>
      </c>
      <c r="BX103" s="176">
        <f t="shared" ca="1" si="22"/>
        <v>0</v>
      </c>
      <c r="BY103" s="176">
        <f t="shared" ca="1" si="22"/>
        <v>0</v>
      </c>
      <c r="BZ103" s="176">
        <f t="shared" ca="1" si="22"/>
        <v>0</v>
      </c>
      <c r="CA103" s="176">
        <f t="shared" ca="1" si="22"/>
        <v>0</v>
      </c>
      <c r="CB103" s="176">
        <f t="shared" ca="1" si="22"/>
        <v>0</v>
      </c>
      <c r="CC103" s="176">
        <f t="shared" ca="1" si="22"/>
        <v>0</v>
      </c>
      <c r="CD103" s="176">
        <f t="shared" si="22"/>
        <v>0</v>
      </c>
      <c r="CE103" s="177">
        <f t="shared" si="22"/>
        <v>0</v>
      </c>
      <c r="CF103" s="177">
        <f t="shared" si="22"/>
        <v>0</v>
      </c>
      <c r="CG103" s="177">
        <f t="shared" si="22"/>
        <v>0</v>
      </c>
      <c r="CH103" s="120"/>
      <c r="CI103" s="121"/>
      <c r="CJ103" s="92"/>
      <c r="CK103" s="92"/>
      <c r="CL103" s="92"/>
      <c r="CM103" s="92"/>
      <c r="CN103" s="92"/>
      <c r="CO103" s="92"/>
    </row>
    <row r="104" spans="2:95" ht="18" customHeight="1" x14ac:dyDescent="0.3">
      <c r="B104" s="172" t="s">
        <v>38</v>
      </c>
      <c r="C104" s="173" t="s">
        <v>39</v>
      </c>
      <c r="D104" s="174">
        <f ca="1">IFERROR(E104/$E$52,"")</f>
        <v>0</v>
      </c>
      <c r="E104" s="175">
        <f ca="1">AVERAGE(F104:CG104)</f>
        <v>0</v>
      </c>
      <c r="F104" s="176">
        <f t="shared" ref="F104:AK104" ca="1" si="23">SUM(F72:F102)</f>
        <v>0</v>
      </c>
      <c r="G104" s="176">
        <f t="shared" ca="1" si="23"/>
        <v>0</v>
      </c>
      <c r="H104" s="176">
        <f t="shared" ca="1" si="23"/>
        <v>0</v>
      </c>
      <c r="I104" s="176">
        <f t="shared" ca="1" si="23"/>
        <v>0</v>
      </c>
      <c r="J104" s="176">
        <f t="shared" ca="1" si="23"/>
        <v>0</v>
      </c>
      <c r="K104" s="176">
        <f t="shared" ca="1" si="23"/>
        <v>0</v>
      </c>
      <c r="L104" s="176">
        <f t="shared" ca="1" si="23"/>
        <v>0</v>
      </c>
      <c r="M104" s="176">
        <f t="shared" ca="1" si="23"/>
        <v>0</v>
      </c>
      <c r="N104" s="176">
        <f t="shared" ca="1" si="23"/>
        <v>0</v>
      </c>
      <c r="O104" s="176">
        <f t="shared" ca="1" si="23"/>
        <v>0</v>
      </c>
      <c r="P104" s="176">
        <f t="shared" ca="1" si="23"/>
        <v>0</v>
      </c>
      <c r="Q104" s="176">
        <f t="shared" ca="1" si="23"/>
        <v>0</v>
      </c>
      <c r="R104" s="176">
        <f t="shared" ca="1" si="23"/>
        <v>0</v>
      </c>
      <c r="S104" s="176">
        <f t="shared" ca="1" si="23"/>
        <v>0</v>
      </c>
      <c r="T104" s="176">
        <f t="shared" ca="1" si="23"/>
        <v>0</v>
      </c>
      <c r="U104" s="176">
        <f t="shared" ca="1" si="23"/>
        <v>0</v>
      </c>
      <c r="V104" s="176">
        <f t="shared" ca="1" si="23"/>
        <v>0</v>
      </c>
      <c r="W104" s="176">
        <f t="shared" ca="1" si="23"/>
        <v>0</v>
      </c>
      <c r="X104" s="176">
        <f t="shared" ca="1" si="23"/>
        <v>0</v>
      </c>
      <c r="Y104" s="176">
        <f t="shared" ca="1" si="23"/>
        <v>0</v>
      </c>
      <c r="Z104" s="176">
        <f t="shared" ca="1" si="23"/>
        <v>0</v>
      </c>
      <c r="AA104" s="176">
        <f t="shared" ca="1" si="23"/>
        <v>0</v>
      </c>
      <c r="AB104" s="176">
        <f t="shared" ca="1" si="23"/>
        <v>0</v>
      </c>
      <c r="AC104" s="176">
        <f t="shared" ca="1" si="23"/>
        <v>0</v>
      </c>
      <c r="AD104" s="176">
        <f t="shared" ca="1" si="23"/>
        <v>0</v>
      </c>
      <c r="AE104" s="176">
        <f t="shared" ca="1" si="23"/>
        <v>0</v>
      </c>
      <c r="AF104" s="176">
        <f t="shared" ca="1" si="23"/>
        <v>0</v>
      </c>
      <c r="AG104" s="176">
        <f t="shared" ca="1" si="23"/>
        <v>0</v>
      </c>
      <c r="AH104" s="176">
        <f t="shared" ca="1" si="23"/>
        <v>0</v>
      </c>
      <c r="AI104" s="176">
        <f t="shared" ca="1" si="23"/>
        <v>0</v>
      </c>
      <c r="AJ104" s="176">
        <f t="shared" ca="1" si="23"/>
        <v>0</v>
      </c>
      <c r="AK104" s="176">
        <f t="shared" ca="1" si="23"/>
        <v>0</v>
      </c>
      <c r="AL104" s="176">
        <f t="shared" ref="AL104:BQ104" ca="1" si="24">SUM(AL72:AL102)</f>
        <v>0</v>
      </c>
      <c r="AM104" s="176">
        <f t="shared" ca="1" si="24"/>
        <v>0</v>
      </c>
      <c r="AN104" s="176">
        <f t="shared" ca="1" si="24"/>
        <v>0</v>
      </c>
      <c r="AO104" s="176">
        <f t="shared" ca="1" si="24"/>
        <v>0</v>
      </c>
      <c r="AP104" s="176">
        <f t="shared" ca="1" si="24"/>
        <v>0</v>
      </c>
      <c r="AQ104" s="176">
        <f t="shared" ca="1" si="24"/>
        <v>0</v>
      </c>
      <c r="AR104" s="176">
        <f t="shared" ca="1" si="24"/>
        <v>0</v>
      </c>
      <c r="AS104" s="176">
        <f t="shared" ca="1" si="24"/>
        <v>0</v>
      </c>
      <c r="AT104" s="176">
        <f t="shared" ca="1" si="24"/>
        <v>0</v>
      </c>
      <c r="AU104" s="176">
        <f t="shared" ca="1" si="24"/>
        <v>0</v>
      </c>
      <c r="AV104" s="176">
        <f t="shared" ca="1" si="24"/>
        <v>0</v>
      </c>
      <c r="AW104" s="176">
        <f t="shared" ca="1" si="24"/>
        <v>0</v>
      </c>
      <c r="AX104" s="176">
        <f t="shared" ca="1" si="24"/>
        <v>0</v>
      </c>
      <c r="AY104" s="176">
        <f t="shared" ca="1" si="24"/>
        <v>0</v>
      </c>
      <c r="AZ104" s="176">
        <f t="shared" ca="1" si="24"/>
        <v>0</v>
      </c>
      <c r="BA104" s="176">
        <f t="shared" ca="1" si="24"/>
        <v>0</v>
      </c>
      <c r="BB104" s="176">
        <f t="shared" ca="1" si="24"/>
        <v>0</v>
      </c>
      <c r="BC104" s="176">
        <f t="shared" ca="1" si="24"/>
        <v>0</v>
      </c>
      <c r="BD104" s="176">
        <f t="shared" ca="1" si="24"/>
        <v>0</v>
      </c>
      <c r="BE104" s="176">
        <f t="shared" ca="1" si="24"/>
        <v>0</v>
      </c>
      <c r="BF104" s="176">
        <f t="shared" ca="1" si="24"/>
        <v>0</v>
      </c>
      <c r="BG104" s="176">
        <f t="shared" ca="1" si="24"/>
        <v>0</v>
      </c>
      <c r="BH104" s="176">
        <f t="shared" ca="1" si="24"/>
        <v>0</v>
      </c>
      <c r="BI104" s="176">
        <f t="shared" ca="1" si="24"/>
        <v>0</v>
      </c>
      <c r="BJ104" s="176">
        <f t="shared" ca="1" si="24"/>
        <v>0</v>
      </c>
      <c r="BK104" s="176">
        <f t="shared" ca="1" si="24"/>
        <v>0</v>
      </c>
      <c r="BL104" s="176">
        <f t="shared" ca="1" si="24"/>
        <v>0</v>
      </c>
      <c r="BM104" s="176">
        <f t="shared" ca="1" si="24"/>
        <v>0</v>
      </c>
      <c r="BN104" s="176">
        <f t="shared" ca="1" si="24"/>
        <v>0</v>
      </c>
      <c r="BO104" s="176">
        <f t="shared" ca="1" si="24"/>
        <v>0</v>
      </c>
      <c r="BP104" s="176">
        <f t="shared" ca="1" si="24"/>
        <v>0</v>
      </c>
      <c r="BQ104" s="176">
        <f t="shared" ca="1" si="24"/>
        <v>0</v>
      </c>
      <c r="BR104" s="176">
        <f t="shared" ref="BR104:CG104" ca="1" si="25">SUM(BR72:BR102)</f>
        <v>0</v>
      </c>
      <c r="BS104" s="176">
        <f t="shared" ca="1" si="25"/>
        <v>0</v>
      </c>
      <c r="BT104" s="176">
        <f t="shared" ca="1" si="25"/>
        <v>0</v>
      </c>
      <c r="BU104" s="176">
        <f t="shared" ca="1" si="25"/>
        <v>0</v>
      </c>
      <c r="BV104" s="176">
        <f t="shared" ca="1" si="25"/>
        <v>0</v>
      </c>
      <c r="BW104" s="176">
        <f t="shared" ca="1" si="25"/>
        <v>0</v>
      </c>
      <c r="BX104" s="176">
        <f t="shared" ca="1" si="25"/>
        <v>0</v>
      </c>
      <c r="BY104" s="176">
        <f t="shared" ca="1" si="25"/>
        <v>0</v>
      </c>
      <c r="BZ104" s="176">
        <f t="shared" ca="1" si="25"/>
        <v>0</v>
      </c>
      <c r="CA104" s="176">
        <f t="shared" ca="1" si="25"/>
        <v>0</v>
      </c>
      <c r="CB104" s="176">
        <f t="shared" ca="1" si="25"/>
        <v>0</v>
      </c>
      <c r="CC104" s="176">
        <f t="shared" ca="1" si="25"/>
        <v>0</v>
      </c>
      <c r="CD104" s="176">
        <f t="shared" ca="1" si="25"/>
        <v>0</v>
      </c>
      <c r="CE104" s="177">
        <f t="shared" ca="1" si="25"/>
        <v>0</v>
      </c>
      <c r="CF104" s="177">
        <f t="shared" ca="1" si="25"/>
        <v>0</v>
      </c>
      <c r="CG104" s="177">
        <f t="shared" ca="1" si="25"/>
        <v>0</v>
      </c>
      <c r="CH104" s="120"/>
      <c r="CI104" s="121"/>
      <c r="CJ104" s="92"/>
      <c r="CK104" s="92"/>
      <c r="CL104" s="92"/>
      <c r="CM104" s="92"/>
      <c r="CN104" s="92"/>
      <c r="CO104" s="92"/>
    </row>
    <row r="105" spans="2:95" ht="18" customHeight="1" thickBot="1" x14ac:dyDescent="0.35">
      <c r="B105" s="178" t="s">
        <v>38</v>
      </c>
      <c r="C105" s="179" t="s">
        <v>37</v>
      </c>
      <c r="D105" s="180">
        <f ca="1">SUM(D103:D104)</f>
        <v>0</v>
      </c>
      <c r="E105" s="181">
        <f ca="1">AVERAGE(F105:CG105)</f>
        <v>0</v>
      </c>
      <c r="F105" s="182">
        <f t="shared" ref="F105:M105" ca="1" si="26">SUM(F103:F104)</f>
        <v>0</v>
      </c>
      <c r="G105" s="182">
        <f t="shared" ca="1" si="26"/>
        <v>0</v>
      </c>
      <c r="H105" s="182">
        <f t="shared" ca="1" si="26"/>
        <v>0</v>
      </c>
      <c r="I105" s="182">
        <f t="shared" ca="1" si="26"/>
        <v>0</v>
      </c>
      <c r="J105" s="182">
        <f t="shared" ca="1" si="26"/>
        <v>0</v>
      </c>
      <c r="K105" s="182">
        <f t="shared" ca="1" si="26"/>
        <v>0</v>
      </c>
      <c r="L105" s="182">
        <f t="shared" ca="1" si="26"/>
        <v>0</v>
      </c>
      <c r="M105" s="182">
        <f t="shared" ca="1" si="26"/>
        <v>0</v>
      </c>
      <c r="N105" s="183"/>
      <c r="O105" s="183"/>
      <c r="P105" s="183"/>
      <c r="Q105" s="183"/>
      <c r="R105" s="183"/>
      <c r="S105" s="183"/>
      <c r="T105" s="183"/>
      <c r="U105" s="183"/>
      <c r="V105" s="183"/>
      <c r="W105" s="183"/>
      <c r="X105" s="183"/>
      <c r="Y105" s="183"/>
      <c r="Z105" s="183"/>
      <c r="AA105" s="183"/>
      <c r="AB105" s="183"/>
      <c r="AC105" s="183"/>
      <c r="AD105" s="183"/>
      <c r="AE105" s="183"/>
      <c r="AF105" s="183"/>
      <c r="AG105" s="183"/>
      <c r="AH105" s="183"/>
      <c r="AI105" s="183"/>
      <c r="AJ105" s="183"/>
      <c r="AK105" s="183"/>
      <c r="AL105" s="183"/>
      <c r="AM105" s="183"/>
      <c r="AN105" s="183"/>
      <c r="AO105" s="183"/>
      <c r="AP105" s="183"/>
      <c r="AQ105" s="183"/>
      <c r="AR105" s="183"/>
      <c r="AS105" s="183"/>
      <c r="AT105" s="183"/>
      <c r="AU105" s="183"/>
      <c r="AV105" s="183"/>
      <c r="AW105" s="183"/>
      <c r="AX105" s="183"/>
      <c r="AY105" s="183"/>
      <c r="AZ105" s="183"/>
      <c r="BA105" s="183"/>
      <c r="BB105" s="183"/>
      <c r="BC105" s="183"/>
      <c r="BD105" s="183"/>
      <c r="BE105" s="183"/>
      <c r="BF105" s="183"/>
      <c r="BG105" s="183"/>
      <c r="BH105" s="183"/>
      <c r="BI105" s="183"/>
      <c r="BJ105" s="183"/>
      <c r="BK105" s="183"/>
      <c r="BL105" s="183"/>
      <c r="BM105" s="183"/>
      <c r="BN105" s="183"/>
      <c r="BO105" s="183"/>
      <c r="BP105" s="183"/>
      <c r="BQ105" s="183"/>
      <c r="BR105" s="183"/>
      <c r="BS105" s="182"/>
      <c r="BT105" s="182"/>
      <c r="BU105" s="182"/>
      <c r="BV105" s="182"/>
      <c r="BW105" s="182"/>
      <c r="BX105" s="182"/>
      <c r="BY105" s="182"/>
      <c r="BZ105" s="182"/>
      <c r="CA105" s="182"/>
      <c r="CB105" s="182"/>
      <c r="CC105" s="182"/>
      <c r="CD105" s="182"/>
      <c r="CE105" s="184"/>
      <c r="CF105" s="184"/>
      <c r="CG105" s="184"/>
      <c r="CH105" s="120"/>
      <c r="CI105" s="121"/>
      <c r="CJ105" s="92"/>
      <c r="CK105" s="92"/>
      <c r="CL105" s="92"/>
      <c r="CM105" s="92"/>
      <c r="CN105" s="92"/>
      <c r="CO105" s="92"/>
      <c r="CQ105" s="139"/>
    </row>
  </sheetData>
  <mergeCells count="87">
    <mergeCell ref="L6:P6"/>
    <mergeCell ref="U6:X6"/>
    <mergeCell ref="BB64:BE64"/>
    <mergeCell ref="BZ64:CC64"/>
    <mergeCell ref="CD64:CG64"/>
    <mergeCell ref="BF64:BI64"/>
    <mergeCell ref="BJ64:BM64"/>
    <mergeCell ref="BN64:BQ64"/>
    <mergeCell ref="BR64:BU64"/>
    <mergeCell ref="BV64:BY64"/>
    <mergeCell ref="AX64:BA64"/>
    <mergeCell ref="Z64:AC64"/>
    <mergeCell ref="AD64:AG64"/>
    <mergeCell ref="AH64:AK64"/>
    <mergeCell ref="AL64:AO64"/>
    <mergeCell ref="AP64:AS64"/>
    <mergeCell ref="F64:I64"/>
    <mergeCell ref="J64:M64"/>
    <mergeCell ref="N64:Q64"/>
    <mergeCell ref="R64:U64"/>
    <mergeCell ref="V64:Y64"/>
    <mergeCell ref="AT64:AW64"/>
    <mergeCell ref="CD62:CG62"/>
    <mergeCell ref="AL62:AO62"/>
    <mergeCell ref="AP62:AS62"/>
    <mergeCell ref="AT62:AW62"/>
    <mergeCell ref="AX62:BA62"/>
    <mergeCell ref="BB62:BE62"/>
    <mergeCell ref="BF62:BI62"/>
    <mergeCell ref="BJ62:BM62"/>
    <mergeCell ref="BN62:BQ62"/>
    <mergeCell ref="BR62:BU62"/>
    <mergeCell ref="BV62:BY62"/>
    <mergeCell ref="BZ62:CC62"/>
    <mergeCell ref="N62:Q62"/>
    <mergeCell ref="R62:U62"/>
    <mergeCell ref="V62:Y62"/>
    <mergeCell ref="Z62:AC62"/>
    <mergeCell ref="AD62:AG62"/>
    <mergeCell ref="AH62:AK62"/>
    <mergeCell ref="C10:D11"/>
    <mergeCell ref="B62:B63"/>
    <mergeCell ref="C62:D63"/>
    <mergeCell ref="F62:I62"/>
    <mergeCell ref="J62:M62"/>
    <mergeCell ref="F12:I12"/>
    <mergeCell ref="J12:M12"/>
    <mergeCell ref="R10:U10"/>
    <mergeCell ref="V10:Y10"/>
    <mergeCell ref="Z10:AC10"/>
    <mergeCell ref="AD10:AG10"/>
    <mergeCell ref="Z12:AC12"/>
    <mergeCell ref="AD12:AG12"/>
    <mergeCell ref="AH12:AK12"/>
    <mergeCell ref="AH10:AK10"/>
    <mergeCell ref="B10:B11"/>
    <mergeCell ref="B8:CG8"/>
    <mergeCell ref="F10:I10"/>
    <mergeCell ref="J10:M10"/>
    <mergeCell ref="N10:Q10"/>
    <mergeCell ref="CD10:CG10"/>
    <mergeCell ref="BR10:BU10"/>
    <mergeCell ref="AT10:AW10"/>
    <mergeCell ref="AL10:AO10"/>
    <mergeCell ref="AP10:AS10"/>
    <mergeCell ref="N12:Q12"/>
    <mergeCell ref="R12:U12"/>
    <mergeCell ref="AP12:AS12"/>
    <mergeCell ref="AT12:AW12"/>
    <mergeCell ref="V12:Y12"/>
    <mergeCell ref="AL12:AO12"/>
    <mergeCell ref="CD12:CG12"/>
    <mergeCell ref="AX10:BA10"/>
    <mergeCell ref="BB10:BE10"/>
    <mergeCell ref="BF10:BI10"/>
    <mergeCell ref="BJ10:BM10"/>
    <mergeCell ref="AX12:BA12"/>
    <mergeCell ref="BB12:BE12"/>
    <mergeCell ref="BF12:BI12"/>
    <mergeCell ref="BJ12:BM12"/>
    <mergeCell ref="BN10:BQ10"/>
    <mergeCell ref="BZ10:CC10"/>
    <mergeCell ref="BN12:BQ12"/>
    <mergeCell ref="BR12:BU12"/>
    <mergeCell ref="BZ12:CC12"/>
    <mergeCell ref="BV10:BY10"/>
    <mergeCell ref="BV12:BY12"/>
  </mergeCells>
  <phoneticPr fontId="7" type="noConversion"/>
  <conditionalFormatting sqref="F13:CG49">
    <cfRule type="cellIs" dxfId="165" priority="1" operator="equal">
      <formula>0</formula>
    </cfRule>
  </conditionalFormatting>
  <conditionalFormatting sqref="F65:CG102">
    <cfRule type="cellIs" dxfId="164" priority="24" operator="equal">
      <formula>0</formula>
    </cfRule>
  </conditionalFormatting>
  <conditionalFormatting sqref="I6:I7">
    <cfRule type="cellIs" dxfId="163" priority="77" operator="equal">
      <formula>"d"</formula>
    </cfRule>
  </conditionalFormatting>
  <conditionalFormatting sqref="M7">
    <cfRule type="cellIs" dxfId="162" priority="76" operator="equal">
      <formula>"d"</formula>
    </cfRule>
  </conditionalFormatting>
  <conditionalFormatting sqref="Q7">
    <cfRule type="cellIs" dxfId="161" priority="75" operator="equal">
      <formula>"d"</formula>
    </cfRule>
  </conditionalFormatting>
  <conditionalFormatting sqref="U7">
    <cfRule type="cellIs" dxfId="160" priority="74" operator="equal">
      <formula>"d"</formula>
    </cfRule>
  </conditionalFormatting>
  <conditionalFormatting sqref="Y7">
    <cfRule type="cellIs" dxfId="159" priority="73" operator="equal">
      <formula>"d"</formula>
    </cfRule>
  </conditionalFormatting>
  <conditionalFormatting sqref="AC6:AC7">
    <cfRule type="cellIs" dxfId="158" priority="72" operator="equal">
      <formula>"d"</formula>
    </cfRule>
  </conditionalFormatting>
  <conditionalFormatting sqref="AG6:AG7">
    <cfRule type="cellIs" dxfId="157" priority="71" operator="equal">
      <formula>"d"</formula>
    </cfRule>
  </conditionalFormatting>
  <conditionalFormatting sqref="AK6:AK7">
    <cfRule type="cellIs" dxfId="156" priority="70" operator="equal">
      <formula>"d"</formula>
    </cfRule>
  </conditionalFormatting>
  <conditionalFormatting sqref="AO6:AO7">
    <cfRule type="cellIs" dxfId="155" priority="69" operator="equal">
      <formula>"d"</formula>
    </cfRule>
  </conditionalFormatting>
  <conditionalFormatting sqref="AS6:AW7">
    <cfRule type="cellIs" dxfId="154" priority="67" operator="equal">
      <formula>"d"</formula>
    </cfRule>
  </conditionalFormatting>
  <conditionalFormatting sqref="BA6:BA7">
    <cfRule type="cellIs" dxfId="153" priority="58" operator="equal">
      <formula>"d"</formula>
    </cfRule>
  </conditionalFormatting>
  <conditionalFormatting sqref="BE6:BE7">
    <cfRule type="cellIs" dxfId="152" priority="57" operator="equal">
      <formula>"d"</formula>
    </cfRule>
  </conditionalFormatting>
  <conditionalFormatting sqref="BI6:BM7">
    <cfRule type="cellIs" dxfId="151" priority="55" operator="equal">
      <formula>"d"</formula>
    </cfRule>
  </conditionalFormatting>
  <conditionalFormatting sqref="BQ6:BQ7">
    <cfRule type="cellIs" dxfId="150" priority="64" operator="equal">
      <formula>"d"</formula>
    </cfRule>
  </conditionalFormatting>
  <conditionalFormatting sqref="BU6:BU7">
    <cfRule type="cellIs" dxfId="149" priority="63" operator="equal">
      <formula>"d"</formula>
    </cfRule>
  </conditionalFormatting>
  <conditionalFormatting sqref="BY6:BY7">
    <cfRule type="cellIs" dxfId="148" priority="52" operator="equal">
      <formula>"d"</formula>
    </cfRule>
  </conditionalFormatting>
  <conditionalFormatting sqref="CC6:CO7">
    <cfRule type="cellIs" dxfId="147" priority="30" operator="equal">
      <formula>"d"</formula>
    </cfRule>
  </conditionalFormatting>
  <printOptions horizontalCentered="1"/>
  <pageMargins left="0.23622047244094491" right="0.23622047244094491" top="0.35433070866141736" bottom="0.35433070866141736" header="0.31496062992125984" footer="0.31496062992125984"/>
  <pageSetup paperSize="8" scale="35" fitToHeight="0" orientation="landscape" r:id="rId1"/>
  <headerFooter differentFirst="1"/>
  <rowBreaks count="1" manualBreakCount="1">
    <brk id="53" min="1" max="85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A126C-1DD9-4AF4-8251-4EF979EAA416}">
  <sheetPr>
    <pageSetUpPr fitToPage="1"/>
  </sheetPr>
  <dimension ref="A2:VY78"/>
  <sheetViews>
    <sheetView showGridLines="0" topLeftCell="A12" zoomScale="85" zoomScaleNormal="85" zoomScaleSheetLayoutView="85" workbookViewId="0">
      <pane xSplit="5" ySplit="1" topLeftCell="F37" activePane="bottomRight" state="frozen"/>
      <selection activeCell="A12" sqref="A12"/>
      <selection pane="topRight" activeCell="F12" sqref="F12"/>
      <selection pane="bottomLeft" activeCell="A13" sqref="A13"/>
      <selection pane="bottomRight" activeCell="K61" sqref="K61"/>
    </sheetView>
  </sheetViews>
  <sheetFormatPr defaultColWidth="9.109375" defaultRowHeight="14.4" x14ac:dyDescent="0.3"/>
  <cols>
    <col min="1" max="1" width="9.109375" style="79" customWidth="1"/>
    <col min="2" max="2" width="14.88671875" style="82" customWidth="1"/>
    <col min="3" max="3" width="33.6640625" style="79" customWidth="1"/>
    <col min="4" max="5" width="12.44140625" style="79" customWidth="1"/>
    <col min="6" max="565" width="3.6640625" style="79" customWidth="1"/>
    <col min="566" max="572" width="3.6640625" style="186" customWidth="1"/>
    <col min="573" max="716" width="3.6640625" style="79" customWidth="1"/>
    <col min="717" max="16384" width="9.109375" style="79"/>
  </cols>
  <sheetData>
    <row r="2" spans="1:597" ht="21" x14ac:dyDescent="0.3">
      <c r="B2" s="348" t="s">
        <v>98</v>
      </c>
      <c r="C2" s="348"/>
      <c r="D2" s="348"/>
      <c r="E2" s="348"/>
      <c r="F2" s="348"/>
      <c r="G2" s="348"/>
      <c r="H2" s="348"/>
      <c r="I2" s="348"/>
      <c r="J2" s="348"/>
      <c r="K2" s="348"/>
      <c r="L2" s="348"/>
      <c r="M2" s="348"/>
      <c r="N2" s="348"/>
      <c r="O2" s="348"/>
      <c r="P2" s="348"/>
      <c r="Q2" s="348"/>
      <c r="R2" s="348"/>
      <c r="S2" s="348"/>
      <c r="T2" s="348"/>
      <c r="U2" s="348"/>
      <c r="V2" s="348"/>
      <c r="W2" s="348"/>
      <c r="X2" s="348"/>
      <c r="Y2" s="348"/>
      <c r="Z2" s="348"/>
      <c r="AA2" s="348"/>
      <c r="AB2" s="348"/>
      <c r="AC2" s="348"/>
      <c r="AD2" s="348"/>
      <c r="AE2" s="348"/>
      <c r="AF2" s="348"/>
      <c r="AG2" s="348"/>
      <c r="AH2" s="348"/>
      <c r="AI2" s="348"/>
      <c r="AJ2" s="348"/>
      <c r="AK2" s="348"/>
      <c r="AL2" s="348"/>
      <c r="AM2" s="348"/>
      <c r="AN2" s="348"/>
      <c r="AO2" s="348"/>
      <c r="AP2" s="348"/>
      <c r="AQ2" s="348"/>
      <c r="AR2" s="348"/>
      <c r="AS2" s="348"/>
      <c r="AT2" s="348"/>
      <c r="AU2" s="348"/>
      <c r="AV2" s="348"/>
      <c r="AW2" s="348"/>
      <c r="AX2" s="348"/>
      <c r="AY2" s="348"/>
      <c r="AZ2" s="348"/>
      <c r="BA2" s="348"/>
      <c r="BB2" s="348"/>
      <c r="BC2" s="348"/>
      <c r="BD2" s="348"/>
      <c r="BE2" s="348"/>
      <c r="BF2" s="348"/>
      <c r="BG2" s="348"/>
      <c r="BH2" s="348"/>
      <c r="BI2" s="348"/>
      <c r="BJ2" s="348"/>
      <c r="BK2" s="348"/>
      <c r="BL2" s="348"/>
      <c r="BM2" s="348"/>
      <c r="BN2" s="348"/>
      <c r="BO2" s="348"/>
      <c r="BP2" s="348"/>
      <c r="BQ2" s="348"/>
      <c r="BR2" s="348"/>
      <c r="BS2" s="348"/>
      <c r="BT2" s="348"/>
      <c r="BU2" s="348"/>
      <c r="BV2" s="348"/>
      <c r="BW2" s="348"/>
      <c r="BX2" s="348"/>
      <c r="BY2" s="348"/>
      <c r="BZ2" s="348"/>
      <c r="CA2" s="348"/>
      <c r="CB2" s="348"/>
      <c r="CC2" s="348"/>
      <c r="CD2" s="348"/>
      <c r="CE2" s="348"/>
      <c r="CF2" s="348"/>
      <c r="CG2" s="348"/>
      <c r="CH2" s="348"/>
      <c r="CI2" s="348"/>
      <c r="CJ2" s="348"/>
      <c r="CK2" s="348"/>
      <c r="CL2" s="348"/>
      <c r="CM2" s="348"/>
      <c r="CN2" s="348"/>
      <c r="CO2" s="348"/>
      <c r="CP2" s="348"/>
      <c r="CQ2" s="348"/>
      <c r="CR2" s="348"/>
      <c r="CS2" s="348"/>
      <c r="CT2" s="348"/>
      <c r="CU2" s="348"/>
      <c r="CV2" s="348"/>
      <c r="CW2" s="348"/>
      <c r="CX2" s="348"/>
      <c r="CY2" s="348"/>
      <c r="CZ2" s="348"/>
      <c r="DA2" s="348"/>
      <c r="DB2" s="348"/>
      <c r="DC2" s="348"/>
      <c r="DD2" s="348"/>
      <c r="DE2" s="348"/>
      <c r="DF2" s="348"/>
      <c r="DG2" s="348"/>
      <c r="DH2" s="348"/>
      <c r="DI2" s="348"/>
      <c r="DJ2" s="348"/>
      <c r="DK2" s="348"/>
      <c r="DL2" s="348"/>
      <c r="DM2" s="348"/>
      <c r="DN2" s="348"/>
      <c r="DO2" s="348"/>
      <c r="DP2" s="348"/>
      <c r="DQ2" s="348"/>
      <c r="DR2" s="348"/>
      <c r="DS2" s="348"/>
      <c r="DT2" s="348"/>
      <c r="DU2" s="348"/>
      <c r="DV2" s="348"/>
      <c r="DW2" s="348"/>
      <c r="DX2" s="348"/>
      <c r="DY2" s="348"/>
      <c r="DZ2" s="348"/>
      <c r="EA2" s="348"/>
      <c r="EB2" s="348"/>
      <c r="EC2" s="348"/>
      <c r="ED2" s="348"/>
      <c r="EE2" s="348"/>
      <c r="EF2" s="348"/>
      <c r="EG2" s="348"/>
      <c r="EH2" s="348"/>
      <c r="EI2" s="348"/>
      <c r="EJ2" s="348"/>
      <c r="EK2" s="348"/>
      <c r="EL2" s="348"/>
      <c r="EM2" s="348"/>
      <c r="EN2" s="348"/>
      <c r="EO2" s="348"/>
      <c r="EP2" s="348"/>
      <c r="EQ2" s="348"/>
      <c r="ER2" s="348"/>
      <c r="ES2" s="348"/>
      <c r="ET2" s="348"/>
      <c r="EU2" s="348"/>
      <c r="EV2" s="348"/>
      <c r="EW2" s="348"/>
      <c r="EX2" s="348"/>
      <c r="EY2" s="348"/>
      <c r="EZ2" s="348"/>
      <c r="FA2" s="348"/>
      <c r="FB2" s="348"/>
      <c r="FC2" s="348"/>
      <c r="FD2" s="348"/>
      <c r="FE2" s="348"/>
      <c r="FF2" s="348"/>
      <c r="FG2" s="348"/>
      <c r="FH2" s="348"/>
      <c r="FI2" s="348"/>
      <c r="FJ2" s="348"/>
      <c r="FK2" s="348"/>
      <c r="FL2" s="348"/>
      <c r="FM2" s="348"/>
      <c r="FN2" s="348"/>
      <c r="FO2" s="348"/>
      <c r="FP2" s="348"/>
      <c r="FQ2" s="348"/>
      <c r="FR2" s="348"/>
      <c r="FS2" s="348"/>
      <c r="FT2" s="348"/>
      <c r="FU2" s="348"/>
      <c r="FV2" s="348"/>
      <c r="FW2" s="348"/>
      <c r="FX2" s="348"/>
      <c r="FY2" s="348"/>
      <c r="FZ2" s="348"/>
      <c r="GA2" s="348"/>
      <c r="GB2" s="348"/>
      <c r="GC2" s="348"/>
      <c r="GD2" s="348"/>
      <c r="GE2" s="348"/>
      <c r="GF2" s="348"/>
      <c r="GG2" s="348"/>
      <c r="GH2" s="348"/>
      <c r="GI2" s="348"/>
      <c r="GJ2" s="348"/>
      <c r="GK2" s="348"/>
      <c r="GL2" s="348"/>
      <c r="GM2" s="348"/>
      <c r="GN2" s="348"/>
      <c r="GO2" s="348"/>
      <c r="GP2" s="348"/>
      <c r="GQ2" s="348"/>
      <c r="GR2" s="348"/>
      <c r="GS2" s="348"/>
      <c r="GT2" s="348"/>
      <c r="GU2" s="348"/>
      <c r="GV2" s="348"/>
      <c r="GW2" s="348"/>
      <c r="GX2" s="348"/>
      <c r="GY2" s="348"/>
      <c r="GZ2" s="348"/>
      <c r="HA2" s="348"/>
      <c r="HB2" s="348"/>
      <c r="HC2" s="348"/>
      <c r="HD2" s="348"/>
      <c r="HE2" s="348"/>
      <c r="HF2" s="348"/>
      <c r="HG2" s="348"/>
      <c r="HH2" s="348"/>
      <c r="HI2" s="348"/>
      <c r="HJ2" s="348"/>
      <c r="HK2" s="348"/>
      <c r="HL2" s="348"/>
      <c r="HM2" s="348"/>
      <c r="HN2" s="348"/>
      <c r="HO2" s="348"/>
      <c r="HP2" s="348"/>
      <c r="HQ2" s="348"/>
      <c r="HR2" s="348"/>
      <c r="HS2" s="348"/>
      <c r="HT2" s="348"/>
      <c r="HU2" s="348"/>
      <c r="HV2" s="348"/>
      <c r="HW2" s="348"/>
      <c r="HX2" s="348"/>
      <c r="HY2" s="348"/>
      <c r="HZ2" s="348"/>
      <c r="IA2" s="348"/>
      <c r="IB2" s="348"/>
      <c r="IC2" s="348"/>
      <c r="ID2" s="348"/>
      <c r="IE2" s="348"/>
      <c r="IF2" s="348"/>
      <c r="IG2" s="348"/>
      <c r="IH2" s="348"/>
      <c r="II2" s="348"/>
      <c r="IJ2" s="348"/>
      <c r="IK2" s="348"/>
      <c r="IL2" s="348"/>
      <c r="IM2" s="348"/>
      <c r="IN2" s="348"/>
      <c r="IO2" s="348"/>
      <c r="IP2" s="348"/>
      <c r="IQ2" s="348"/>
      <c r="IR2" s="348"/>
      <c r="IS2" s="348"/>
      <c r="IT2" s="348"/>
      <c r="IU2" s="348"/>
      <c r="IV2" s="348"/>
      <c r="IW2" s="348"/>
      <c r="IX2" s="348"/>
      <c r="IY2" s="348"/>
      <c r="IZ2" s="348"/>
      <c r="JA2" s="348"/>
      <c r="JB2" s="348"/>
      <c r="JC2" s="348"/>
      <c r="JD2" s="348"/>
      <c r="JE2" s="348"/>
      <c r="JF2" s="348"/>
      <c r="JG2" s="348"/>
      <c r="JH2" s="348"/>
      <c r="JI2" s="348"/>
      <c r="JJ2" s="348"/>
      <c r="JK2" s="348"/>
      <c r="JL2" s="348"/>
      <c r="JM2" s="348"/>
      <c r="JN2" s="348"/>
      <c r="JO2" s="348"/>
      <c r="JP2" s="348"/>
      <c r="JQ2" s="348"/>
      <c r="JR2" s="348"/>
      <c r="JS2" s="348"/>
      <c r="JT2" s="348"/>
      <c r="JU2" s="348"/>
      <c r="JV2" s="348"/>
      <c r="JW2" s="348"/>
      <c r="JX2" s="348"/>
      <c r="JY2" s="348"/>
      <c r="JZ2" s="348"/>
      <c r="KA2" s="348"/>
      <c r="KB2" s="348"/>
      <c r="KC2" s="348"/>
      <c r="KD2" s="348"/>
      <c r="KE2" s="348"/>
      <c r="KF2" s="348"/>
      <c r="KG2" s="348"/>
      <c r="KH2" s="348"/>
      <c r="KI2" s="348"/>
      <c r="KJ2" s="348"/>
      <c r="KK2" s="348"/>
      <c r="KL2" s="348"/>
      <c r="KM2" s="348"/>
      <c r="KN2" s="348"/>
      <c r="KO2" s="348"/>
      <c r="KP2" s="348"/>
      <c r="KQ2" s="348"/>
      <c r="KR2" s="348"/>
      <c r="KS2" s="348"/>
      <c r="KT2" s="348"/>
      <c r="KU2" s="348"/>
      <c r="KV2" s="348"/>
      <c r="KW2" s="348"/>
      <c r="KX2" s="348"/>
      <c r="KY2" s="348"/>
      <c r="KZ2" s="348"/>
      <c r="LA2" s="348"/>
      <c r="LB2" s="348"/>
      <c r="LC2" s="348"/>
      <c r="LD2" s="348"/>
      <c r="LE2" s="348"/>
      <c r="LF2" s="348"/>
      <c r="LG2" s="348"/>
      <c r="LH2" s="348"/>
      <c r="LI2" s="348"/>
      <c r="LJ2" s="348"/>
      <c r="LK2" s="348"/>
      <c r="LL2" s="348"/>
      <c r="LM2" s="348"/>
      <c r="LN2" s="348"/>
      <c r="LO2" s="348"/>
      <c r="LP2" s="348"/>
      <c r="LQ2" s="348"/>
      <c r="LR2" s="348"/>
      <c r="LS2" s="348"/>
      <c r="LT2" s="348"/>
      <c r="LU2" s="348"/>
      <c r="LV2" s="348"/>
      <c r="LW2" s="348"/>
      <c r="LX2" s="348"/>
      <c r="LY2" s="348"/>
      <c r="LZ2" s="348"/>
      <c r="MA2" s="348"/>
      <c r="MB2" s="348"/>
      <c r="MC2" s="348"/>
      <c r="MD2" s="348"/>
      <c r="ME2" s="348"/>
      <c r="MF2" s="348"/>
      <c r="MG2" s="348"/>
      <c r="MH2" s="348"/>
      <c r="MI2" s="348"/>
      <c r="MJ2" s="348"/>
      <c r="MK2" s="348"/>
      <c r="ML2" s="348"/>
      <c r="MM2" s="348"/>
      <c r="MN2" s="348"/>
      <c r="MO2" s="348"/>
      <c r="MP2" s="348"/>
      <c r="MQ2" s="348"/>
      <c r="MR2" s="348"/>
      <c r="MS2" s="348"/>
      <c r="MT2" s="348"/>
      <c r="MU2" s="348"/>
      <c r="MV2" s="348"/>
      <c r="MW2" s="348"/>
      <c r="MX2" s="348"/>
      <c r="MY2" s="348"/>
      <c r="MZ2" s="348"/>
      <c r="NA2" s="348"/>
      <c r="NB2" s="348"/>
      <c r="NC2" s="348"/>
      <c r="ND2" s="348"/>
      <c r="NE2" s="348"/>
      <c r="NF2" s="348"/>
      <c r="NG2" s="348"/>
      <c r="NH2" s="348"/>
      <c r="NI2" s="348"/>
      <c r="NJ2" s="348"/>
      <c r="NK2" s="348"/>
      <c r="NL2" s="348"/>
      <c r="NM2" s="348"/>
      <c r="NN2" s="348"/>
      <c r="NO2" s="348"/>
      <c r="NP2" s="348"/>
      <c r="NQ2" s="348"/>
      <c r="NR2" s="348"/>
      <c r="NS2" s="348"/>
      <c r="NT2" s="348"/>
      <c r="NU2" s="348"/>
      <c r="NV2" s="348"/>
      <c r="NW2" s="348"/>
      <c r="NX2" s="348"/>
      <c r="NY2" s="348"/>
      <c r="NZ2" s="348"/>
      <c r="OA2" s="348"/>
      <c r="OB2" s="348"/>
      <c r="OC2" s="348"/>
      <c r="OD2" s="348"/>
      <c r="OE2" s="348"/>
      <c r="OF2" s="348"/>
      <c r="OG2" s="348"/>
      <c r="OH2" s="348"/>
      <c r="OI2" s="348"/>
      <c r="OJ2" s="348"/>
      <c r="OK2" s="348"/>
      <c r="OL2" s="348"/>
      <c r="OM2" s="348"/>
      <c r="ON2" s="348"/>
      <c r="OO2" s="348"/>
      <c r="OP2" s="348"/>
      <c r="OQ2" s="348"/>
      <c r="OR2" s="348"/>
      <c r="OS2" s="348"/>
      <c r="OT2" s="348"/>
      <c r="OU2" s="348"/>
      <c r="OV2" s="348"/>
      <c r="OW2" s="348"/>
      <c r="OX2" s="348"/>
      <c r="OY2" s="348"/>
      <c r="OZ2" s="348"/>
      <c r="PA2" s="348"/>
      <c r="PB2" s="348"/>
      <c r="PC2" s="348"/>
      <c r="PD2" s="348"/>
      <c r="PE2" s="348"/>
      <c r="PF2" s="348"/>
      <c r="PG2" s="348"/>
      <c r="PH2" s="348"/>
      <c r="PI2" s="348"/>
      <c r="PJ2" s="348"/>
      <c r="PK2" s="348"/>
      <c r="PL2" s="348"/>
      <c r="PM2" s="348"/>
      <c r="PN2" s="348"/>
      <c r="PO2" s="348"/>
      <c r="PP2" s="348"/>
      <c r="PQ2" s="348"/>
      <c r="PR2" s="348"/>
      <c r="PS2" s="348"/>
      <c r="PT2" s="348"/>
      <c r="PU2" s="348"/>
      <c r="PV2" s="348"/>
      <c r="PW2" s="348"/>
      <c r="PX2" s="348"/>
      <c r="PY2" s="348"/>
      <c r="PZ2" s="348"/>
      <c r="QA2" s="348"/>
      <c r="QB2" s="348"/>
      <c r="QC2" s="348"/>
      <c r="QD2" s="348"/>
      <c r="QE2" s="348"/>
      <c r="QF2" s="348"/>
      <c r="QG2" s="348"/>
      <c r="QH2" s="348"/>
      <c r="QI2" s="348"/>
      <c r="QJ2" s="348"/>
      <c r="QK2" s="348"/>
      <c r="QL2" s="348"/>
      <c r="QM2" s="348"/>
      <c r="QN2" s="348"/>
      <c r="QO2" s="348"/>
      <c r="QP2" s="348"/>
      <c r="QQ2" s="348"/>
      <c r="QR2" s="348"/>
      <c r="QS2" s="348"/>
      <c r="QT2" s="348"/>
      <c r="QU2" s="348"/>
      <c r="QV2" s="348"/>
      <c r="QW2" s="348"/>
      <c r="QX2" s="348"/>
      <c r="QY2" s="348"/>
      <c r="QZ2" s="348"/>
      <c r="RA2" s="348"/>
      <c r="RB2" s="348"/>
      <c r="RC2" s="348"/>
      <c r="RD2" s="348"/>
      <c r="RE2" s="348"/>
      <c r="RF2" s="348"/>
      <c r="RG2" s="348"/>
      <c r="RH2" s="348"/>
      <c r="RI2" s="348"/>
      <c r="RJ2" s="348"/>
      <c r="RK2" s="348"/>
      <c r="RL2" s="348"/>
      <c r="RM2" s="348"/>
      <c r="RN2" s="348"/>
      <c r="RO2" s="348"/>
      <c r="RP2" s="348"/>
      <c r="RQ2" s="348"/>
      <c r="RR2" s="348"/>
      <c r="RS2" s="348"/>
      <c r="RT2" s="348"/>
      <c r="RU2" s="348"/>
      <c r="RV2" s="348"/>
      <c r="RW2" s="348"/>
      <c r="RX2" s="348"/>
      <c r="RY2" s="348"/>
      <c r="RZ2" s="348"/>
      <c r="SA2" s="348"/>
      <c r="SB2" s="348"/>
      <c r="SC2" s="348"/>
      <c r="SD2" s="348"/>
      <c r="SE2" s="348"/>
      <c r="SF2" s="348"/>
      <c r="SG2" s="348"/>
      <c r="SH2" s="348"/>
      <c r="SI2" s="348"/>
      <c r="SJ2" s="348"/>
      <c r="SK2" s="348"/>
      <c r="SL2" s="348"/>
      <c r="SM2" s="348"/>
      <c r="SN2" s="348"/>
      <c r="SO2" s="348"/>
      <c r="SP2" s="348"/>
      <c r="SQ2" s="348"/>
      <c r="SR2" s="348"/>
      <c r="SS2" s="348"/>
      <c r="ST2" s="348"/>
      <c r="SU2" s="348"/>
      <c r="SV2" s="348"/>
      <c r="SW2" s="348"/>
      <c r="SX2" s="348"/>
      <c r="SY2" s="348"/>
      <c r="SZ2" s="348"/>
      <c r="TA2" s="348"/>
      <c r="TB2" s="348"/>
      <c r="TC2" s="348"/>
      <c r="TD2" s="348"/>
      <c r="TE2" s="348"/>
      <c r="TF2" s="348"/>
      <c r="TG2" s="348"/>
      <c r="TH2" s="348"/>
      <c r="TI2" s="348"/>
      <c r="TJ2" s="348"/>
      <c r="TK2" s="348"/>
      <c r="TL2" s="348"/>
      <c r="TM2" s="348"/>
      <c r="TN2" s="348"/>
      <c r="TO2" s="348"/>
      <c r="TP2" s="348"/>
      <c r="TQ2" s="348"/>
      <c r="TR2" s="348"/>
      <c r="TS2" s="348"/>
      <c r="TT2" s="348"/>
      <c r="TU2" s="348"/>
      <c r="TV2" s="348"/>
      <c r="TW2" s="348"/>
      <c r="TX2" s="348"/>
      <c r="TY2" s="348"/>
      <c r="TZ2" s="348"/>
      <c r="UA2" s="348"/>
      <c r="UB2" s="348"/>
      <c r="UC2" s="348"/>
      <c r="UD2" s="348"/>
      <c r="UE2" s="348"/>
      <c r="UF2" s="348"/>
      <c r="UG2" s="348"/>
      <c r="UH2" s="348"/>
      <c r="UI2" s="348"/>
      <c r="UJ2" s="348"/>
      <c r="UK2" s="348"/>
      <c r="UL2" s="348"/>
      <c r="UM2" s="348"/>
      <c r="UN2" s="348"/>
      <c r="UO2" s="348"/>
      <c r="UP2" s="348"/>
      <c r="UQ2" s="348"/>
      <c r="UR2" s="348"/>
      <c r="US2" s="348"/>
      <c r="VA2" s="185"/>
      <c r="VB2" s="185"/>
      <c r="VC2" s="185"/>
      <c r="VD2" s="185"/>
      <c r="VE2" s="185"/>
      <c r="VF2" s="185"/>
      <c r="VG2" s="185"/>
      <c r="VH2" s="185"/>
      <c r="VI2" s="185"/>
      <c r="VJ2" s="185"/>
      <c r="VK2" s="185"/>
      <c r="VL2" s="185"/>
      <c r="VM2" s="185"/>
      <c r="VN2" s="185"/>
      <c r="VO2" s="185"/>
      <c r="VP2" s="185"/>
      <c r="VQ2" s="185"/>
      <c r="VR2" s="185"/>
      <c r="VS2" s="185"/>
      <c r="VT2" s="185"/>
      <c r="VU2" s="185"/>
      <c r="VV2" s="185"/>
    </row>
    <row r="3" spans="1:597" ht="15.6" x14ac:dyDescent="0.3">
      <c r="B3" s="349" t="s">
        <v>1</v>
      </c>
      <c r="C3" s="349"/>
      <c r="D3" s="349"/>
      <c r="E3" s="349"/>
      <c r="F3" s="349"/>
      <c r="G3" s="349"/>
      <c r="H3" s="349"/>
      <c r="I3" s="349"/>
      <c r="J3" s="349"/>
      <c r="K3" s="349"/>
      <c r="L3" s="349"/>
      <c r="M3" s="349"/>
      <c r="N3" s="349"/>
      <c r="O3" s="349"/>
      <c r="P3" s="349"/>
      <c r="Q3" s="349"/>
      <c r="R3" s="349"/>
      <c r="S3" s="349"/>
      <c r="T3" s="349"/>
      <c r="U3" s="349"/>
      <c r="V3" s="349"/>
      <c r="W3" s="349"/>
      <c r="X3" s="349"/>
      <c r="Y3" s="349"/>
      <c r="Z3" s="349"/>
      <c r="AA3" s="349"/>
      <c r="AB3" s="349"/>
      <c r="AC3" s="349"/>
      <c r="AD3" s="349"/>
      <c r="AE3" s="349"/>
      <c r="AF3" s="349"/>
      <c r="AG3" s="349"/>
      <c r="AH3" s="349"/>
      <c r="AI3" s="349"/>
      <c r="AJ3" s="349"/>
      <c r="AK3" s="349"/>
      <c r="AL3" s="349"/>
      <c r="AM3" s="349"/>
      <c r="AN3" s="349"/>
      <c r="AO3" s="349"/>
      <c r="AP3" s="349"/>
      <c r="AQ3" s="349"/>
      <c r="AR3" s="349"/>
      <c r="AS3" s="349"/>
      <c r="AT3" s="349"/>
      <c r="AU3" s="349"/>
      <c r="AV3" s="349"/>
      <c r="AW3" s="349"/>
      <c r="AX3" s="349"/>
      <c r="AY3" s="349"/>
      <c r="AZ3" s="349"/>
      <c r="BA3" s="349"/>
      <c r="BB3" s="349"/>
      <c r="BC3" s="349"/>
      <c r="BD3" s="349"/>
      <c r="BE3" s="349"/>
      <c r="BF3" s="349"/>
      <c r="BG3" s="349"/>
      <c r="BH3" s="349"/>
      <c r="BI3" s="349"/>
      <c r="BJ3" s="349"/>
      <c r="BK3" s="349"/>
      <c r="BL3" s="349"/>
      <c r="BM3" s="349"/>
      <c r="BN3" s="349"/>
      <c r="BO3" s="349"/>
      <c r="BP3" s="349"/>
      <c r="BQ3" s="349"/>
      <c r="BR3" s="349"/>
      <c r="BS3" s="349"/>
      <c r="BT3" s="349"/>
      <c r="BU3" s="349"/>
      <c r="BV3" s="349"/>
      <c r="BW3" s="349"/>
      <c r="BX3" s="349"/>
      <c r="BY3" s="349"/>
      <c r="BZ3" s="349"/>
      <c r="CA3" s="349"/>
      <c r="CB3" s="349"/>
      <c r="CC3" s="349"/>
      <c r="CD3" s="349"/>
      <c r="CE3" s="349"/>
      <c r="CF3" s="349"/>
      <c r="CG3" s="349"/>
      <c r="CH3" s="349"/>
      <c r="CI3" s="349"/>
      <c r="CJ3" s="349"/>
      <c r="CK3" s="349"/>
      <c r="CL3" s="349"/>
      <c r="CM3" s="349"/>
      <c r="CN3" s="349"/>
      <c r="CO3" s="349"/>
      <c r="CP3" s="349"/>
      <c r="CQ3" s="349"/>
      <c r="CR3" s="349"/>
      <c r="CS3" s="349"/>
      <c r="CT3" s="349"/>
      <c r="CU3" s="349"/>
      <c r="CV3" s="349"/>
      <c r="CW3" s="349"/>
      <c r="CX3" s="349"/>
      <c r="CY3" s="349"/>
      <c r="CZ3" s="349"/>
      <c r="DA3" s="349"/>
      <c r="DB3" s="349"/>
      <c r="DC3" s="349"/>
      <c r="DD3" s="349"/>
      <c r="DE3" s="349"/>
      <c r="DF3" s="349"/>
      <c r="DG3" s="349"/>
      <c r="DH3" s="349"/>
      <c r="DI3" s="349"/>
      <c r="DJ3" s="349"/>
      <c r="DK3" s="349"/>
      <c r="DL3" s="349"/>
      <c r="DM3" s="349"/>
      <c r="DN3" s="349"/>
      <c r="DO3" s="349"/>
      <c r="DP3" s="349"/>
      <c r="DQ3" s="349"/>
      <c r="DR3" s="349"/>
      <c r="DS3" s="349"/>
      <c r="DT3" s="349"/>
      <c r="DU3" s="349"/>
      <c r="DV3" s="349"/>
      <c r="DW3" s="349"/>
      <c r="DX3" s="349"/>
      <c r="DY3" s="349"/>
      <c r="DZ3" s="349"/>
      <c r="EA3" s="349"/>
      <c r="EB3" s="349"/>
      <c r="EC3" s="349"/>
      <c r="ED3" s="349"/>
      <c r="EE3" s="349"/>
      <c r="EF3" s="349"/>
      <c r="EG3" s="349"/>
      <c r="EH3" s="349"/>
      <c r="EI3" s="349"/>
      <c r="EJ3" s="349"/>
      <c r="EK3" s="349"/>
      <c r="EL3" s="349"/>
      <c r="EM3" s="349"/>
      <c r="EN3" s="349"/>
      <c r="EO3" s="349"/>
      <c r="EP3" s="349"/>
      <c r="EQ3" s="349"/>
      <c r="ER3" s="349"/>
      <c r="ES3" s="349"/>
      <c r="ET3" s="349"/>
      <c r="EU3" s="349"/>
      <c r="EV3" s="349"/>
      <c r="EW3" s="349"/>
      <c r="EX3" s="349"/>
      <c r="EY3" s="349"/>
      <c r="EZ3" s="349"/>
      <c r="FA3" s="349"/>
      <c r="FB3" s="349"/>
      <c r="FC3" s="349"/>
      <c r="FD3" s="349"/>
      <c r="FE3" s="349"/>
      <c r="FF3" s="349"/>
      <c r="FG3" s="349"/>
      <c r="FH3" s="349"/>
      <c r="FI3" s="349"/>
      <c r="FJ3" s="349"/>
      <c r="FK3" s="349"/>
      <c r="FL3" s="349"/>
      <c r="FM3" s="349"/>
      <c r="FN3" s="349"/>
      <c r="FO3" s="349"/>
      <c r="FP3" s="349"/>
      <c r="FQ3" s="349"/>
      <c r="FR3" s="349"/>
      <c r="FS3" s="349"/>
      <c r="FT3" s="349"/>
      <c r="FU3" s="349"/>
      <c r="FV3" s="349"/>
      <c r="FW3" s="349"/>
      <c r="FX3" s="349"/>
      <c r="FY3" s="349"/>
      <c r="FZ3" s="349"/>
      <c r="GA3" s="349"/>
      <c r="GB3" s="349"/>
      <c r="GC3" s="349"/>
      <c r="GD3" s="349"/>
      <c r="GE3" s="349"/>
      <c r="GF3" s="349"/>
      <c r="GG3" s="349"/>
      <c r="GH3" s="349"/>
      <c r="GI3" s="349"/>
      <c r="GJ3" s="349"/>
      <c r="GK3" s="349"/>
      <c r="GL3" s="349"/>
      <c r="GM3" s="349"/>
      <c r="GN3" s="349"/>
      <c r="GO3" s="349"/>
      <c r="GP3" s="349"/>
      <c r="GQ3" s="349"/>
      <c r="GR3" s="349"/>
      <c r="GS3" s="349"/>
      <c r="GT3" s="349"/>
      <c r="GU3" s="349"/>
      <c r="GV3" s="349"/>
      <c r="GW3" s="349"/>
      <c r="GX3" s="349"/>
      <c r="GY3" s="349"/>
      <c r="GZ3" s="349"/>
      <c r="HA3" s="349"/>
      <c r="HB3" s="349"/>
      <c r="HC3" s="349"/>
      <c r="HD3" s="349"/>
      <c r="HE3" s="349"/>
      <c r="HF3" s="349"/>
      <c r="HG3" s="349"/>
      <c r="HH3" s="349"/>
      <c r="HI3" s="349"/>
      <c r="HJ3" s="349"/>
      <c r="HK3" s="349"/>
      <c r="HL3" s="349"/>
      <c r="HM3" s="349"/>
      <c r="HN3" s="349"/>
      <c r="HO3" s="349"/>
      <c r="HP3" s="349"/>
      <c r="HQ3" s="349"/>
      <c r="HR3" s="349"/>
      <c r="HS3" s="349"/>
      <c r="HT3" s="349"/>
      <c r="HU3" s="349"/>
      <c r="HV3" s="349"/>
      <c r="HW3" s="349"/>
      <c r="HX3" s="349"/>
      <c r="HY3" s="349"/>
      <c r="HZ3" s="349"/>
      <c r="IA3" s="349"/>
      <c r="IB3" s="349"/>
      <c r="IC3" s="349"/>
      <c r="ID3" s="349"/>
      <c r="IE3" s="349"/>
      <c r="IF3" s="349"/>
      <c r="IG3" s="349"/>
      <c r="IH3" s="349"/>
      <c r="II3" s="349"/>
      <c r="IJ3" s="349"/>
      <c r="IK3" s="349"/>
      <c r="IL3" s="349"/>
      <c r="IM3" s="349"/>
      <c r="IN3" s="349"/>
      <c r="IO3" s="349"/>
      <c r="IP3" s="349"/>
      <c r="IQ3" s="349"/>
      <c r="IR3" s="349"/>
      <c r="IS3" s="349"/>
      <c r="IT3" s="349"/>
      <c r="IU3" s="349"/>
      <c r="IV3" s="349"/>
      <c r="IW3" s="349"/>
      <c r="IX3" s="349"/>
      <c r="IY3" s="349"/>
      <c r="IZ3" s="349"/>
      <c r="JA3" s="349"/>
      <c r="JB3" s="349"/>
      <c r="JC3" s="349"/>
      <c r="JD3" s="349"/>
      <c r="JE3" s="349"/>
      <c r="JF3" s="349"/>
      <c r="JG3" s="349"/>
      <c r="JH3" s="349"/>
      <c r="JI3" s="349"/>
      <c r="JJ3" s="349"/>
      <c r="JK3" s="349"/>
      <c r="JL3" s="349"/>
      <c r="JM3" s="349"/>
      <c r="JN3" s="349"/>
      <c r="JO3" s="349"/>
      <c r="JP3" s="349"/>
      <c r="JQ3" s="349"/>
      <c r="JR3" s="349"/>
      <c r="JS3" s="349"/>
      <c r="JT3" s="349"/>
      <c r="JU3" s="349"/>
      <c r="JV3" s="349"/>
      <c r="JW3" s="349"/>
      <c r="JX3" s="349"/>
      <c r="JY3" s="349"/>
      <c r="JZ3" s="349"/>
      <c r="KA3" s="349"/>
      <c r="KB3" s="349"/>
      <c r="KC3" s="349"/>
      <c r="KD3" s="349"/>
      <c r="KE3" s="349"/>
      <c r="KF3" s="349"/>
      <c r="KG3" s="349"/>
      <c r="KH3" s="349"/>
      <c r="KI3" s="349"/>
      <c r="KJ3" s="349"/>
      <c r="KK3" s="349"/>
      <c r="KL3" s="349"/>
      <c r="KM3" s="349"/>
      <c r="KN3" s="349"/>
      <c r="KO3" s="349"/>
      <c r="KP3" s="349"/>
      <c r="KQ3" s="349"/>
      <c r="KR3" s="349"/>
      <c r="KS3" s="349"/>
      <c r="KT3" s="349"/>
      <c r="KU3" s="349"/>
      <c r="KV3" s="349"/>
      <c r="KW3" s="349"/>
      <c r="KX3" s="349"/>
      <c r="KY3" s="349"/>
      <c r="KZ3" s="349"/>
      <c r="LA3" s="349"/>
      <c r="LB3" s="349"/>
      <c r="LC3" s="349"/>
      <c r="LD3" s="349"/>
      <c r="LE3" s="349"/>
      <c r="LF3" s="349"/>
      <c r="LG3" s="349"/>
      <c r="LH3" s="349"/>
      <c r="LI3" s="349"/>
      <c r="LJ3" s="349"/>
      <c r="LK3" s="349"/>
      <c r="LL3" s="349"/>
      <c r="LM3" s="349"/>
      <c r="LN3" s="349"/>
      <c r="LO3" s="349"/>
      <c r="LP3" s="349"/>
      <c r="LQ3" s="349"/>
      <c r="LR3" s="349"/>
      <c r="LS3" s="349"/>
      <c r="LT3" s="349"/>
      <c r="LU3" s="349"/>
      <c r="LV3" s="349"/>
      <c r="LW3" s="349"/>
      <c r="LX3" s="349"/>
      <c r="LY3" s="349"/>
      <c r="LZ3" s="349"/>
      <c r="MA3" s="349"/>
      <c r="MB3" s="349"/>
      <c r="MC3" s="349"/>
      <c r="MD3" s="349"/>
      <c r="ME3" s="349"/>
      <c r="MF3" s="349"/>
      <c r="MG3" s="349"/>
      <c r="MH3" s="349"/>
      <c r="MI3" s="349"/>
      <c r="MJ3" s="349"/>
      <c r="MK3" s="349"/>
      <c r="ML3" s="349"/>
      <c r="MM3" s="349"/>
      <c r="MN3" s="349"/>
      <c r="MO3" s="349"/>
      <c r="MP3" s="349"/>
      <c r="MQ3" s="349"/>
      <c r="MR3" s="349"/>
      <c r="MS3" s="349"/>
      <c r="MT3" s="349"/>
      <c r="MU3" s="349"/>
      <c r="MV3" s="349"/>
      <c r="MW3" s="349"/>
      <c r="MX3" s="349"/>
      <c r="MY3" s="349"/>
      <c r="MZ3" s="349"/>
      <c r="NA3" s="349"/>
      <c r="NB3" s="349"/>
      <c r="NC3" s="349"/>
      <c r="ND3" s="349"/>
      <c r="NE3" s="349"/>
      <c r="NF3" s="349"/>
      <c r="NG3" s="349"/>
      <c r="NH3" s="349"/>
      <c r="NI3" s="349"/>
      <c r="NJ3" s="349"/>
      <c r="NK3" s="349"/>
      <c r="NL3" s="349"/>
      <c r="NM3" s="349"/>
      <c r="NN3" s="349"/>
      <c r="NO3" s="349"/>
      <c r="NP3" s="349"/>
      <c r="NQ3" s="349"/>
      <c r="NR3" s="349"/>
      <c r="NS3" s="349"/>
      <c r="NT3" s="349"/>
      <c r="NU3" s="349"/>
      <c r="NV3" s="349"/>
      <c r="NW3" s="349"/>
      <c r="NX3" s="349"/>
      <c r="NY3" s="349"/>
      <c r="NZ3" s="349"/>
      <c r="OA3" s="349"/>
      <c r="OB3" s="349"/>
      <c r="OC3" s="349"/>
      <c r="OD3" s="349"/>
      <c r="OE3" s="349"/>
      <c r="OF3" s="349"/>
      <c r="OG3" s="349"/>
      <c r="OH3" s="349"/>
      <c r="OI3" s="349"/>
      <c r="OJ3" s="349"/>
      <c r="OK3" s="349"/>
      <c r="OL3" s="349"/>
      <c r="OM3" s="349"/>
      <c r="ON3" s="349"/>
      <c r="OO3" s="349"/>
      <c r="OP3" s="349"/>
      <c r="OQ3" s="349"/>
      <c r="OR3" s="349"/>
      <c r="OS3" s="349"/>
      <c r="OT3" s="349"/>
      <c r="OU3" s="349"/>
      <c r="OV3" s="349"/>
      <c r="OW3" s="349"/>
      <c r="OX3" s="349"/>
      <c r="OY3" s="349"/>
      <c r="OZ3" s="349"/>
      <c r="PA3" s="349"/>
      <c r="PB3" s="349"/>
      <c r="PC3" s="349"/>
      <c r="PD3" s="349"/>
      <c r="PE3" s="349"/>
      <c r="PF3" s="349"/>
      <c r="PG3" s="349"/>
      <c r="PH3" s="349"/>
      <c r="PI3" s="349"/>
      <c r="PJ3" s="349"/>
      <c r="PK3" s="349"/>
      <c r="PL3" s="349"/>
      <c r="PM3" s="349"/>
      <c r="PN3" s="349"/>
      <c r="PO3" s="349"/>
      <c r="PP3" s="349"/>
      <c r="PQ3" s="349"/>
      <c r="PR3" s="349"/>
      <c r="PS3" s="349"/>
      <c r="PT3" s="349"/>
      <c r="PU3" s="349"/>
      <c r="PV3" s="349"/>
      <c r="PW3" s="349"/>
      <c r="PX3" s="349"/>
      <c r="PY3" s="349"/>
      <c r="PZ3" s="349"/>
      <c r="QA3" s="349"/>
      <c r="QB3" s="349"/>
      <c r="QC3" s="349"/>
      <c r="QD3" s="349"/>
      <c r="QE3" s="349"/>
      <c r="QF3" s="349"/>
      <c r="QG3" s="349"/>
      <c r="QH3" s="349"/>
      <c r="QI3" s="349"/>
      <c r="QJ3" s="349"/>
      <c r="QK3" s="349"/>
      <c r="QL3" s="349"/>
      <c r="QM3" s="349"/>
      <c r="QN3" s="349"/>
      <c r="QO3" s="349"/>
      <c r="QP3" s="349"/>
      <c r="QQ3" s="349"/>
      <c r="QR3" s="349"/>
      <c r="QS3" s="349"/>
      <c r="QT3" s="349"/>
      <c r="QU3" s="349"/>
      <c r="QV3" s="349"/>
      <c r="QW3" s="349"/>
      <c r="QX3" s="349"/>
      <c r="QY3" s="349"/>
      <c r="QZ3" s="349"/>
      <c r="RA3" s="349"/>
      <c r="RB3" s="349"/>
      <c r="RC3" s="349"/>
      <c r="RD3" s="349"/>
      <c r="RE3" s="349"/>
      <c r="RF3" s="349"/>
      <c r="RG3" s="349"/>
      <c r="RH3" s="349"/>
      <c r="RI3" s="349"/>
      <c r="RJ3" s="349"/>
      <c r="RK3" s="349"/>
      <c r="RL3" s="349"/>
      <c r="RM3" s="349"/>
      <c r="RN3" s="349"/>
      <c r="RO3" s="349"/>
      <c r="RP3" s="349"/>
      <c r="RQ3" s="349"/>
      <c r="RR3" s="349"/>
      <c r="RS3" s="349"/>
      <c r="RT3" s="349"/>
      <c r="RU3" s="349"/>
      <c r="RV3" s="349"/>
      <c r="RW3" s="349"/>
      <c r="RX3" s="349"/>
      <c r="RY3" s="349"/>
      <c r="RZ3" s="349"/>
      <c r="SA3" s="349"/>
      <c r="SB3" s="349"/>
      <c r="SC3" s="349"/>
      <c r="SD3" s="349"/>
      <c r="SE3" s="349"/>
      <c r="SF3" s="349"/>
      <c r="SG3" s="349"/>
      <c r="SH3" s="349"/>
      <c r="SI3" s="349"/>
      <c r="SJ3" s="349"/>
      <c r="SK3" s="349"/>
      <c r="SL3" s="349"/>
      <c r="SM3" s="349"/>
      <c r="SN3" s="349"/>
      <c r="SO3" s="349"/>
      <c r="SP3" s="349"/>
      <c r="SQ3" s="349"/>
      <c r="SR3" s="349"/>
      <c r="SS3" s="349"/>
      <c r="ST3" s="349"/>
      <c r="SU3" s="349"/>
      <c r="SV3" s="349"/>
      <c r="SW3" s="349"/>
      <c r="SX3" s="349"/>
      <c r="SY3" s="349"/>
      <c r="SZ3" s="349"/>
      <c r="TA3" s="349"/>
      <c r="TB3" s="349"/>
      <c r="TC3" s="349"/>
      <c r="TD3" s="349"/>
      <c r="TE3" s="349"/>
      <c r="TF3" s="349"/>
      <c r="TG3" s="349"/>
      <c r="TH3" s="349"/>
      <c r="TI3" s="349"/>
      <c r="TJ3" s="349"/>
      <c r="TK3" s="349"/>
      <c r="TL3" s="349"/>
      <c r="TM3" s="349"/>
      <c r="TN3" s="349"/>
      <c r="TO3" s="349"/>
      <c r="TP3" s="349"/>
      <c r="TQ3" s="349"/>
      <c r="TR3" s="349"/>
      <c r="TS3" s="349"/>
      <c r="TT3" s="349"/>
      <c r="TU3" s="349"/>
      <c r="TV3" s="349"/>
      <c r="TW3" s="349"/>
      <c r="TX3" s="349"/>
      <c r="TY3" s="349"/>
      <c r="TZ3" s="349"/>
      <c r="UA3" s="349"/>
      <c r="UB3" s="349"/>
      <c r="UC3" s="349"/>
      <c r="UD3" s="349"/>
      <c r="UE3" s="349"/>
      <c r="UF3" s="349"/>
      <c r="UG3" s="349"/>
      <c r="UH3" s="349"/>
      <c r="UI3" s="349"/>
      <c r="UJ3" s="349"/>
      <c r="UK3" s="349"/>
      <c r="UL3" s="349"/>
      <c r="UM3" s="349"/>
      <c r="UN3" s="349"/>
      <c r="UO3" s="349"/>
      <c r="UP3" s="349"/>
      <c r="UQ3" s="349"/>
      <c r="UR3" s="349"/>
      <c r="US3" s="349"/>
      <c r="VA3" s="80"/>
      <c r="VB3" s="80"/>
      <c r="VC3" s="80"/>
      <c r="VD3" s="80"/>
      <c r="VE3" s="80"/>
      <c r="VF3" s="80"/>
      <c r="VG3" s="80"/>
      <c r="VH3" s="80"/>
      <c r="VI3" s="80"/>
      <c r="VJ3" s="80"/>
      <c r="VK3" s="80"/>
      <c r="VL3" s="80"/>
      <c r="VM3" s="80"/>
      <c r="VN3" s="80"/>
      <c r="VO3" s="80"/>
      <c r="VP3" s="80"/>
      <c r="VQ3" s="80"/>
      <c r="VR3" s="80"/>
      <c r="VS3" s="80"/>
      <c r="VT3" s="80"/>
      <c r="VU3" s="80"/>
      <c r="VV3" s="80"/>
    </row>
    <row r="4" spans="1:597" ht="16.5" customHeight="1" x14ac:dyDescent="0.3">
      <c r="B4" s="350" t="s">
        <v>97</v>
      </c>
      <c r="C4" s="350"/>
      <c r="D4" s="350"/>
      <c r="E4" s="350"/>
      <c r="F4" s="350"/>
      <c r="G4" s="350"/>
      <c r="H4" s="350"/>
      <c r="I4" s="350"/>
      <c r="J4" s="350"/>
      <c r="K4" s="350"/>
      <c r="L4" s="350"/>
      <c r="M4" s="350"/>
      <c r="N4" s="350"/>
      <c r="O4" s="350"/>
      <c r="P4" s="350"/>
      <c r="Q4" s="350"/>
      <c r="R4" s="350"/>
      <c r="S4" s="350"/>
      <c r="T4" s="350"/>
      <c r="U4" s="350"/>
      <c r="V4" s="350"/>
      <c r="W4" s="350"/>
      <c r="X4" s="350"/>
      <c r="Y4" s="350"/>
      <c r="Z4" s="350"/>
      <c r="AA4" s="350"/>
      <c r="AB4" s="350"/>
      <c r="AC4" s="350"/>
      <c r="AD4" s="350"/>
      <c r="AE4" s="350"/>
      <c r="AF4" s="350"/>
      <c r="AG4" s="350"/>
      <c r="AH4" s="350"/>
      <c r="AI4" s="350"/>
      <c r="AJ4" s="350"/>
      <c r="AK4" s="350"/>
      <c r="AL4" s="350"/>
      <c r="AM4" s="350"/>
      <c r="AN4" s="350"/>
      <c r="AO4" s="350"/>
      <c r="AP4" s="350"/>
      <c r="AQ4" s="350"/>
      <c r="AR4" s="350"/>
      <c r="AS4" s="350"/>
      <c r="AT4" s="350"/>
      <c r="AU4" s="350"/>
      <c r="AV4" s="350"/>
      <c r="AW4" s="350"/>
      <c r="AX4" s="350"/>
      <c r="AY4" s="350"/>
      <c r="AZ4" s="350"/>
      <c r="BA4" s="350"/>
      <c r="BB4" s="350"/>
      <c r="BC4" s="350"/>
      <c r="BD4" s="350"/>
      <c r="BE4" s="350"/>
      <c r="BF4" s="350"/>
      <c r="BG4" s="350"/>
      <c r="BH4" s="350"/>
      <c r="BI4" s="350"/>
      <c r="BJ4" s="350"/>
      <c r="BK4" s="350"/>
      <c r="BL4" s="350"/>
      <c r="BM4" s="350"/>
      <c r="BN4" s="350"/>
      <c r="BO4" s="350"/>
      <c r="BP4" s="350"/>
      <c r="BQ4" s="350"/>
      <c r="BR4" s="350"/>
      <c r="BS4" s="350"/>
      <c r="BT4" s="350"/>
      <c r="BU4" s="350"/>
      <c r="BV4" s="350"/>
      <c r="BW4" s="350"/>
      <c r="BX4" s="350"/>
      <c r="BY4" s="350"/>
      <c r="BZ4" s="350"/>
      <c r="CA4" s="350"/>
      <c r="CB4" s="350"/>
      <c r="CC4" s="350"/>
      <c r="CD4" s="350"/>
      <c r="CE4" s="350"/>
      <c r="CF4" s="350"/>
      <c r="CG4" s="350"/>
      <c r="CH4" s="350"/>
      <c r="CI4" s="350"/>
      <c r="CJ4" s="350"/>
      <c r="CK4" s="350"/>
      <c r="CL4" s="350"/>
      <c r="CM4" s="350"/>
      <c r="CN4" s="350"/>
      <c r="CO4" s="350"/>
      <c r="CP4" s="350"/>
      <c r="CQ4" s="350"/>
      <c r="CR4" s="350"/>
      <c r="CS4" s="350"/>
      <c r="CT4" s="350"/>
      <c r="CU4" s="350"/>
      <c r="CV4" s="350"/>
      <c r="CW4" s="350"/>
      <c r="CX4" s="350"/>
      <c r="CY4" s="350"/>
      <c r="CZ4" s="350"/>
      <c r="DA4" s="350"/>
      <c r="DB4" s="350"/>
      <c r="DC4" s="350"/>
      <c r="DD4" s="350"/>
      <c r="DE4" s="350"/>
      <c r="DF4" s="350"/>
      <c r="DG4" s="350"/>
      <c r="DH4" s="350"/>
      <c r="DI4" s="350"/>
      <c r="DJ4" s="350"/>
      <c r="DK4" s="350"/>
      <c r="DL4" s="350"/>
      <c r="DM4" s="350"/>
      <c r="DN4" s="350"/>
      <c r="DO4" s="350"/>
      <c r="DP4" s="350"/>
      <c r="DQ4" s="350"/>
      <c r="DR4" s="350"/>
      <c r="DS4" s="350"/>
      <c r="DT4" s="350"/>
      <c r="DU4" s="350"/>
      <c r="DV4" s="350"/>
      <c r="DW4" s="350"/>
      <c r="DX4" s="350"/>
      <c r="DY4" s="350"/>
      <c r="DZ4" s="350"/>
      <c r="EA4" s="350"/>
      <c r="EB4" s="350"/>
      <c r="EC4" s="350"/>
      <c r="ED4" s="350"/>
      <c r="EE4" s="350"/>
      <c r="EF4" s="350"/>
      <c r="EG4" s="350"/>
      <c r="EH4" s="350"/>
      <c r="EI4" s="350"/>
      <c r="EJ4" s="350"/>
      <c r="EK4" s="350"/>
      <c r="EL4" s="350"/>
      <c r="EM4" s="350"/>
      <c r="EN4" s="350"/>
      <c r="EO4" s="350"/>
      <c r="EP4" s="350"/>
      <c r="EQ4" s="350"/>
      <c r="ER4" s="350"/>
      <c r="ES4" s="350"/>
      <c r="ET4" s="350"/>
      <c r="EU4" s="350"/>
      <c r="EV4" s="350"/>
      <c r="EW4" s="350"/>
      <c r="EX4" s="350"/>
      <c r="EY4" s="350"/>
      <c r="EZ4" s="350"/>
      <c r="FA4" s="350"/>
      <c r="FB4" s="350"/>
      <c r="FC4" s="350"/>
      <c r="FD4" s="350"/>
      <c r="FE4" s="350"/>
      <c r="FF4" s="350"/>
      <c r="FG4" s="350"/>
      <c r="FH4" s="350"/>
      <c r="FI4" s="350"/>
      <c r="FJ4" s="350"/>
      <c r="FK4" s="350"/>
      <c r="FL4" s="350"/>
      <c r="FM4" s="350"/>
      <c r="FN4" s="350"/>
      <c r="FO4" s="350"/>
      <c r="FP4" s="350"/>
      <c r="FQ4" s="350"/>
      <c r="FR4" s="350"/>
      <c r="FS4" s="350"/>
      <c r="FT4" s="350"/>
      <c r="FU4" s="350"/>
      <c r="FV4" s="350"/>
      <c r="FW4" s="350"/>
      <c r="FX4" s="350"/>
      <c r="FY4" s="350"/>
      <c r="FZ4" s="350"/>
      <c r="GA4" s="350"/>
      <c r="GB4" s="350"/>
      <c r="GC4" s="350"/>
      <c r="GD4" s="350"/>
      <c r="GE4" s="350"/>
      <c r="GF4" s="350"/>
      <c r="GG4" s="350"/>
      <c r="GH4" s="350"/>
      <c r="GI4" s="350"/>
      <c r="GJ4" s="350"/>
      <c r="GK4" s="350"/>
      <c r="GL4" s="350"/>
      <c r="GM4" s="350"/>
      <c r="GN4" s="350"/>
      <c r="GO4" s="350"/>
      <c r="GP4" s="350"/>
      <c r="GQ4" s="350"/>
      <c r="GR4" s="350"/>
      <c r="GS4" s="350"/>
      <c r="GT4" s="350"/>
      <c r="GU4" s="350"/>
      <c r="GV4" s="350"/>
      <c r="GW4" s="350"/>
      <c r="GX4" s="350"/>
      <c r="GY4" s="350"/>
      <c r="GZ4" s="350"/>
      <c r="HA4" s="350"/>
      <c r="HB4" s="350"/>
      <c r="HC4" s="350"/>
      <c r="HD4" s="350"/>
      <c r="HE4" s="350"/>
      <c r="HF4" s="350"/>
      <c r="HG4" s="350"/>
      <c r="HH4" s="350"/>
      <c r="HI4" s="350"/>
      <c r="HJ4" s="350"/>
      <c r="HK4" s="350"/>
      <c r="HL4" s="350"/>
      <c r="HM4" s="350"/>
      <c r="HN4" s="350"/>
      <c r="HO4" s="350"/>
      <c r="HP4" s="350"/>
      <c r="HQ4" s="350"/>
      <c r="HR4" s="350"/>
      <c r="HS4" s="350"/>
      <c r="HT4" s="350"/>
      <c r="HU4" s="350"/>
      <c r="HV4" s="350"/>
      <c r="HW4" s="350"/>
      <c r="HX4" s="350"/>
      <c r="HY4" s="350"/>
      <c r="HZ4" s="350"/>
      <c r="IA4" s="350"/>
      <c r="IB4" s="350"/>
      <c r="IC4" s="350"/>
      <c r="ID4" s="350"/>
      <c r="IE4" s="350"/>
      <c r="IF4" s="350"/>
      <c r="IG4" s="350"/>
      <c r="IH4" s="350"/>
      <c r="II4" s="350"/>
      <c r="IJ4" s="350"/>
      <c r="IK4" s="350"/>
      <c r="IL4" s="350"/>
      <c r="IM4" s="350"/>
      <c r="IN4" s="350"/>
      <c r="IO4" s="350"/>
      <c r="IP4" s="350"/>
      <c r="IQ4" s="350"/>
      <c r="IR4" s="350"/>
      <c r="IS4" s="350"/>
      <c r="IT4" s="350"/>
      <c r="IU4" s="350"/>
      <c r="IV4" s="350"/>
      <c r="IW4" s="350"/>
      <c r="IX4" s="350"/>
      <c r="IY4" s="350"/>
      <c r="IZ4" s="350"/>
      <c r="JA4" s="350"/>
      <c r="JB4" s="350"/>
      <c r="JC4" s="350"/>
      <c r="JD4" s="350"/>
      <c r="JE4" s="350"/>
      <c r="JF4" s="350"/>
      <c r="JG4" s="350"/>
      <c r="JH4" s="350"/>
      <c r="JI4" s="350"/>
      <c r="JJ4" s="350"/>
      <c r="JK4" s="350"/>
      <c r="JL4" s="350"/>
      <c r="JM4" s="350"/>
      <c r="JN4" s="350"/>
      <c r="JO4" s="350"/>
      <c r="JP4" s="350"/>
      <c r="JQ4" s="350"/>
      <c r="JR4" s="350"/>
      <c r="JS4" s="350"/>
      <c r="JT4" s="350"/>
      <c r="JU4" s="350"/>
      <c r="JV4" s="350"/>
      <c r="JW4" s="350"/>
      <c r="JX4" s="350"/>
      <c r="JY4" s="350"/>
      <c r="JZ4" s="350"/>
      <c r="KA4" s="350"/>
      <c r="KB4" s="350"/>
      <c r="KC4" s="350"/>
      <c r="KD4" s="350"/>
      <c r="KE4" s="350"/>
      <c r="KF4" s="350"/>
      <c r="KG4" s="350"/>
      <c r="KH4" s="350"/>
      <c r="KI4" s="350"/>
      <c r="KJ4" s="350"/>
      <c r="KK4" s="350"/>
      <c r="KL4" s="350"/>
      <c r="KM4" s="350"/>
      <c r="KN4" s="350"/>
      <c r="KO4" s="350"/>
      <c r="KP4" s="350"/>
      <c r="KQ4" s="350"/>
      <c r="KR4" s="350"/>
      <c r="KS4" s="350"/>
      <c r="KT4" s="350"/>
      <c r="KU4" s="350"/>
      <c r="KV4" s="350"/>
      <c r="KW4" s="350"/>
      <c r="KX4" s="350"/>
      <c r="KY4" s="350"/>
      <c r="KZ4" s="350"/>
      <c r="LA4" s="350"/>
      <c r="LB4" s="350"/>
      <c r="LC4" s="350"/>
      <c r="LD4" s="350"/>
      <c r="LE4" s="350"/>
      <c r="LF4" s="350"/>
      <c r="LG4" s="350"/>
      <c r="LH4" s="350"/>
      <c r="LI4" s="350"/>
      <c r="LJ4" s="350"/>
      <c r="LK4" s="350"/>
      <c r="LL4" s="350"/>
      <c r="LM4" s="350"/>
      <c r="LN4" s="350"/>
      <c r="LO4" s="350"/>
      <c r="LP4" s="350"/>
      <c r="LQ4" s="350"/>
      <c r="LR4" s="350"/>
      <c r="LS4" s="350"/>
      <c r="LT4" s="350"/>
      <c r="LU4" s="350"/>
      <c r="LV4" s="350"/>
      <c r="LW4" s="350"/>
      <c r="LX4" s="350"/>
      <c r="LY4" s="350"/>
      <c r="LZ4" s="350"/>
      <c r="MA4" s="350"/>
      <c r="MB4" s="350"/>
      <c r="MC4" s="350"/>
      <c r="MD4" s="350"/>
      <c r="ME4" s="350"/>
      <c r="MF4" s="350"/>
      <c r="MG4" s="350"/>
      <c r="MH4" s="350"/>
      <c r="MI4" s="350"/>
      <c r="MJ4" s="350"/>
      <c r="MK4" s="350"/>
      <c r="ML4" s="350"/>
      <c r="MM4" s="350"/>
      <c r="MN4" s="350"/>
      <c r="MO4" s="350"/>
      <c r="MP4" s="350"/>
      <c r="MQ4" s="350"/>
      <c r="MR4" s="350"/>
      <c r="MS4" s="350"/>
      <c r="MT4" s="350"/>
      <c r="MU4" s="350"/>
      <c r="MV4" s="350"/>
      <c r="MW4" s="350"/>
      <c r="MX4" s="350"/>
      <c r="MY4" s="350"/>
      <c r="MZ4" s="350"/>
      <c r="NA4" s="350"/>
      <c r="NB4" s="350"/>
      <c r="NC4" s="350"/>
      <c r="ND4" s="350"/>
      <c r="NE4" s="350"/>
      <c r="NF4" s="350"/>
      <c r="NG4" s="350"/>
      <c r="NH4" s="350"/>
      <c r="NI4" s="350"/>
      <c r="NJ4" s="350"/>
      <c r="NK4" s="350"/>
      <c r="NL4" s="350"/>
      <c r="NM4" s="350"/>
      <c r="NN4" s="350"/>
      <c r="NO4" s="350"/>
      <c r="NP4" s="350"/>
      <c r="NQ4" s="350"/>
      <c r="NR4" s="350"/>
      <c r="NS4" s="350"/>
      <c r="NT4" s="350"/>
      <c r="NU4" s="350"/>
      <c r="NV4" s="350"/>
      <c r="NW4" s="350"/>
      <c r="NX4" s="350"/>
      <c r="NY4" s="350"/>
      <c r="NZ4" s="350"/>
      <c r="OA4" s="350"/>
      <c r="OB4" s="350"/>
      <c r="OC4" s="350"/>
      <c r="OD4" s="350"/>
      <c r="OE4" s="350"/>
      <c r="OF4" s="350"/>
      <c r="OG4" s="350"/>
      <c r="OH4" s="350"/>
      <c r="OI4" s="350"/>
      <c r="OJ4" s="350"/>
      <c r="OK4" s="350"/>
      <c r="OL4" s="350"/>
      <c r="OM4" s="350"/>
      <c r="ON4" s="350"/>
      <c r="OO4" s="350"/>
      <c r="OP4" s="350"/>
      <c r="OQ4" s="350"/>
      <c r="OR4" s="350"/>
      <c r="OS4" s="350"/>
      <c r="OT4" s="350"/>
      <c r="OU4" s="350"/>
      <c r="OV4" s="350"/>
      <c r="OW4" s="350"/>
      <c r="OX4" s="350"/>
      <c r="OY4" s="350"/>
      <c r="OZ4" s="350"/>
      <c r="PA4" s="350"/>
      <c r="PB4" s="350"/>
      <c r="PC4" s="350"/>
      <c r="PD4" s="350"/>
      <c r="PE4" s="350"/>
      <c r="PF4" s="350"/>
      <c r="PG4" s="350"/>
      <c r="PH4" s="350"/>
      <c r="PI4" s="350"/>
      <c r="PJ4" s="350"/>
      <c r="PK4" s="350"/>
      <c r="PL4" s="350"/>
      <c r="PM4" s="350"/>
      <c r="PN4" s="350"/>
      <c r="PO4" s="350"/>
      <c r="PP4" s="350"/>
      <c r="PQ4" s="350"/>
      <c r="PR4" s="350"/>
      <c r="PS4" s="350"/>
      <c r="PT4" s="350"/>
      <c r="PU4" s="350"/>
      <c r="PV4" s="350"/>
      <c r="PW4" s="350"/>
      <c r="PX4" s="350"/>
      <c r="PY4" s="350"/>
      <c r="PZ4" s="350"/>
      <c r="QA4" s="350"/>
      <c r="QB4" s="350"/>
      <c r="QC4" s="350"/>
      <c r="QD4" s="350"/>
      <c r="QE4" s="350"/>
      <c r="QF4" s="350"/>
      <c r="QG4" s="350"/>
      <c r="QH4" s="350"/>
      <c r="QI4" s="350"/>
      <c r="QJ4" s="350"/>
      <c r="QK4" s="350"/>
      <c r="QL4" s="350"/>
      <c r="QM4" s="350"/>
      <c r="QN4" s="350"/>
      <c r="QO4" s="350"/>
      <c r="QP4" s="350"/>
      <c r="QQ4" s="350"/>
      <c r="QR4" s="350"/>
      <c r="QS4" s="350"/>
      <c r="QT4" s="350"/>
      <c r="QU4" s="350"/>
      <c r="QV4" s="350"/>
      <c r="QW4" s="350"/>
      <c r="QX4" s="350"/>
      <c r="QY4" s="350"/>
      <c r="QZ4" s="350"/>
      <c r="RA4" s="350"/>
      <c r="RB4" s="350"/>
      <c r="RC4" s="350"/>
      <c r="RD4" s="350"/>
      <c r="RE4" s="350"/>
      <c r="RF4" s="350"/>
      <c r="RG4" s="350"/>
      <c r="RH4" s="350"/>
      <c r="RI4" s="350"/>
      <c r="RJ4" s="350"/>
      <c r="RK4" s="350"/>
      <c r="RL4" s="350"/>
      <c r="RM4" s="350"/>
      <c r="RN4" s="350"/>
      <c r="RO4" s="350"/>
      <c r="RP4" s="350"/>
      <c r="RQ4" s="350"/>
      <c r="RR4" s="350"/>
      <c r="RS4" s="350"/>
      <c r="RT4" s="350"/>
      <c r="RU4" s="350"/>
      <c r="RV4" s="350"/>
      <c r="RW4" s="350"/>
      <c r="RX4" s="350"/>
      <c r="RY4" s="350"/>
      <c r="RZ4" s="350"/>
      <c r="SA4" s="350"/>
      <c r="SB4" s="350"/>
      <c r="SC4" s="350"/>
      <c r="SD4" s="350"/>
      <c r="SE4" s="350"/>
      <c r="SF4" s="350"/>
      <c r="SG4" s="350"/>
      <c r="SH4" s="350"/>
      <c r="SI4" s="350"/>
      <c r="SJ4" s="350"/>
      <c r="SK4" s="350"/>
      <c r="SL4" s="350"/>
      <c r="SM4" s="350"/>
      <c r="SN4" s="350"/>
      <c r="SO4" s="350"/>
      <c r="SP4" s="350"/>
      <c r="SQ4" s="350"/>
      <c r="SR4" s="350"/>
      <c r="SS4" s="350"/>
      <c r="ST4" s="350"/>
      <c r="SU4" s="350"/>
      <c r="SV4" s="350"/>
      <c r="SW4" s="350"/>
      <c r="SX4" s="350"/>
      <c r="SY4" s="350"/>
      <c r="SZ4" s="350"/>
      <c r="TA4" s="350"/>
      <c r="TB4" s="350"/>
      <c r="TC4" s="350"/>
      <c r="TD4" s="350"/>
      <c r="TE4" s="350"/>
      <c r="TF4" s="350"/>
      <c r="TG4" s="350"/>
      <c r="TH4" s="350"/>
      <c r="TI4" s="350"/>
      <c r="TJ4" s="350"/>
      <c r="TK4" s="350"/>
      <c r="TL4" s="350"/>
      <c r="TM4" s="350"/>
      <c r="TN4" s="350"/>
      <c r="TO4" s="350"/>
      <c r="TP4" s="350"/>
      <c r="TQ4" s="350"/>
      <c r="TR4" s="350"/>
      <c r="TS4" s="350"/>
      <c r="TT4" s="350"/>
      <c r="TU4" s="350"/>
      <c r="TV4" s="350"/>
      <c r="TW4" s="350"/>
      <c r="TX4" s="350"/>
      <c r="TY4" s="350"/>
      <c r="TZ4" s="350"/>
      <c r="UA4" s="350"/>
      <c r="UB4" s="350"/>
      <c r="UC4" s="350"/>
      <c r="UD4" s="350"/>
      <c r="UE4" s="350"/>
      <c r="UF4" s="350"/>
      <c r="UG4" s="350"/>
      <c r="UH4" s="350"/>
      <c r="UI4" s="350"/>
      <c r="UJ4" s="350"/>
      <c r="UK4" s="350"/>
      <c r="UL4" s="350"/>
      <c r="UM4" s="350"/>
      <c r="UN4" s="350"/>
      <c r="UO4" s="350"/>
      <c r="UP4" s="350"/>
      <c r="UQ4" s="350"/>
      <c r="UR4" s="350"/>
      <c r="US4" s="350"/>
      <c r="VA4" s="81"/>
      <c r="VB4" s="81"/>
      <c r="VC4" s="81"/>
      <c r="VD4" s="81"/>
      <c r="VE4" s="81"/>
      <c r="VF4" s="81"/>
      <c r="VG4" s="81"/>
      <c r="VH4" s="81"/>
      <c r="VI4" s="81"/>
      <c r="VJ4" s="81"/>
      <c r="VK4" s="81"/>
      <c r="VL4" s="81"/>
      <c r="VM4" s="81"/>
      <c r="VN4" s="81"/>
      <c r="VO4" s="81"/>
      <c r="VP4" s="81"/>
      <c r="VQ4" s="81"/>
      <c r="VR4" s="81"/>
      <c r="VS4" s="81"/>
      <c r="VT4" s="81"/>
      <c r="VU4" s="81"/>
      <c r="VV4" s="81"/>
    </row>
    <row r="5" spans="1:597" ht="15.75" customHeight="1" x14ac:dyDescent="0.3">
      <c r="C5" s="83" t="s">
        <v>2</v>
      </c>
      <c r="D5" s="83"/>
      <c r="E5" s="83"/>
      <c r="G5" s="84"/>
      <c r="H5" s="84"/>
      <c r="I5" s="84"/>
      <c r="J5" s="84"/>
      <c r="K5" s="85"/>
      <c r="N5" s="84"/>
      <c r="O5" s="85"/>
      <c r="R5" s="84"/>
      <c r="S5" s="85"/>
      <c r="V5" s="84"/>
      <c r="W5" s="85"/>
      <c r="Z5" s="84"/>
      <c r="AA5" s="85"/>
      <c r="AD5" s="84"/>
      <c r="AE5" s="85"/>
      <c r="AH5" s="84"/>
      <c r="AI5" s="85"/>
      <c r="AL5" s="84"/>
      <c r="AM5" s="85"/>
      <c r="AP5" s="84"/>
      <c r="AQ5" s="85"/>
      <c r="AT5" s="84"/>
      <c r="AU5" s="85"/>
      <c r="AW5" s="20"/>
      <c r="BB5" s="84"/>
      <c r="BC5" s="85"/>
      <c r="BF5" s="84"/>
      <c r="BG5" s="85"/>
      <c r="BJ5" s="84"/>
      <c r="BK5" s="85"/>
      <c r="BM5" s="20"/>
      <c r="BR5" s="84"/>
      <c r="BS5" s="85"/>
      <c r="BV5" s="84"/>
      <c r="BW5" s="85"/>
      <c r="BZ5" s="84"/>
      <c r="CA5" s="85"/>
      <c r="CD5" s="84"/>
      <c r="CG5" s="84"/>
      <c r="CH5" s="85"/>
      <c r="CK5" s="84"/>
      <c r="CN5" s="84"/>
      <c r="CO5" s="85"/>
      <c r="CR5" s="84"/>
      <c r="CU5" s="84"/>
      <c r="CV5" s="85"/>
      <c r="CY5" s="84"/>
      <c r="DB5" s="84"/>
      <c r="DC5" s="85"/>
      <c r="DF5" s="84"/>
      <c r="DI5" s="84"/>
      <c r="DJ5" s="85"/>
      <c r="DM5" s="84"/>
      <c r="DP5" s="84"/>
      <c r="DQ5" s="85"/>
      <c r="DT5" s="84"/>
      <c r="DW5" s="84"/>
      <c r="DX5" s="85"/>
      <c r="EA5" s="84"/>
      <c r="ED5" s="84"/>
      <c r="EE5" s="85"/>
      <c r="EH5" s="84"/>
      <c r="EK5" s="84"/>
      <c r="EL5" s="85"/>
      <c r="EO5" s="84"/>
      <c r="ER5" s="84"/>
      <c r="ES5" s="85"/>
      <c r="EV5" s="84"/>
      <c r="EY5" s="84"/>
      <c r="EZ5" s="85"/>
      <c r="FC5" s="84"/>
      <c r="FF5" s="84"/>
      <c r="FG5" s="85"/>
      <c r="FJ5" s="84"/>
      <c r="FM5" s="84"/>
      <c r="FN5" s="85"/>
      <c r="FQ5" s="84"/>
      <c r="FT5" s="84"/>
      <c r="FU5" s="85"/>
      <c r="FX5" s="84"/>
      <c r="GA5" s="84"/>
      <c r="GB5" s="85"/>
      <c r="GE5" s="84"/>
      <c r="GH5" s="84"/>
      <c r="GI5" s="85"/>
      <c r="GL5" s="84"/>
      <c r="GO5" s="84"/>
      <c r="GP5" s="85"/>
      <c r="GS5" s="84"/>
      <c r="GV5" s="84"/>
      <c r="GW5" s="85"/>
      <c r="GZ5" s="84"/>
      <c r="HC5" s="84"/>
      <c r="HD5" s="85"/>
      <c r="HG5" s="84"/>
      <c r="HI5" s="84"/>
      <c r="HJ5" s="85"/>
      <c r="HM5" s="84"/>
      <c r="HN5" s="85"/>
      <c r="HQ5" s="84"/>
      <c r="HR5" s="85"/>
      <c r="HU5" s="84"/>
      <c r="HV5" s="85"/>
      <c r="HY5" s="84"/>
      <c r="HZ5" s="85"/>
      <c r="IC5" s="84"/>
      <c r="ID5" s="85"/>
      <c r="IG5" s="84"/>
      <c r="IH5" s="85"/>
      <c r="IK5" s="84"/>
      <c r="IL5" s="85"/>
      <c r="IO5" s="84"/>
      <c r="IP5" s="85"/>
      <c r="IR5" s="20"/>
      <c r="IW5" s="84"/>
      <c r="IX5" s="85"/>
      <c r="JA5" s="84"/>
      <c r="JB5" s="85"/>
      <c r="JE5" s="84"/>
      <c r="JF5" s="85"/>
      <c r="JH5" s="20"/>
      <c r="JM5" s="84"/>
      <c r="JN5" s="85"/>
      <c r="JQ5" s="84"/>
      <c r="JR5" s="85"/>
      <c r="JU5" s="84"/>
      <c r="JV5" s="85"/>
      <c r="JY5" s="84"/>
      <c r="KB5" s="84"/>
      <c r="KC5" s="85"/>
      <c r="KF5" s="84"/>
      <c r="KI5" s="84"/>
      <c r="KJ5" s="85"/>
      <c r="KM5" s="84"/>
      <c r="KP5" s="84"/>
      <c r="KQ5" s="85"/>
      <c r="KT5" s="84"/>
      <c r="KW5" s="84"/>
      <c r="KX5" s="85"/>
      <c r="LA5" s="84"/>
      <c r="LD5" s="84"/>
      <c r="LE5" s="85"/>
      <c r="LH5" s="84"/>
      <c r="LK5" s="84"/>
      <c r="LL5" s="85"/>
      <c r="LO5" s="84"/>
      <c r="LR5" s="84"/>
      <c r="LS5" s="85"/>
      <c r="LV5" s="84"/>
      <c r="LY5" s="84"/>
      <c r="LZ5" s="85"/>
      <c r="MC5" s="84"/>
      <c r="MF5" s="84"/>
      <c r="MG5" s="85"/>
      <c r="MJ5" s="84"/>
      <c r="MM5" s="84"/>
      <c r="MN5" s="85"/>
      <c r="MQ5" s="84"/>
      <c r="MT5" s="84"/>
      <c r="MU5" s="85"/>
      <c r="MX5" s="84"/>
      <c r="NA5" s="84"/>
      <c r="NB5" s="85"/>
      <c r="NE5" s="84"/>
      <c r="NH5" s="84"/>
      <c r="NI5" s="85"/>
      <c r="NL5" s="84"/>
      <c r="NO5" s="84"/>
      <c r="NP5" s="85"/>
      <c r="NS5" s="84"/>
      <c r="NV5" s="84"/>
      <c r="NW5" s="85"/>
      <c r="NZ5" s="84"/>
      <c r="OC5" s="84"/>
      <c r="OD5" s="85"/>
      <c r="OG5" s="84"/>
      <c r="OJ5" s="84"/>
      <c r="OK5" s="85"/>
      <c r="ON5" s="84"/>
      <c r="OQ5" s="84"/>
      <c r="OR5" s="85"/>
      <c r="OU5" s="84"/>
      <c r="OX5" s="84"/>
      <c r="OY5" s="85"/>
      <c r="PB5" s="84"/>
      <c r="PD5" s="84"/>
      <c r="PE5" s="85"/>
      <c r="PH5" s="84"/>
      <c r="PI5" s="85"/>
      <c r="PL5" s="84"/>
      <c r="PM5" s="85"/>
      <c r="PP5" s="84"/>
      <c r="PQ5" s="85"/>
      <c r="PT5" s="84"/>
      <c r="PU5" s="85"/>
      <c r="PX5" s="84"/>
      <c r="PY5" s="85"/>
      <c r="QB5" s="84"/>
      <c r="QC5" s="85"/>
      <c r="QF5" s="84"/>
      <c r="QG5" s="85"/>
      <c r="QJ5" s="84"/>
      <c r="QK5" s="85"/>
      <c r="QM5" s="20"/>
      <c r="QR5" s="84"/>
      <c r="QS5" s="85"/>
      <c r="QV5" s="84"/>
      <c r="QW5" s="85"/>
      <c r="QZ5" s="84"/>
      <c r="RA5" s="85"/>
      <c r="RC5" s="20"/>
      <c r="RH5" s="84"/>
      <c r="RI5" s="85"/>
      <c r="RL5" s="84"/>
      <c r="RM5" s="85"/>
      <c r="RP5" s="84"/>
      <c r="RQ5" s="85"/>
      <c r="RT5" s="84"/>
      <c r="RW5" s="84"/>
      <c r="RX5" s="85"/>
      <c r="SA5" s="84"/>
      <c r="SD5" s="84"/>
      <c r="SE5" s="85"/>
      <c r="SH5" s="84"/>
      <c r="SK5" s="84"/>
      <c r="SL5" s="85"/>
      <c r="SO5" s="84"/>
      <c r="SR5" s="84"/>
      <c r="SS5" s="85"/>
      <c r="SV5" s="84"/>
      <c r="SY5" s="84"/>
      <c r="SZ5" s="85"/>
      <c r="TC5" s="84"/>
      <c r="TF5" s="84"/>
      <c r="TG5" s="85"/>
      <c r="TJ5" s="84"/>
      <c r="TM5" s="84"/>
      <c r="TN5" s="85"/>
      <c r="TQ5" s="84"/>
      <c r="TT5" s="84"/>
      <c r="TU5" s="85"/>
      <c r="TX5" s="84"/>
      <c r="UA5" s="84"/>
      <c r="UB5" s="85"/>
      <c r="UE5" s="84"/>
      <c r="UH5" s="84"/>
      <c r="UI5" s="85"/>
      <c r="UL5" s="84"/>
      <c r="UO5" s="84"/>
      <c r="UP5" s="85"/>
      <c r="US5" s="84"/>
      <c r="VB5" s="20"/>
      <c r="VH5" s="20"/>
      <c r="VI5" s="86"/>
      <c r="VK5" s="20"/>
      <c r="VU5" s="20"/>
    </row>
    <row r="6" spans="1:597" ht="15.75" customHeight="1" x14ac:dyDescent="0.3">
      <c r="C6" s="83" t="s">
        <v>96</v>
      </c>
      <c r="D6" s="83"/>
      <c r="E6" s="83"/>
      <c r="G6" s="87"/>
      <c r="H6" s="87"/>
      <c r="I6" s="87"/>
      <c r="J6" s="87"/>
      <c r="K6" s="87"/>
      <c r="N6" s="87"/>
      <c r="O6" s="87"/>
      <c r="R6" s="87"/>
      <c r="S6" s="87"/>
      <c r="V6" s="87"/>
      <c r="W6" s="87"/>
      <c r="Z6" s="87"/>
      <c r="AA6" s="87"/>
      <c r="AD6" s="87"/>
      <c r="AE6" s="87"/>
      <c r="AH6" s="87"/>
      <c r="AI6" s="87"/>
      <c r="AL6" s="87"/>
      <c r="AM6" s="87"/>
      <c r="AP6" s="87"/>
      <c r="AQ6" s="87"/>
      <c r="AT6" s="87"/>
      <c r="AU6" s="87"/>
      <c r="BB6" s="87"/>
      <c r="BC6" s="87"/>
      <c r="BF6" s="87"/>
      <c r="BG6" s="87"/>
      <c r="BJ6" s="87"/>
      <c r="BK6" s="87"/>
      <c r="BR6" s="87"/>
      <c r="BS6" s="87"/>
      <c r="BV6" s="87"/>
      <c r="BW6" s="87"/>
      <c r="BZ6" s="87"/>
      <c r="CA6" s="87"/>
      <c r="CD6" s="87"/>
      <c r="CG6" s="87"/>
      <c r="CH6" s="87"/>
      <c r="CK6" s="87"/>
      <c r="CN6" s="87"/>
      <c r="CO6" s="87"/>
      <c r="CR6" s="87"/>
      <c r="CU6" s="87"/>
      <c r="CV6" s="87"/>
      <c r="CY6" s="87"/>
      <c r="DB6" s="87"/>
      <c r="DC6" s="87"/>
      <c r="DF6" s="87"/>
      <c r="DI6" s="87"/>
      <c r="DJ6" s="87"/>
      <c r="DM6" s="87"/>
      <c r="DP6" s="87"/>
      <c r="DQ6" s="87"/>
      <c r="DT6" s="87"/>
      <c r="DW6" s="87"/>
      <c r="DX6" s="87"/>
      <c r="EA6" s="87"/>
      <c r="ED6" s="87"/>
      <c r="EE6" s="87"/>
      <c r="EH6" s="87"/>
      <c r="EK6" s="87"/>
      <c r="EL6" s="87"/>
      <c r="EO6" s="87"/>
      <c r="ER6" s="87"/>
      <c r="ES6" s="87"/>
      <c r="EV6" s="87"/>
      <c r="EY6" s="87"/>
      <c r="EZ6" s="87"/>
      <c r="FC6" s="87"/>
      <c r="FF6" s="87"/>
      <c r="FG6" s="87"/>
      <c r="FJ6" s="87"/>
      <c r="FM6" s="87"/>
      <c r="FN6" s="87"/>
      <c r="FQ6" s="87"/>
      <c r="FT6" s="87"/>
      <c r="FU6" s="87"/>
      <c r="FX6" s="87"/>
      <c r="GA6" s="87"/>
      <c r="GB6" s="87"/>
      <c r="GE6" s="87"/>
      <c r="GH6" s="87"/>
      <c r="GI6" s="87"/>
      <c r="GL6" s="87"/>
      <c r="GO6" s="87"/>
      <c r="GP6" s="87"/>
      <c r="GS6" s="87"/>
      <c r="GV6" s="87"/>
      <c r="GW6" s="87"/>
      <c r="GZ6" s="87"/>
      <c r="HC6" s="87"/>
      <c r="HD6" s="87"/>
      <c r="HG6" s="87"/>
      <c r="HI6" s="87"/>
      <c r="HJ6" s="87"/>
      <c r="HM6" s="87"/>
      <c r="HN6" s="87"/>
      <c r="HQ6" s="87"/>
      <c r="HR6" s="87"/>
      <c r="HU6" s="87"/>
      <c r="HV6" s="87"/>
      <c r="HY6" s="87"/>
      <c r="HZ6" s="87"/>
      <c r="IC6" s="87"/>
      <c r="ID6" s="87"/>
      <c r="IG6" s="87"/>
      <c r="IH6" s="87"/>
      <c r="IK6" s="87"/>
      <c r="IL6" s="87"/>
      <c r="IO6" s="87"/>
      <c r="IP6" s="87"/>
      <c r="IW6" s="87"/>
      <c r="IX6" s="87"/>
      <c r="JA6" s="87"/>
      <c r="JB6" s="87"/>
      <c r="JE6" s="87"/>
      <c r="JF6" s="87"/>
      <c r="JM6" s="87"/>
      <c r="JN6" s="87"/>
      <c r="JQ6" s="87"/>
      <c r="JR6" s="87"/>
      <c r="JU6" s="87"/>
      <c r="JV6" s="87"/>
      <c r="JY6" s="87"/>
      <c r="KB6" s="87"/>
      <c r="KC6" s="87"/>
      <c r="KF6" s="87"/>
      <c r="KI6" s="87"/>
      <c r="KJ6" s="87"/>
      <c r="KM6" s="87"/>
      <c r="KP6" s="87"/>
      <c r="KQ6" s="87"/>
      <c r="KT6" s="87"/>
      <c r="KW6" s="87"/>
      <c r="KX6" s="87"/>
      <c r="LA6" s="87"/>
      <c r="LD6" s="87"/>
      <c r="LE6" s="87"/>
      <c r="LH6" s="87"/>
      <c r="LK6" s="87"/>
      <c r="LL6" s="87"/>
      <c r="LO6" s="87"/>
      <c r="LR6" s="87"/>
      <c r="LS6" s="87"/>
      <c r="LV6" s="87"/>
      <c r="LY6" s="87"/>
      <c r="LZ6" s="87"/>
      <c r="MC6" s="87"/>
      <c r="MF6" s="87"/>
      <c r="MG6" s="87"/>
      <c r="MJ6" s="87"/>
      <c r="MM6" s="87"/>
      <c r="MN6" s="87"/>
      <c r="MQ6" s="87"/>
      <c r="MT6" s="87"/>
      <c r="MU6" s="87"/>
      <c r="MX6" s="87"/>
      <c r="NA6" s="87"/>
      <c r="NB6" s="87"/>
      <c r="NE6" s="87"/>
      <c r="NH6" s="87"/>
      <c r="NI6" s="87"/>
      <c r="NL6" s="87"/>
      <c r="NO6" s="87"/>
      <c r="NP6" s="87"/>
      <c r="NS6" s="87"/>
      <c r="NV6" s="87"/>
      <c r="NW6" s="87"/>
      <c r="NZ6" s="87"/>
      <c r="OC6" s="87"/>
      <c r="OD6" s="87"/>
      <c r="OG6" s="87"/>
      <c r="OJ6" s="87"/>
      <c r="OK6" s="87"/>
      <c r="ON6" s="87"/>
      <c r="OQ6" s="87"/>
      <c r="OR6" s="87"/>
      <c r="OU6" s="87"/>
      <c r="OX6" s="87"/>
      <c r="OY6" s="87"/>
      <c r="PB6" s="87"/>
      <c r="PD6" s="87"/>
      <c r="PE6" s="87"/>
      <c r="PH6" s="87"/>
      <c r="PI6" s="87"/>
      <c r="PL6" s="87"/>
      <c r="PM6" s="87"/>
      <c r="PP6" s="87"/>
      <c r="PQ6" s="87"/>
      <c r="PT6" s="87"/>
      <c r="PU6" s="87"/>
      <c r="PX6" s="87"/>
      <c r="PY6" s="87"/>
      <c r="QB6" s="87"/>
      <c r="QC6" s="87"/>
      <c r="QF6" s="87"/>
      <c r="QG6" s="87"/>
      <c r="QJ6" s="87"/>
      <c r="QK6" s="87"/>
      <c r="QR6" s="87"/>
      <c r="QS6" s="87"/>
      <c r="QV6" s="87"/>
      <c r="QW6" s="87"/>
      <c r="QZ6" s="87"/>
      <c r="RA6" s="87"/>
      <c r="RH6" s="87"/>
      <c r="RI6" s="87"/>
      <c r="RL6" s="87"/>
      <c r="RM6" s="87"/>
      <c r="RP6" s="87"/>
      <c r="RQ6" s="87"/>
      <c r="RT6" s="87"/>
      <c r="RW6" s="87"/>
      <c r="RX6" s="87"/>
      <c r="SA6" s="87"/>
      <c r="SD6" s="87"/>
      <c r="SE6" s="87"/>
      <c r="SH6" s="87"/>
      <c r="SK6" s="87"/>
      <c r="SL6" s="87"/>
      <c r="SO6" s="87"/>
      <c r="SR6" s="87"/>
      <c r="SS6" s="87"/>
      <c r="SV6" s="87"/>
      <c r="SY6" s="87"/>
      <c r="SZ6" s="87"/>
      <c r="TC6" s="87"/>
      <c r="TF6" s="87"/>
      <c r="TG6" s="87"/>
      <c r="TJ6" s="87"/>
      <c r="TM6" s="87"/>
      <c r="TN6" s="87"/>
      <c r="TQ6" s="87"/>
      <c r="TT6" s="87"/>
      <c r="TU6" s="87"/>
      <c r="TX6" s="87"/>
      <c r="UA6" s="87"/>
      <c r="UB6" s="87"/>
      <c r="UE6" s="87"/>
      <c r="UH6" s="87"/>
      <c r="UI6" s="87"/>
      <c r="UL6" s="87"/>
      <c r="UO6" s="87"/>
      <c r="UP6" s="87"/>
      <c r="US6" s="87"/>
      <c r="VH6" s="20"/>
      <c r="VI6" s="20"/>
      <c r="VU6" s="20"/>
    </row>
    <row r="7" spans="1:597" ht="15.75" customHeight="1" x14ac:dyDescent="0.3">
      <c r="B7" s="88"/>
      <c r="C7" s="89" t="s">
        <v>3</v>
      </c>
      <c r="D7" s="89"/>
      <c r="E7" s="89"/>
      <c r="VA7" s="1"/>
      <c r="VB7" s="1"/>
      <c r="VC7" s="1"/>
      <c r="VD7" s="1"/>
      <c r="VE7" s="1"/>
      <c r="VF7" s="1"/>
      <c r="VG7" s="1"/>
      <c r="VH7" s="1"/>
      <c r="VI7" s="1"/>
      <c r="VJ7" s="1"/>
      <c r="VK7" s="1"/>
      <c r="VL7" s="1"/>
      <c r="VM7" s="1"/>
      <c r="VN7" s="1"/>
      <c r="VO7" s="1"/>
      <c r="VP7" s="1"/>
      <c r="VQ7" s="1"/>
      <c r="VR7" s="1"/>
      <c r="VS7" s="1"/>
      <c r="VT7" s="1"/>
      <c r="VU7" s="1"/>
      <c r="VV7" s="1"/>
      <c r="VW7" s="1"/>
      <c r="VY7" s="90"/>
    </row>
    <row r="8" spans="1:597" ht="5.25" customHeight="1" x14ac:dyDescent="0.3">
      <c r="B8" s="88"/>
      <c r="C8" s="91"/>
      <c r="D8" s="91"/>
      <c r="E8" s="91"/>
      <c r="F8" s="20"/>
      <c r="G8" s="88"/>
      <c r="H8" s="88"/>
      <c r="I8" s="88"/>
      <c r="J8" s="88"/>
      <c r="K8" s="88"/>
      <c r="M8" s="20"/>
      <c r="N8" s="88"/>
      <c r="O8" s="88"/>
      <c r="Q8" s="20"/>
      <c r="R8" s="88"/>
      <c r="S8" s="88"/>
      <c r="U8" s="20"/>
      <c r="V8" s="88"/>
      <c r="W8" s="88"/>
      <c r="Y8" s="20"/>
      <c r="Z8" s="88"/>
      <c r="AA8" s="88"/>
      <c r="AC8" s="20"/>
      <c r="AD8" s="88"/>
      <c r="AE8" s="88"/>
      <c r="AG8" s="20"/>
      <c r="AH8" s="88"/>
      <c r="AI8" s="88"/>
      <c r="AK8" s="20"/>
      <c r="AL8" s="88"/>
      <c r="AM8" s="88"/>
      <c r="AO8" s="20"/>
      <c r="AP8" s="88"/>
      <c r="AQ8" s="88"/>
      <c r="AS8" s="20"/>
      <c r="AT8" s="88"/>
      <c r="AU8" s="88"/>
      <c r="BA8" s="20"/>
      <c r="BB8" s="88"/>
      <c r="BC8" s="88"/>
      <c r="BE8" s="20"/>
      <c r="BF8" s="88"/>
      <c r="BG8" s="88"/>
      <c r="BI8" s="20"/>
      <c r="BJ8" s="88"/>
      <c r="BK8" s="88"/>
      <c r="BQ8" s="20"/>
      <c r="BR8" s="88"/>
      <c r="BS8" s="88"/>
      <c r="BU8" s="20"/>
      <c r="BV8" s="88"/>
      <c r="BW8" s="88"/>
      <c r="BY8" s="20"/>
      <c r="BZ8" s="88"/>
      <c r="CA8" s="88"/>
      <c r="CC8" s="20"/>
      <c r="CD8" s="88"/>
      <c r="CF8" s="20"/>
      <c r="CG8" s="88"/>
      <c r="CH8" s="88"/>
      <c r="CJ8" s="20"/>
      <c r="CK8" s="88"/>
      <c r="CM8" s="20"/>
      <c r="CN8" s="88"/>
      <c r="CO8" s="88"/>
      <c r="CQ8" s="20"/>
      <c r="CR8" s="88"/>
      <c r="CT8" s="20"/>
      <c r="CU8" s="88"/>
      <c r="CV8" s="88"/>
      <c r="CX8" s="20"/>
      <c r="CY8" s="88"/>
      <c r="DA8" s="20"/>
      <c r="DB8" s="88"/>
      <c r="DC8" s="88"/>
      <c r="DE8" s="20"/>
      <c r="DF8" s="88"/>
      <c r="DH8" s="20"/>
      <c r="DI8" s="88"/>
      <c r="DJ8" s="88"/>
      <c r="DL8" s="20"/>
      <c r="DM8" s="88"/>
      <c r="DO8" s="20"/>
      <c r="DP8" s="88"/>
      <c r="DQ8" s="88"/>
      <c r="DS8" s="20"/>
      <c r="DT8" s="88"/>
      <c r="DV8" s="20"/>
      <c r="DW8" s="88"/>
      <c r="DX8" s="88"/>
      <c r="DZ8" s="20"/>
      <c r="EA8" s="88"/>
      <c r="EC8" s="20"/>
      <c r="ED8" s="88"/>
      <c r="EE8" s="88"/>
      <c r="EG8" s="20"/>
      <c r="EH8" s="88"/>
      <c r="EJ8" s="20"/>
      <c r="EK8" s="88"/>
      <c r="EL8" s="88"/>
      <c r="EN8" s="20"/>
      <c r="EO8" s="88"/>
      <c r="EQ8" s="20"/>
      <c r="ER8" s="88"/>
      <c r="ES8" s="88"/>
      <c r="EU8" s="20"/>
      <c r="EV8" s="88"/>
      <c r="EX8" s="20"/>
      <c r="EY8" s="88"/>
      <c r="EZ8" s="88"/>
      <c r="FB8" s="20"/>
      <c r="FC8" s="88"/>
      <c r="FE8" s="20"/>
      <c r="FF8" s="88"/>
      <c r="FG8" s="88"/>
      <c r="FI8" s="20"/>
      <c r="FJ8" s="88"/>
      <c r="FL8" s="20"/>
      <c r="FM8" s="88"/>
      <c r="FN8" s="88"/>
      <c r="FP8" s="20"/>
      <c r="FQ8" s="88"/>
      <c r="FS8" s="20"/>
      <c r="FT8" s="88"/>
      <c r="FU8" s="88"/>
      <c r="FW8" s="20"/>
      <c r="FX8" s="88"/>
      <c r="FZ8" s="20"/>
      <c r="GA8" s="88"/>
      <c r="GB8" s="88"/>
      <c r="GD8" s="20"/>
      <c r="GE8" s="88"/>
      <c r="GG8" s="20"/>
      <c r="GH8" s="88"/>
      <c r="GI8" s="88"/>
      <c r="GK8" s="20"/>
      <c r="GL8" s="88"/>
      <c r="GN8" s="20"/>
      <c r="GO8" s="88"/>
      <c r="GP8" s="88"/>
      <c r="GR8" s="20"/>
      <c r="GS8" s="88"/>
      <c r="GU8" s="20"/>
      <c r="GV8" s="88"/>
      <c r="GW8" s="88"/>
      <c r="GY8" s="20"/>
      <c r="GZ8" s="88"/>
      <c r="HB8" s="20"/>
      <c r="HC8" s="88"/>
      <c r="HD8" s="88"/>
      <c r="HF8" s="20"/>
      <c r="HG8" s="88"/>
      <c r="HH8" s="20"/>
      <c r="HI8" s="88"/>
      <c r="HJ8" s="88"/>
      <c r="HL8" s="20"/>
      <c r="HM8" s="88"/>
      <c r="HN8" s="88"/>
      <c r="HP8" s="20"/>
      <c r="HQ8" s="88"/>
      <c r="HR8" s="88"/>
      <c r="HT8" s="20"/>
      <c r="HU8" s="88"/>
      <c r="HV8" s="88"/>
      <c r="HX8" s="20"/>
      <c r="HY8" s="88"/>
      <c r="HZ8" s="88"/>
      <c r="IB8" s="20"/>
      <c r="IC8" s="88"/>
      <c r="ID8" s="88"/>
      <c r="IF8" s="20"/>
      <c r="IG8" s="88"/>
      <c r="IH8" s="88"/>
      <c r="IJ8" s="20"/>
      <c r="IK8" s="88"/>
      <c r="IL8" s="88"/>
      <c r="IN8" s="20"/>
      <c r="IO8" s="88"/>
      <c r="IP8" s="88"/>
      <c r="IV8" s="20"/>
      <c r="IW8" s="88"/>
      <c r="IX8" s="88"/>
      <c r="IZ8" s="20"/>
      <c r="JA8" s="88"/>
      <c r="JB8" s="88"/>
      <c r="JD8" s="20"/>
      <c r="JE8" s="88"/>
      <c r="JF8" s="88"/>
      <c r="JL8" s="20"/>
      <c r="JM8" s="88"/>
      <c r="JN8" s="88"/>
      <c r="JP8" s="20"/>
      <c r="JQ8" s="88"/>
      <c r="JR8" s="88"/>
      <c r="JT8" s="20"/>
      <c r="JU8" s="88"/>
      <c r="JV8" s="88"/>
      <c r="JX8" s="20"/>
      <c r="JY8" s="88"/>
      <c r="KA8" s="20"/>
      <c r="KB8" s="88"/>
      <c r="KC8" s="88"/>
      <c r="KE8" s="20"/>
      <c r="KF8" s="88"/>
      <c r="KH8" s="20"/>
      <c r="KI8" s="88"/>
      <c r="KJ8" s="88"/>
      <c r="KL8" s="20"/>
      <c r="KM8" s="88"/>
      <c r="KO8" s="20"/>
      <c r="KP8" s="88"/>
      <c r="KQ8" s="88"/>
      <c r="KS8" s="20"/>
      <c r="KT8" s="88"/>
      <c r="KV8" s="20"/>
      <c r="KW8" s="88"/>
      <c r="KX8" s="88"/>
      <c r="KZ8" s="20"/>
      <c r="LA8" s="88"/>
      <c r="LC8" s="20"/>
      <c r="LD8" s="88"/>
      <c r="LE8" s="88"/>
      <c r="LG8" s="20"/>
      <c r="LH8" s="88"/>
      <c r="LJ8" s="20"/>
      <c r="LK8" s="88"/>
      <c r="LL8" s="88"/>
      <c r="LN8" s="20"/>
      <c r="LO8" s="88"/>
      <c r="LQ8" s="20"/>
      <c r="LR8" s="88"/>
      <c r="LS8" s="88"/>
      <c r="LU8" s="20"/>
      <c r="LV8" s="88"/>
      <c r="LX8" s="20"/>
      <c r="LY8" s="88"/>
      <c r="LZ8" s="88"/>
      <c r="MB8" s="20"/>
      <c r="MC8" s="88"/>
      <c r="ME8" s="20"/>
      <c r="MF8" s="88"/>
      <c r="MG8" s="88"/>
      <c r="MI8" s="20"/>
      <c r="MJ8" s="88"/>
      <c r="ML8" s="20"/>
      <c r="MM8" s="88"/>
      <c r="MN8" s="88"/>
      <c r="MP8" s="20"/>
      <c r="MQ8" s="88"/>
      <c r="MS8" s="20"/>
      <c r="MT8" s="88"/>
      <c r="MU8" s="88"/>
      <c r="MW8" s="20"/>
      <c r="MX8" s="88"/>
      <c r="MZ8" s="20"/>
      <c r="NA8" s="88"/>
      <c r="NB8" s="88"/>
      <c r="ND8" s="20"/>
      <c r="NE8" s="88"/>
      <c r="NG8" s="20"/>
      <c r="NH8" s="88"/>
      <c r="NI8" s="88"/>
      <c r="NK8" s="20"/>
      <c r="NL8" s="88"/>
      <c r="NN8" s="20"/>
      <c r="NO8" s="88"/>
      <c r="NP8" s="88"/>
      <c r="NR8" s="20"/>
      <c r="NS8" s="88"/>
      <c r="NU8" s="20"/>
      <c r="NV8" s="88"/>
      <c r="NW8" s="88"/>
      <c r="NY8" s="20"/>
      <c r="NZ8" s="88"/>
      <c r="OB8" s="20"/>
      <c r="OC8" s="88"/>
      <c r="OD8" s="88"/>
      <c r="OF8" s="20"/>
      <c r="OG8" s="88"/>
      <c r="OI8" s="20"/>
      <c r="OJ8" s="88"/>
      <c r="OK8" s="88"/>
      <c r="OM8" s="20"/>
      <c r="ON8" s="88"/>
      <c r="OP8" s="20"/>
      <c r="OQ8" s="88"/>
      <c r="OR8" s="88"/>
      <c r="OT8" s="20"/>
      <c r="OU8" s="88"/>
      <c r="OW8" s="20"/>
      <c r="OX8" s="88"/>
      <c r="OY8" s="88"/>
      <c r="PA8" s="20"/>
      <c r="PB8" s="88"/>
      <c r="PC8" s="20"/>
      <c r="PD8" s="88"/>
      <c r="PE8" s="88"/>
      <c r="PG8" s="20"/>
      <c r="PH8" s="88"/>
      <c r="PI8" s="88"/>
      <c r="PK8" s="20"/>
      <c r="PL8" s="88"/>
      <c r="PM8" s="88"/>
      <c r="PO8" s="20"/>
      <c r="PP8" s="88"/>
      <c r="PQ8" s="88"/>
      <c r="PS8" s="20"/>
      <c r="PT8" s="88"/>
      <c r="PU8" s="88"/>
      <c r="PW8" s="20"/>
      <c r="PX8" s="88"/>
      <c r="PY8" s="88"/>
      <c r="QA8" s="20"/>
      <c r="QB8" s="88"/>
      <c r="QC8" s="88"/>
      <c r="QE8" s="20"/>
      <c r="QF8" s="88"/>
      <c r="QG8" s="88"/>
      <c r="QI8" s="20"/>
      <c r="QJ8" s="88"/>
      <c r="QK8" s="88"/>
      <c r="QQ8" s="20"/>
      <c r="QR8" s="88"/>
      <c r="QS8" s="88"/>
      <c r="QU8" s="20"/>
      <c r="QV8" s="88"/>
      <c r="QW8" s="88"/>
      <c r="QY8" s="20"/>
      <c r="QZ8" s="88"/>
      <c r="RA8" s="88"/>
      <c r="RG8" s="20"/>
      <c r="RH8" s="88"/>
      <c r="RI8" s="88"/>
      <c r="RK8" s="20"/>
      <c r="RL8" s="88"/>
      <c r="RM8" s="88"/>
      <c r="RO8" s="20"/>
      <c r="RP8" s="88"/>
      <c r="RQ8" s="88"/>
      <c r="RS8" s="20"/>
      <c r="RT8" s="88"/>
      <c r="RV8" s="20"/>
      <c r="RW8" s="88"/>
      <c r="RX8" s="88"/>
      <c r="RZ8" s="20"/>
      <c r="SA8" s="88"/>
      <c r="SC8" s="20"/>
      <c r="SD8" s="88"/>
      <c r="SE8" s="88"/>
      <c r="SG8" s="20"/>
      <c r="SH8" s="88"/>
      <c r="SJ8" s="20"/>
      <c r="SK8" s="88"/>
      <c r="SL8" s="88"/>
      <c r="SN8" s="20"/>
      <c r="SO8" s="88"/>
      <c r="SQ8" s="20"/>
      <c r="SR8" s="88"/>
      <c r="SS8" s="88"/>
      <c r="SU8" s="20"/>
      <c r="SV8" s="88"/>
      <c r="SX8" s="20"/>
      <c r="SY8" s="88"/>
      <c r="SZ8" s="88"/>
      <c r="TB8" s="20"/>
      <c r="TC8" s="88"/>
      <c r="TE8" s="20"/>
      <c r="TF8" s="88"/>
      <c r="TG8" s="88"/>
      <c r="TI8" s="20"/>
      <c r="TJ8" s="88"/>
      <c r="TL8" s="20"/>
      <c r="TM8" s="88"/>
      <c r="TN8" s="88"/>
      <c r="TP8" s="20"/>
      <c r="TQ8" s="88"/>
      <c r="TS8" s="20"/>
      <c r="TT8" s="88"/>
      <c r="TU8" s="88"/>
      <c r="TW8" s="20"/>
      <c r="TX8" s="88"/>
      <c r="TZ8" s="20"/>
      <c r="UA8" s="88"/>
      <c r="UB8" s="88"/>
      <c r="UD8" s="20"/>
      <c r="UE8" s="88"/>
      <c r="UG8" s="20"/>
      <c r="UH8" s="88"/>
      <c r="UI8" s="88"/>
      <c r="UK8" s="20"/>
      <c r="UL8" s="88"/>
      <c r="UN8" s="20"/>
      <c r="UO8" s="88"/>
      <c r="UP8" s="88"/>
      <c r="UR8" s="20"/>
      <c r="US8" s="88"/>
      <c r="VA8" s="1"/>
      <c r="VB8" s="1"/>
      <c r="VC8" s="1"/>
      <c r="VD8" s="1"/>
      <c r="VE8" s="1"/>
      <c r="VF8" s="1"/>
      <c r="VG8" s="1"/>
      <c r="VH8" s="1"/>
      <c r="VI8" s="1"/>
      <c r="VJ8" s="1"/>
      <c r="VK8" s="1"/>
      <c r="VL8" s="1"/>
      <c r="VM8" s="1"/>
      <c r="VN8" s="1"/>
      <c r="VO8" s="1"/>
      <c r="VP8" s="1"/>
      <c r="VQ8" s="1"/>
      <c r="VR8" s="1"/>
      <c r="VS8" s="1"/>
      <c r="VT8" s="1"/>
      <c r="VU8" s="1"/>
      <c r="VV8" s="1"/>
      <c r="VW8" s="1"/>
      <c r="VY8" s="90"/>
    </row>
    <row r="9" spans="1:597" s="93" customFormat="1" ht="21.75" customHeight="1" x14ac:dyDescent="0.3">
      <c r="B9" s="351"/>
      <c r="C9" s="351"/>
      <c r="D9" s="351"/>
      <c r="E9" s="351"/>
      <c r="F9" s="351"/>
      <c r="G9" s="351"/>
      <c r="H9" s="351"/>
      <c r="I9" s="351"/>
      <c r="J9" s="351"/>
      <c r="K9" s="351"/>
      <c r="L9" s="351"/>
      <c r="M9" s="351"/>
      <c r="N9" s="351"/>
      <c r="O9" s="351"/>
      <c r="P9" s="351"/>
      <c r="Q9" s="351"/>
      <c r="R9" s="351"/>
      <c r="S9" s="351"/>
      <c r="T9" s="351"/>
      <c r="U9" s="351"/>
      <c r="V9" s="351"/>
      <c r="W9" s="351"/>
      <c r="X9" s="351"/>
      <c r="Y9" s="351"/>
      <c r="Z9" s="351"/>
      <c r="AA9" s="351"/>
      <c r="AB9" s="351"/>
      <c r="AC9" s="351"/>
      <c r="AD9" s="351"/>
      <c r="AE9" s="351"/>
      <c r="AF9" s="351"/>
      <c r="AG9" s="351"/>
      <c r="AH9" s="351"/>
      <c r="AI9" s="351"/>
      <c r="AJ9" s="351"/>
      <c r="AK9" s="351"/>
      <c r="AL9" s="351"/>
      <c r="AM9" s="351"/>
      <c r="AN9" s="351"/>
      <c r="AO9" s="351"/>
      <c r="AP9" s="351"/>
      <c r="AQ9" s="351"/>
      <c r="AR9" s="351"/>
      <c r="AS9" s="351"/>
      <c r="AT9" s="351"/>
      <c r="AU9" s="351"/>
      <c r="AV9" s="351"/>
      <c r="AW9" s="351"/>
      <c r="AX9" s="351"/>
      <c r="AY9" s="351"/>
      <c r="AZ9" s="351"/>
      <c r="BA9" s="351"/>
      <c r="BB9" s="351"/>
      <c r="BC9" s="351"/>
      <c r="BD9" s="351"/>
      <c r="BE9" s="351"/>
      <c r="BF9" s="351"/>
      <c r="BG9" s="351"/>
      <c r="BH9" s="351"/>
      <c r="BI9" s="351"/>
      <c r="BJ9" s="351"/>
      <c r="BK9" s="351"/>
      <c r="BL9" s="351"/>
      <c r="BM9" s="351"/>
      <c r="BN9" s="351"/>
      <c r="BO9" s="351"/>
      <c r="BP9" s="351"/>
      <c r="BQ9" s="351"/>
      <c r="BR9" s="351"/>
      <c r="BS9" s="351"/>
      <c r="BT9" s="351"/>
      <c r="BU9" s="351"/>
      <c r="BV9" s="351"/>
      <c r="BW9" s="351"/>
      <c r="BX9" s="351"/>
      <c r="BY9" s="351"/>
      <c r="BZ9" s="351"/>
      <c r="CA9" s="351"/>
      <c r="CB9" s="351"/>
      <c r="CC9" s="351"/>
      <c r="CD9" s="351"/>
      <c r="CE9" s="351"/>
      <c r="CF9" s="351"/>
      <c r="CG9" s="351"/>
      <c r="CH9" s="351"/>
      <c r="CI9" s="351"/>
      <c r="CJ9" s="351"/>
      <c r="CK9" s="351"/>
      <c r="CL9" s="351"/>
      <c r="CM9" s="351"/>
      <c r="CN9" s="351"/>
      <c r="CO9" s="351"/>
      <c r="CP9" s="351"/>
      <c r="CQ9" s="351"/>
      <c r="CR9" s="351"/>
      <c r="CS9" s="351"/>
      <c r="CT9" s="351"/>
      <c r="CU9" s="351"/>
      <c r="CV9" s="351"/>
      <c r="CW9" s="351"/>
      <c r="CX9" s="351"/>
      <c r="CY9" s="351"/>
      <c r="CZ9" s="351"/>
      <c r="DA9" s="351"/>
      <c r="DB9" s="351"/>
      <c r="DC9" s="351"/>
      <c r="DD9" s="351"/>
      <c r="DE9" s="351"/>
      <c r="DF9" s="351"/>
      <c r="DG9" s="351"/>
      <c r="DH9" s="351"/>
      <c r="DI9" s="351"/>
      <c r="DJ9" s="351"/>
      <c r="DK9" s="351"/>
      <c r="DL9" s="351"/>
      <c r="DM9" s="351"/>
      <c r="DN9" s="351"/>
      <c r="DO9" s="351"/>
      <c r="DP9" s="351"/>
      <c r="DQ9" s="351"/>
      <c r="DR9" s="351"/>
      <c r="DS9" s="351"/>
      <c r="DT9" s="351"/>
      <c r="DU9" s="351"/>
      <c r="DV9" s="351"/>
      <c r="DW9" s="351"/>
      <c r="DX9" s="351"/>
      <c r="DY9" s="351"/>
      <c r="DZ9" s="351"/>
      <c r="EA9" s="351"/>
      <c r="EB9" s="351"/>
      <c r="EC9" s="351"/>
      <c r="ED9" s="351"/>
      <c r="EE9" s="351"/>
      <c r="EF9" s="351"/>
      <c r="EG9" s="351"/>
      <c r="EH9" s="351"/>
      <c r="EI9" s="351"/>
      <c r="EJ9" s="351"/>
      <c r="EK9" s="351"/>
      <c r="EL9" s="351"/>
      <c r="EM9" s="351"/>
      <c r="EN9" s="351"/>
      <c r="EO9" s="351"/>
      <c r="EP9" s="351"/>
      <c r="EQ9" s="351"/>
      <c r="ER9" s="351"/>
      <c r="ES9" s="351"/>
      <c r="ET9" s="351"/>
      <c r="EU9" s="351"/>
      <c r="EV9" s="351"/>
      <c r="EW9" s="351"/>
      <c r="EX9" s="351"/>
      <c r="EY9" s="351"/>
      <c r="EZ9" s="351"/>
      <c r="FA9" s="351"/>
      <c r="FB9" s="351"/>
      <c r="FC9" s="351"/>
      <c r="FD9" s="351"/>
      <c r="FE9" s="351"/>
      <c r="FF9" s="351"/>
      <c r="FG9" s="351"/>
      <c r="FH9" s="351"/>
      <c r="FI9" s="351"/>
      <c r="FJ9" s="351"/>
      <c r="FK9" s="351"/>
      <c r="FL9" s="351"/>
      <c r="FM9" s="351"/>
      <c r="FN9" s="351"/>
      <c r="FO9" s="351"/>
      <c r="FP9" s="351"/>
      <c r="FQ9" s="351"/>
      <c r="FR9" s="351"/>
      <c r="FS9" s="351"/>
      <c r="FT9" s="351"/>
      <c r="FU9" s="351"/>
      <c r="FV9" s="351"/>
      <c r="FW9" s="351"/>
      <c r="FX9" s="351"/>
      <c r="FY9" s="351"/>
      <c r="FZ9" s="351"/>
      <c r="GA9" s="351"/>
      <c r="GB9" s="351"/>
      <c r="GC9" s="351"/>
      <c r="GD9" s="351"/>
      <c r="GE9" s="351"/>
      <c r="GF9" s="351"/>
      <c r="GG9" s="351"/>
      <c r="GH9" s="351"/>
      <c r="GI9" s="351"/>
      <c r="GJ9" s="351"/>
      <c r="GK9" s="351"/>
      <c r="GL9" s="351"/>
      <c r="GM9" s="351"/>
      <c r="GN9" s="351"/>
      <c r="GO9" s="351"/>
      <c r="GP9" s="351"/>
      <c r="GQ9" s="351"/>
      <c r="GR9" s="351"/>
      <c r="GS9" s="351"/>
      <c r="GT9" s="351"/>
      <c r="GU9" s="351"/>
      <c r="GV9" s="351"/>
      <c r="GW9" s="351"/>
      <c r="GX9" s="351"/>
      <c r="GY9" s="351"/>
      <c r="GZ9" s="351"/>
      <c r="HA9" s="351"/>
      <c r="HB9" s="351"/>
      <c r="HC9" s="351"/>
      <c r="HD9" s="351"/>
      <c r="HE9" s="351"/>
      <c r="HF9" s="351"/>
      <c r="HG9" s="351"/>
      <c r="HH9" s="351"/>
      <c r="HI9" s="351"/>
      <c r="HJ9" s="351"/>
      <c r="HK9" s="351"/>
      <c r="HL9" s="351"/>
      <c r="HM9" s="351"/>
      <c r="HN9" s="351"/>
      <c r="HO9" s="351"/>
      <c r="HP9" s="351"/>
      <c r="HQ9" s="351"/>
      <c r="HR9" s="351"/>
      <c r="HS9" s="351"/>
      <c r="HT9" s="351"/>
      <c r="HU9" s="351"/>
      <c r="HV9" s="351"/>
      <c r="HW9" s="351"/>
      <c r="HX9" s="351"/>
      <c r="HY9" s="351"/>
      <c r="HZ9" s="351"/>
      <c r="IA9" s="351"/>
      <c r="IB9" s="351"/>
      <c r="IC9" s="351"/>
      <c r="ID9" s="351"/>
      <c r="IE9" s="351"/>
      <c r="IF9" s="351"/>
      <c r="IG9" s="351"/>
      <c r="IH9" s="351"/>
      <c r="II9" s="351"/>
      <c r="IJ9" s="351"/>
      <c r="IK9" s="351"/>
      <c r="IL9" s="351"/>
      <c r="IM9" s="351"/>
      <c r="IN9" s="351"/>
      <c r="IO9" s="351"/>
      <c r="IP9" s="351"/>
      <c r="IQ9" s="351"/>
      <c r="IR9" s="351"/>
      <c r="IS9" s="351"/>
      <c r="IT9" s="351"/>
      <c r="IU9" s="351"/>
      <c r="IV9" s="351"/>
      <c r="IW9" s="351"/>
      <c r="IX9" s="351"/>
      <c r="IY9" s="351"/>
      <c r="IZ9" s="351"/>
      <c r="JA9" s="351"/>
      <c r="JB9" s="351"/>
      <c r="JC9" s="351"/>
      <c r="JD9" s="351"/>
      <c r="JE9" s="351"/>
      <c r="JF9" s="351"/>
      <c r="JG9" s="351"/>
      <c r="JH9" s="351"/>
      <c r="JI9" s="351"/>
      <c r="JJ9" s="351"/>
      <c r="JK9" s="351"/>
      <c r="JL9" s="351"/>
      <c r="JM9" s="351"/>
      <c r="JN9" s="351"/>
      <c r="JO9" s="351"/>
      <c r="JP9" s="351"/>
      <c r="JQ9" s="351"/>
      <c r="JR9" s="351"/>
      <c r="JS9" s="351"/>
      <c r="JT9" s="351"/>
      <c r="JU9" s="351"/>
      <c r="JV9" s="351"/>
      <c r="JW9" s="351"/>
      <c r="JX9" s="351"/>
      <c r="JY9" s="351"/>
      <c r="JZ9" s="351"/>
      <c r="KA9" s="351"/>
      <c r="KB9" s="351"/>
      <c r="KC9" s="351"/>
      <c r="KD9" s="351"/>
      <c r="KE9" s="351"/>
      <c r="KF9" s="351"/>
      <c r="KG9" s="351"/>
      <c r="KH9" s="351"/>
      <c r="KI9" s="351"/>
      <c r="KJ9" s="351"/>
      <c r="KK9" s="351"/>
      <c r="KL9" s="351"/>
      <c r="KM9" s="351"/>
      <c r="KN9" s="351"/>
      <c r="KO9" s="351"/>
      <c r="KP9" s="351"/>
      <c r="KQ9" s="351"/>
      <c r="KR9" s="351"/>
      <c r="KS9" s="351"/>
      <c r="KT9" s="351"/>
      <c r="KU9" s="351"/>
      <c r="KV9" s="351"/>
      <c r="KW9" s="351"/>
      <c r="KX9" s="351"/>
      <c r="KY9" s="351"/>
      <c r="KZ9" s="351"/>
      <c r="LA9" s="351"/>
      <c r="LB9" s="351"/>
      <c r="LC9" s="351"/>
      <c r="LD9" s="351"/>
      <c r="LE9" s="351"/>
      <c r="LF9" s="351"/>
      <c r="LG9" s="351"/>
      <c r="LH9" s="351"/>
      <c r="LI9" s="351"/>
      <c r="LJ9" s="351"/>
      <c r="LK9" s="351"/>
      <c r="LL9" s="351"/>
      <c r="LM9" s="351"/>
      <c r="LN9" s="351"/>
      <c r="LO9" s="351"/>
      <c r="LP9" s="351"/>
      <c r="LQ9" s="351"/>
      <c r="LR9" s="351"/>
      <c r="LS9" s="351"/>
      <c r="LT9" s="351"/>
      <c r="LU9" s="351"/>
      <c r="LV9" s="351"/>
      <c r="LW9" s="351"/>
      <c r="LX9" s="351"/>
      <c r="LY9" s="351"/>
      <c r="LZ9" s="351"/>
      <c r="MA9" s="351"/>
      <c r="MB9" s="351"/>
      <c r="MC9" s="351"/>
      <c r="MD9" s="351"/>
      <c r="ME9" s="351"/>
      <c r="MF9" s="351"/>
      <c r="MG9" s="351"/>
      <c r="MH9" s="351"/>
      <c r="MI9" s="351"/>
      <c r="MJ9" s="351"/>
      <c r="MK9" s="351"/>
      <c r="ML9" s="351"/>
      <c r="MM9" s="351"/>
      <c r="MN9" s="351"/>
      <c r="MO9" s="351"/>
      <c r="MP9" s="351"/>
      <c r="MQ9" s="351"/>
      <c r="MR9" s="351"/>
      <c r="MS9" s="351"/>
      <c r="MT9" s="351"/>
      <c r="MU9" s="351"/>
      <c r="MV9" s="351"/>
      <c r="MW9" s="351"/>
      <c r="MX9" s="351"/>
      <c r="MY9" s="351"/>
      <c r="MZ9" s="351"/>
      <c r="NA9" s="351"/>
      <c r="NB9" s="351"/>
      <c r="NC9" s="351"/>
      <c r="ND9" s="351"/>
      <c r="NE9" s="351"/>
      <c r="NF9" s="351"/>
      <c r="NG9" s="351"/>
      <c r="NH9" s="351"/>
      <c r="NI9" s="351"/>
      <c r="NJ9" s="351"/>
      <c r="NK9" s="351"/>
      <c r="NL9" s="351"/>
      <c r="NM9" s="351"/>
      <c r="NN9" s="351"/>
      <c r="NO9" s="351"/>
      <c r="NP9" s="351"/>
      <c r="NQ9" s="351"/>
      <c r="NR9" s="351"/>
      <c r="NS9" s="351"/>
      <c r="NT9" s="351"/>
      <c r="NU9" s="351"/>
      <c r="NV9" s="351"/>
      <c r="NW9" s="351"/>
      <c r="NX9" s="351"/>
      <c r="NY9" s="351"/>
      <c r="NZ9" s="351"/>
      <c r="OA9" s="351"/>
      <c r="OB9" s="351"/>
      <c r="OC9" s="351"/>
      <c r="OD9" s="351"/>
      <c r="OE9" s="351"/>
      <c r="OF9" s="351"/>
      <c r="OG9" s="351"/>
      <c r="OH9" s="351"/>
      <c r="OI9" s="351"/>
      <c r="OJ9" s="351"/>
      <c r="OK9" s="351"/>
      <c r="OL9" s="351"/>
      <c r="OM9" s="351"/>
      <c r="ON9" s="351"/>
      <c r="OO9" s="351"/>
      <c r="OP9" s="351"/>
      <c r="OQ9" s="351"/>
      <c r="OR9" s="351"/>
      <c r="OS9" s="351"/>
      <c r="OT9" s="351"/>
      <c r="OU9" s="351"/>
      <c r="OV9" s="351"/>
      <c r="OW9" s="351"/>
      <c r="OX9" s="351"/>
      <c r="OY9" s="351"/>
      <c r="OZ9" s="351"/>
      <c r="PA9" s="351"/>
      <c r="PB9" s="351"/>
      <c r="PC9" s="351"/>
      <c r="PD9" s="351"/>
      <c r="PE9" s="351"/>
      <c r="PF9" s="351"/>
      <c r="PG9" s="351"/>
      <c r="PH9" s="351"/>
      <c r="PI9" s="351"/>
      <c r="PJ9" s="351"/>
      <c r="PK9" s="351"/>
      <c r="PL9" s="351"/>
      <c r="PM9" s="351"/>
      <c r="PN9" s="351"/>
      <c r="PO9" s="351"/>
      <c r="PP9" s="351"/>
      <c r="PQ9" s="351"/>
      <c r="PR9" s="351"/>
      <c r="PS9" s="351"/>
      <c r="PT9" s="351"/>
      <c r="PU9" s="351"/>
      <c r="PV9" s="351"/>
      <c r="PW9" s="351"/>
      <c r="PX9" s="351"/>
      <c r="PY9" s="351"/>
      <c r="PZ9" s="351"/>
      <c r="QA9" s="351"/>
      <c r="QB9" s="351"/>
      <c r="QC9" s="351"/>
      <c r="QD9" s="351"/>
      <c r="QE9" s="351"/>
      <c r="QF9" s="351"/>
      <c r="QG9" s="351"/>
      <c r="QH9" s="351"/>
      <c r="QI9" s="351"/>
      <c r="QJ9" s="351"/>
      <c r="QK9" s="351"/>
      <c r="QL9" s="351"/>
      <c r="QM9" s="351"/>
      <c r="QN9" s="351"/>
      <c r="QO9" s="351"/>
      <c r="QP9" s="351"/>
      <c r="QQ9" s="351"/>
      <c r="QR9" s="351"/>
      <c r="QS9" s="351"/>
      <c r="QT9" s="351"/>
      <c r="QU9" s="351"/>
      <c r="QV9" s="351"/>
      <c r="QW9" s="351"/>
      <c r="QX9" s="351"/>
      <c r="QY9" s="351"/>
      <c r="QZ9" s="351"/>
      <c r="RA9" s="351"/>
      <c r="RB9" s="351"/>
      <c r="RC9" s="351"/>
      <c r="RD9" s="351"/>
      <c r="RE9" s="351"/>
      <c r="RF9" s="351"/>
      <c r="RG9" s="351"/>
      <c r="RH9" s="351"/>
      <c r="RI9" s="351"/>
      <c r="RJ9" s="351"/>
      <c r="RK9" s="351"/>
      <c r="RL9" s="351"/>
      <c r="RM9" s="351"/>
      <c r="RN9" s="351"/>
      <c r="RO9" s="351"/>
      <c r="RP9" s="351"/>
      <c r="RQ9" s="351"/>
      <c r="RR9" s="351"/>
      <c r="RS9" s="351"/>
      <c r="RT9" s="351"/>
      <c r="RU9" s="351"/>
      <c r="RV9" s="351"/>
      <c r="RW9" s="351"/>
      <c r="RX9" s="351"/>
      <c r="RY9" s="351"/>
      <c r="RZ9" s="351"/>
      <c r="SA9" s="351"/>
      <c r="SB9" s="351"/>
      <c r="SC9" s="351"/>
      <c r="SD9" s="351"/>
      <c r="SE9" s="351"/>
      <c r="SF9" s="351"/>
      <c r="SG9" s="351"/>
      <c r="SH9" s="351"/>
      <c r="SI9" s="351"/>
      <c r="SJ9" s="351"/>
      <c r="SK9" s="351"/>
      <c r="SL9" s="351"/>
      <c r="SM9" s="351"/>
      <c r="SN9" s="351"/>
      <c r="SO9" s="351"/>
      <c r="SP9" s="351"/>
      <c r="SQ9" s="351"/>
      <c r="SR9" s="351"/>
      <c r="SS9" s="351"/>
      <c r="ST9" s="351"/>
      <c r="SU9" s="351"/>
      <c r="SV9" s="351"/>
      <c r="SW9" s="351"/>
      <c r="SX9" s="351"/>
      <c r="SY9" s="351"/>
      <c r="SZ9" s="351"/>
      <c r="TA9" s="351"/>
      <c r="TB9" s="351"/>
      <c r="TC9" s="351"/>
      <c r="TD9" s="351"/>
      <c r="TE9" s="351"/>
      <c r="TF9" s="351"/>
      <c r="TG9" s="351"/>
      <c r="TH9" s="351"/>
      <c r="TI9" s="351"/>
      <c r="TJ9" s="351"/>
      <c r="TK9" s="351"/>
      <c r="TL9" s="351"/>
      <c r="TM9" s="351"/>
      <c r="TN9" s="351"/>
      <c r="TO9" s="351"/>
      <c r="TP9" s="351"/>
      <c r="TQ9" s="351"/>
      <c r="TR9" s="351"/>
      <c r="TS9" s="351"/>
      <c r="TT9" s="351"/>
      <c r="TU9" s="351"/>
      <c r="TV9" s="351"/>
      <c r="TW9" s="351"/>
      <c r="TX9" s="351"/>
      <c r="TY9" s="351"/>
      <c r="TZ9" s="351"/>
      <c r="UA9" s="351"/>
      <c r="UB9" s="351"/>
      <c r="UC9" s="351"/>
      <c r="UD9" s="351"/>
      <c r="UE9" s="351"/>
      <c r="UF9" s="351"/>
      <c r="UG9" s="351"/>
      <c r="UH9" s="351"/>
      <c r="UI9" s="351"/>
      <c r="UJ9" s="351"/>
      <c r="UK9" s="351"/>
      <c r="UL9" s="351"/>
      <c r="UM9" s="351"/>
      <c r="UN9" s="351"/>
      <c r="UO9" s="351"/>
      <c r="UP9" s="351"/>
      <c r="UQ9" s="351"/>
      <c r="UR9" s="351"/>
      <c r="US9" s="351"/>
      <c r="UT9" s="186"/>
      <c r="UU9" s="186"/>
      <c r="UV9" s="186"/>
      <c r="UW9" s="186"/>
      <c r="UX9" s="186"/>
      <c r="UY9" s="186"/>
      <c r="UZ9" s="186"/>
      <c r="VA9" s="1"/>
      <c r="VB9" s="1"/>
      <c r="VC9" s="1"/>
      <c r="VD9" s="1"/>
      <c r="VE9" s="1"/>
      <c r="VF9" s="1"/>
      <c r="VG9" s="1"/>
      <c r="VH9" s="1"/>
      <c r="VI9" s="1"/>
      <c r="VJ9" s="1"/>
      <c r="VK9" s="1"/>
      <c r="VL9" s="1"/>
      <c r="VM9" s="1"/>
      <c r="VN9" s="1"/>
      <c r="VO9" s="1"/>
      <c r="VP9" s="1"/>
      <c r="VQ9" s="1"/>
      <c r="VR9" s="1"/>
      <c r="VS9" s="1"/>
      <c r="VT9" s="1"/>
      <c r="VU9" s="1"/>
      <c r="VV9" s="1"/>
      <c r="VW9" s="1"/>
    </row>
    <row r="10" spans="1:597" s="92" customFormat="1" ht="9" customHeight="1" thickBot="1" x14ac:dyDescent="0.35">
      <c r="UT10" s="186"/>
      <c r="UU10" s="186"/>
      <c r="UV10" s="186"/>
      <c r="UW10" s="186"/>
      <c r="UX10" s="186"/>
      <c r="UY10" s="186"/>
      <c r="UZ10" s="186"/>
    </row>
    <row r="11" spans="1:597" ht="17.25" customHeight="1" thickBot="1" x14ac:dyDescent="0.35">
      <c r="B11" s="328" t="s">
        <v>92</v>
      </c>
      <c r="C11" s="337" t="s">
        <v>91</v>
      </c>
      <c r="D11" s="337"/>
      <c r="E11" s="337" t="s">
        <v>120</v>
      </c>
      <c r="F11" s="352">
        <v>0</v>
      </c>
      <c r="G11" s="353"/>
      <c r="H11" s="353"/>
      <c r="I11" s="353"/>
      <c r="J11" s="353"/>
      <c r="K11" s="352">
        <f>F11+1</f>
        <v>1</v>
      </c>
      <c r="L11" s="353"/>
      <c r="M11" s="353"/>
      <c r="N11" s="353"/>
      <c r="O11" s="353"/>
      <c r="P11" s="353"/>
      <c r="Q11" s="354"/>
      <c r="R11" s="352">
        <f>K11+1</f>
        <v>2</v>
      </c>
      <c r="S11" s="353"/>
      <c r="T11" s="353"/>
      <c r="U11" s="353"/>
      <c r="V11" s="353"/>
      <c r="W11" s="353"/>
      <c r="X11" s="354"/>
      <c r="Y11" s="352">
        <f>R11+1</f>
        <v>3</v>
      </c>
      <c r="Z11" s="353"/>
      <c r="AA11" s="353"/>
      <c r="AB11" s="353"/>
      <c r="AC11" s="353"/>
      <c r="AD11" s="353"/>
      <c r="AE11" s="354"/>
      <c r="AF11" s="352">
        <f>Y11+1</f>
        <v>4</v>
      </c>
      <c r="AG11" s="353"/>
      <c r="AH11" s="353"/>
      <c r="AI11" s="353"/>
      <c r="AJ11" s="353"/>
      <c r="AK11" s="353"/>
      <c r="AL11" s="354"/>
      <c r="AM11" s="352">
        <f>AF11+1</f>
        <v>5</v>
      </c>
      <c r="AN11" s="353"/>
      <c r="AO11" s="353"/>
      <c r="AP11" s="353"/>
      <c r="AQ11" s="353"/>
      <c r="AR11" s="353"/>
      <c r="AS11" s="354"/>
      <c r="AT11" s="352">
        <f>AM11+1</f>
        <v>6</v>
      </c>
      <c r="AU11" s="353"/>
      <c r="AV11" s="353"/>
      <c r="AW11" s="353"/>
      <c r="AX11" s="353"/>
      <c r="AY11" s="353"/>
      <c r="AZ11" s="354"/>
      <c r="BA11" s="352">
        <f>AT11+1</f>
        <v>7</v>
      </c>
      <c r="BB11" s="353"/>
      <c r="BC11" s="353"/>
      <c r="BD11" s="353"/>
      <c r="BE11" s="353"/>
      <c r="BF11" s="353"/>
      <c r="BG11" s="354"/>
      <c r="BH11" s="352">
        <f>BA11+1</f>
        <v>8</v>
      </c>
      <c r="BI11" s="353"/>
      <c r="BJ11" s="353"/>
      <c r="BK11" s="353"/>
      <c r="BL11" s="353"/>
      <c r="BM11" s="353"/>
      <c r="BN11" s="354"/>
      <c r="BO11" s="352">
        <f>BH11+1</f>
        <v>9</v>
      </c>
      <c r="BP11" s="353"/>
      <c r="BQ11" s="353"/>
      <c r="BR11" s="353"/>
      <c r="BS11" s="353"/>
      <c r="BT11" s="353"/>
      <c r="BU11" s="354"/>
      <c r="BV11" s="352">
        <f>BO11+1</f>
        <v>10</v>
      </c>
      <c r="BW11" s="353"/>
      <c r="BX11" s="353"/>
      <c r="BY11" s="353"/>
      <c r="BZ11" s="353"/>
      <c r="CA11" s="353"/>
      <c r="CB11" s="354"/>
      <c r="CC11" s="352">
        <f>BV11+1</f>
        <v>11</v>
      </c>
      <c r="CD11" s="353"/>
      <c r="CE11" s="353"/>
      <c r="CF11" s="353"/>
      <c r="CG11" s="353"/>
      <c r="CH11" s="353"/>
      <c r="CI11" s="354"/>
      <c r="CJ11" s="352">
        <f>CC11+1</f>
        <v>12</v>
      </c>
      <c r="CK11" s="353"/>
      <c r="CL11" s="353"/>
      <c r="CM11" s="353"/>
      <c r="CN11" s="353"/>
      <c r="CO11" s="353"/>
      <c r="CP11" s="354"/>
      <c r="CQ11" s="352">
        <f>CJ11+1</f>
        <v>13</v>
      </c>
      <c r="CR11" s="353"/>
      <c r="CS11" s="353"/>
      <c r="CT11" s="353"/>
      <c r="CU11" s="353"/>
      <c r="CV11" s="353"/>
      <c r="CW11" s="354"/>
      <c r="CX11" s="352">
        <f>CQ11+1</f>
        <v>14</v>
      </c>
      <c r="CY11" s="353"/>
      <c r="CZ11" s="353"/>
      <c r="DA11" s="353"/>
      <c r="DB11" s="353"/>
      <c r="DC11" s="353"/>
      <c r="DD11" s="354"/>
      <c r="DE11" s="352">
        <f>CX11+1</f>
        <v>15</v>
      </c>
      <c r="DF11" s="353"/>
      <c r="DG11" s="353"/>
      <c r="DH11" s="353"/>
      <c r="DI11" s="353"/>
      <c r="DJ11" s="353"/>
      <c r="DK11" s="354"/>
      <c r="DL11" s="352">
        <f>DE11+1</f>
        <v>16</v>
      </c>
      <c r="DM11" s="353"/>
      <c r="DN11" s="353"/>
      <c r="DO11" s="353"/>
      <c r="DP11" s="353"/>
      <c r="DQ11" s="353"/>
      <c r="DR11" s="354"/>
      <c r="DS11" s="352">
        <f>DL11+1</f>
        <v>17</v>
      </c>
      <c r="DT11" s="353"/>
      <c r="DU11" s="353"/>
      <c r="DV11" s="353"/>
      <c r="DW11" s="353"/>
      <c r="DX11" s="353"/>
      <c r="DY11" s="354"/>
      <c r="DZ11" s="352">
        <f>DS11+1</f>
        <v>18</v>
      </c>
      <c r="EA11" s="353"/>
      <c r="EB11" s="353"/>
      <c r="EC11" s="353"/>
      <c r="ED11" s="353"/>
      <c r="EE11" s="353"/>
      <c r="EF11" s="354"/>
      <c r="EG11" s="352">
        <f>DZ11+1</f>
        <v>19</v>
      </c>
      <c r="EH11" s="353"/>
      <c r="EI11" s="353"/>
      <c r="EJ11" s="353"/>
      <c r="EK11" s="353"/>
      <c r="EL11" s="353"/>
      <c r="EM11" s="354"/>
      <c r="EN11" s="352">
        <f>EG11+1</f>
        <v>20</v>
      </c>
      <c r="EO11" s="353"/>
      <c r="EP11" s="353"/>
      <c r="EQ11" s="353"/>
      <c r="ER11" s="353"/>
      <c r="ES11" s="353"/>
      <c r="ET11" s="354"/>
      <c r="EU11" s="352">
        <f>EN11+1</f>
        <v>21</v>
      </c>
      <c r="EV11" s="353"/>
      <c r="EW11" s="353"/>
      <c r="EX11" s="353"/>
      <c r="EY11" s="353"/>
      <c r="EZ11" s="353"/>
      <c r="FA11" s="354"/>
      <c r="FB11" s="352">
        <f>EU11+1</f>
        <v>22</v>
      </c>
      <c r="FC11" s="353"/>
      <c r="FD11" s="353"/>
      <c r="FE11" s="353"/>
      <c r="FF11" s="353"/>
      <c r="FG11" s="353"/>
      <c r="FH11" s="354"/>
      <c r="FI11" s="352">
        <f>FB11+1</f>
        <v>23</v>
      </c>
      <c r="FJ11" s="353"/>
      <c r="FK11" s="353"/>
      <c r="FL11" s="353"/>
      <c r="FM11" s="353"/>
      <c r="FN11" s="353"/>
      <c r="FO11" s="354"/>
      <c r="FP11" s="352">
        <f>FI11+1</f>
        <v>24</v>
      </c>
      <c r="FQ11" s="353"/>
      <c r="FR11" s="353"/>
      <c r="FS11" s="353"/>
      <c r="FT11" s="353"/>
      <c r="FU11" s="353"/>
      <c r="FV11" s="354"/>
      <c r="FW11" s="352">
        <f>FP11+1</f>
        <v>25</v>
      </c>
      <c r="FX11" s="353"/>
      <c r="FY11" s="353"/>
      <c r="FZ11" s="353"/>
      <c r="GA11" s="353"/>
      <c r="GB11" s="353"/>
      <c r="GC11" s="354"/>
      <c r="GD11" s="352">
        <f>FW11+1</f>
        <v>26</v>
      </c>
      <c r="GE11" s="353"/>
      <c r="GF11" s="353"/>
      <c r="GG11" s="353"/>
      <c r="GH11" s="353"/>
      <c r="GI11" s="353"/>
      <c r="GJ11" s="354"/>
      <c r="GK11" s="352">
        <f>GD11+1</f>
        <v>27</v>
      </c>
      <c r="GL11" s="353"/>
      <c r="GM11" s="353"/>
      <c r="GN11" s="353"/>
      <c r="GO11" s="353"/>
      <c r="GP11" s="353"/>
      <c r="GQ11" s="354"/>
      <c r="GR11" s="352">
        <f>GK11+1</f>
        <v>28</v>
      </c>
      <c r="GS11" s="353"/>
      <c r="GT11" s="353"/>
      <c r="GU11" s="353"/>
      <c r="GV11" s="353"/>
      <c r="GW11" s="353"/>
      <c r="GX11" s="354"/>
      <c r="GY11" s="352">
        <f>GR11+1</f>
        <v>29</v>
      </c>
      <c r="GZ11" s="353"/>
      <c r="HA11" s="353"/>
      <c r="HB11" s="353"/>
      <c r="HC11" s="353"/>
      <c r="HD11" s="353"/>
      <c r="HE11" s="354"/>
      <c r="HF11" s="352">
        <f>GY11+1</f>
        <v>30</v>
      </c>
      <c r="HG11" s="353"/>
      <c r="HH11" s="353"/>
      <c r="HI11" s="353"/>
      <c r="HJ11" s="353"/>
      <c r="HK11" s="353"/>
      <c r="HL11" s="354"/>
      <c r="HM11" s="352">
        <f>HF11+1</f>
        <v>31</v>
      </c>
      <c r="HN11" s="353"/>
      <c r="HO11" s="353"/>
      <c r="HP11" s="353"/>
      <c r="HQ11" s="353"/>
      <c r="HR11" s="353"/>
      <c r="HS11" s="354"/>
      <c r="HT11" s="352">
        <f>HM11+1</f>
        <v>32</v>
      </c>
      <c r="HU11" s="353"/>
      <c r="HV11" s="353"/>
      <c r="HW11" s="353"/>
      <c r="HX11" s="353"/>
      <c r="HY11" s="353"/>
      <c r="HZ11" s="354"/>
      <c r="IA11" s="352">
        <f>HT11+1</f>
        <v>33</v>
      </c>
      <c r="IB11" s="353"/>
      <c r="IC11" s="353"/>
      <c r="ID11" s="353"/>
      <c r="IE11" s="353"/>
      <c r="IF11" s="353"/>
      <c r="IG11" s="354"/>
      <c r="IH11" s="352">
        <f>IA11+1</f>
        <v>34</v>
      </c>
      <c r="II11" s="353"/>
      <c r="IJ11" s="353"/>
      <c r="IK11" s="353"/>
      <c r="IL11" s="353"/>
      <c r="IM11" s="353"/>
      <c r="IN11" s="354"/>
      <c r="IO11" s="352">
        <f>IH11+1</f>
        <v>35</v>
      </c>
      <c r="IP11" s="353"/>
      <c r="IQ11" s="353"/>
      <c r="IR11" s="353"/>
      <c r="IS11" s="353"/>
      <c r="IT11" s="353"/>
      <c r="IU11" s="354"/>
      <c r="IV11" s="352">
        <f>IO11+1</f>
        <v>36</v>
      </c>
      <c r="IW11" s="353"/>
      <c r="IX11" s="353"/>
      <c r="IY11" s="353"/>
      <c r="IZ11" s="353"/>
      <c r="JA11" s="353"/>
      <c r="JB11" s="354"/>
      <c r="JC11" s="352">
        <f>IV11+1</f>
        <v>37</v>
      </c>
      <c r="JD11" s="353"/>
      <c r="JE11" s="353"/>
      <c r="JF11" s="353"/>
      <c r="JG11" s="353"/>
      <c r="JH11" s="353"/>
      <c r="JI11" s="354"/>
      <c r="JJ11" s="352">
        <f>JC11+1</f>
        <v>38</v>
      </c>
      <c r="JK11" s="353"/>
      <c r="JL11" s="353"/>
      <c r="JM11" s="353"/>
      <c r="JN11" s="353"/>
      <c r="JO11" s="353"/>
      <c r="JP11" s="354"/>
      <c r="JQ11" s="352">
        <f>JJ11+1</f>
        <v>39</v>
      </c>
      <c r="JR11" s="353"/>
      <c r="JS11" s="353"/>
      <c r="JT11" s="353"/>
      <c r="JU11" s="353"/>
      <c r="JV11" s="353"/>
      <c r="JW11" s="354"/>
      <c r="JX11" s="352">
        <f>JQ11+1</f>
        <v>40</v>
      </c>
      <c r="JY11" s="353"/>
      <c r="JZ11" s="353"/>
      <c r="KA11" s="353"/>
      <c r="KB11" s="353"/>
      <c r="KC11" s="353"/>
      <c r="KD11" s="354"/>
      <c r="KE11" s="352">
        <f>JX11+1</f>
        <v>41</v>
      </c>
      <c r="KF11" s="353"/>
      <c r="KG11" s="353"/>
      <c r="KH11" s="353"/>
      <c r="KI11" s="353"/>
      <c r="KJ11" s="353"/>
      <c r="KK11" s="354"/>
      <c r="KL11" s="352">
        <f>KE11+1</f>
        <v>42</v>
      </c>
      <c r="KM11" s="353"/>
      <c r="KN11" s="353"/>
      <c r="KO11" s="353"/>
      <c r="KP11" s="353"/>
      <c r="KQ11" s="353"/>
      <c r="KR11" s="354"/>
      <c r="KS11" s="352">
        <f>KL11+1</f>
        <v>43</v>
      </c>
      <c r="KT11" s="353"/>
      <c r="KU11" s="353"/>
      <c r="KV11" s="353"/>
      <c r="KW11" s="353"/>
      <c r="KX11" s="353"/>
      <c r="KY11" s="354"/>
      <c r="KZ11" s="352">
        <f>KS11+1</f>
        <v>44</v>
      </c>
      <c r="LA11" s="353"/>
      <c r="LB11" s="353"/>
      <c r="LC11" s="353"/>
      <c r="LD11" s="353"/>
      <c r="LE11" s="353"/>
      <c r="LF11" s="354"/>
      <c r="LG11" s="352">
        <f>KZ11+1</f>
        <v>45</v>
      </c>
      <c r="LH11" s="353"/>
      <c r="LI11" s="353"/>
      <c r="LJ11" s="353"/>
      <c r="LK11" s="353"/>
      <c r="LL11" s="353"/>
      <c r="LM11" s="354"/>
      <c r="LN11" s="352">
        <f>LG11+1</f>
        <v>46</v>
      </c>
      <c r="LO11" s="353"/>
      <c r="LP11" s="353"/>
      <c r="LQ11" s="353"/>
      <c r="LR11" s="353"/>
      <c r="LS11" s="353"/>
      <c r="LT11" s="354"/>
      <c r="LU11" s="352">
        <f>LN11+1</f>
        <v>47</v>
      </c>
      <c r="LV11" s="353"/>
      <c r="LW11" s="353"/>
      <c r="LX11" s="353"/>
      <c r="LY11" s="353"/>
      <c r="LZ11" s="353"/>
      <c r="MA11" s="354"/>
      <c r="MB11" s="352">
        <f>LU11+1</f>
        <v>48</v>
      </c>
      <c r="MC11" s="353"/>
      <c r="MD11" s="353"/>
      <c r="ME11" s="353"/>
      <c r="MF11" s="353"/>
      <c r="MG11" s="353"/>
      <c r="MH11" s="354"/>
      <c r="MI11" s="352">
        <f>MB11+1</f>
        <v>49</v>
      </c>
      <c r="MJ11" s="353"/>
      <c r="MK11" s="353"/>
      <c r="ML11" s="353"/>
      <c r="MM11" s="353"/>
      <c r="MN11" s="353"/>
      <c r="MO11" s="354"/>
      <c r="MP11" s="352">
        <f>MI11+1</f>
        <v>50</v>
      </c>
      <c r="MQ11" s="353"/>
      <c r="MR11" s="353"/>
      <c r="MS11" s="353"/>
      <c r="MT11" s="353"/>
      <c r="MU11" s="353"/>
      <c r="MV11" s="354"/>
      <c r="MW11" s="352">
        <f>MP11+1</f>
        <v>51</v>
      </c>
      <c r="MX11" s="353"/>
      <c r="MY11" s="353"/>
      <c r="MZ11" s="353"/>
      <c r="NA11" s="353"/>
      <c r="NB11" s="353"/>
      <c r="NC11" s="354"/>
      <c r="ND11" s="352">
        <f>MW11+1</f>
        <v>52</v>
      </c>
      <c r="NE11" s="353"/>
      <c r="NF11" s="353"/>
      <c r="NG11" s="353"/>
      <c r="NH11" s="353"/>
      <c r="NI11" s="353"/>
      <c r="NJ11" s="354"/>
      <c r="NK11" s="352">
        <f>ND11+1</f>
        <v>53</v>
      </c>
      <c r="NL11" s="353"/>
      <c r="NM11" s="353"/>
      <c r="NN11" s="353"/>
      <c r="NO11" s="353"/>
      <c r="NP11" s="353"/>
      <c r="NQ11" s="354"/>
      <c r="NR11" s="352">
        <f>NK11+1</f>
        <v>54</v>
      </c>
      <c r="NS11" s="353"/>
      <c r="NT11" s="353"/>
      <c r="NU11" s="353"/>
      <c r="NV11" s="353"/>
      <c r="NW11" s="353"/>
      <c r="NX11" s="354"/>
      <c r="NY11" s="352">
        <f>NR11+1</f>
        <v>55</v>
      </c>
      <c r="NZ11" s="353"/>
      <c r="OA11" s="353"/>
      <c r="OB11" s="353"/>
      <c r="OC11" s="353"/>
      <c r="OD11" s="353"/>
      <c r="OE11" s="354"/>
      <c r="OF11" s="352">
        <f>NY11+1</f>
        <v>56</v>
      </c>
      <c r="OG11" s="353"/>
      <c r="OH11" s="353"/>
      <c r="OI11" s="353"/>
      <c r="OJ11" s="353"/>
      <c r="OK11" s="353"/>
      <c r="OL11" s="354"/>
      <c r="OM11" s="352">
        <f>OF11+1</f>
        <v>57</v>
      </c>
      <c r="ON11" s="353"/>
      <c r="OO11" s="353"/>
      <c r="OP11" s="353"/>
      <c r="OQ11" s="353"/>
      <c r="OR11" s="353"/>
      <c r="OS11" s="354"/>
      <c r="OT11" s="352">
        <f>OM11+1</f>
        <v>58</v>
      </c>
      <c r="OU11" s="353"/>
      <c r="OV11" s="353"/>
      <c r="OW11" s="353"/>
      <c r="OX11" s="353"/>
      <c r="OY11" s="353"/>
      <c r="OZ11" s="354"/>
      <c r="PA11" s="352">
        <f>OT11+1</f>
        <v>59</v>
      </c>
      <c r="PB11" s="353"/>
      <c r="PC11" s="353"/>
      <c r="PD11" s="353"/>
      <c r="PE11" s="353"/>
      <c r="PF11" s="353"/>
      <c r="PG11" s="354"/>
      <c r="PH11" s="352">
        <f>PA11+1</f>
        <v>60</v>
      </c>
      <c r="PI11" s="353"/>
      <c r="PJ11" s="353"/>
      <c r="PK11" s="353"/>
      <c r="PL11" s="353"/>
      <c r="PM11" s="353"/>
      <c r="PN11" s="354"/>
      <c r="PO11" s="352">
        <f>PH11+1</f>
        <v>61</v>
      </c>
      <c r="PP11" s="353"/>
      <c r="PQ11" s="353"/>
      <c r="PR11" s="353"/>
      <c r="PS11" s="353"/>
      <c r="PT11" s="353"/>
      <c r="PU11" s="354"/>
      <c r="PV11" s="352">
        <f>PO11+1</f>
        <v>62</v>
      </c>
      <c r="PW11" s="353"/>
      <c r="PX11" s="353"/>
      <c r="PY11" s="353"/>
      <c r="PZ11" s="353"/>
      <c r="QA11" s="353"/>
      <c r="QB11" s="354"/>
      <c r="QC11" s="352">
        <f>PV11+1</f>
        <v>63</v>
      </c>
      <c r="QD11" s="353"/>
      <c r="QE11" s="353"/>
      <c r="QF11" s="353"/>
      <c r="QG11" s="353"/>
      <c r="QH11" s="353"/>
      <c r="QI11" s="354"/>
      <c r="QJ11" s="352">
        <f>QC11+1</f>
        <v>64</v>
      </c>
      <c r="QK11" s="353"/>
      <c r="QL11" s="353"/>
      <c r="QM11" s="353"/>
      <c r="QN11" s="353"/>
      <c r="QO11" s="353"/>
      <c r="QP11" s="354"/>
      <c r="QQ11" s="352">
        <f>QJ11+1</f>
        <v>65</v>
      </c>
      <c r="QR11" s="353"/>
      <c r="QS11" s="353"/>
      <c r="QT11" s="353"/>
      <c r="QU11" s="353"/>
      <c r="QV11" s="353"/>
      <c r="QW11" s="354"/>
      <c r="QX11" s="352">
        <f>QQ11+1</f>
        <v>66</v>
      </c>
      <c r="QY11" s="353"/>
      <c r="QZ11" s="353"/>
      <c r="RA11" s="353"/>
      <c r="RB11" s="353"/>
      <c r="RC11" s="353"/>
      <c r="RD11" s="354"/>
      <c r="RE11" s="352">
        <f>QX11+1</f>
        <v>67</v>
      </c>
      <c r="RF11" s="353"/>
      <c r="RG11" s="353"/>
      <c r="RH11" s="353"/>
      <c r="RI11" s="353"/>
      <c r="RJ11" s="353"/>
      <c r="RK11" s="354"/>
      <c r="RL11" s="352">
        <f>RE11+1</f>
        <v>68</v>
      </c>
      <c r="RM11" s="353"/>
      <c r="RN11" s="353"/>
      <c r="RO11" s="353"/>
      <c r="RP11" s="353"/>
      <c r="RQ11" s="353"/>
      <c r="RR11" s="354"/>
      <c r="RS11" s="352">
        <f>RL11+1</f>
        <v>69</v>
      </c>
      <c r="RT11" s="353"/>
      <c r="RU11" s="353"/>
      <c r="RV11" s="353"/>
      <c r="RW11" s="353"/>
      <c r="RX11" s="353"/>
      <c r="RY11" s="354"/>
      <c r="RZ11" s="352">
        <f>RS11+1</f>
        <v>70</v>
      </c>
      <c r="SA11" s="353"/>
      <c r="SB11" s="353"/>
      <c r="SC11" s="353"/>
      <c r="SD11" s="353"/>
      <c r="SE11" s="353"/>
      <c r="SF11" s="354"/>
      <c r="SG11" s="352">
        <f>RZ11+1</f>
        <v>71</v>
      </c>
      <c r="SH11" s="353"/>
      <c r="SI11" s="353"/>
      <c r="SJ11" s="353"/>
      <c r="SK11" s="353"/>
      <c r="SL11" s="353"/>
      <c r="SM11" s="354"/>
      <c r="SN11" s="352">
        <f>SG11+1</f>
        <v>72</v>
      </c>
      <c r="SO11" s="353"/>
      <c r="SP11" s="353"/>
      <c r="SQ11" s="353"/>
      <c r="SR11" s="353"/>
      <c r="SS11" s="353"/>
      <c r="ST11" s="354"/>
      <c r="SU11" s="352">
        <f>SN11+1</f>
        <v>73</v>
      </c>
      <c r="SV11" s="353"/>
      <c r="SW11" s="353"/>
      <c r="SX11" s="353"/>
      <c r="SY11" s="353"/>
      <c r="SZ11" s="353"/>
      <c r="TA11" s="354"/>
      <c r="TB11" s="352">
        <f>SU11+1</f>
        <v>74</v>
      </c>
      <c r="TC11" s="353"/>
      <c r="TD11" s="353"/>
      <c r="TE11" s="353"/>
      <c r="TF11" s="353"/>
      <c r="TG11" s="353"/>
      <c r="TH11" s="354"/>
      <c r="TI11" s="352">
        <f>TB11+1</f>
        <v>75</v>
      </c>
      <c r="TJ11" s="353"/>
      <c r="TK11" s="353"/>
      <c r="TL11" s="353"/>
      <c r="TM11" s="353"/>
      <c r="TN11" s="353"/>
      <c r="TO11" s="354"/>
      <c r="TP11" s="352">
        <f>TI11+1</f>
        <v>76</v>
      </c>
      <c r="TQ11" s="353"/>
      <c r="TR11" s="353"/>
      <c r="TS11" s="353"/>
      <c r="TT11" s="353"/>
      <c r="TU11" s="353"/>
      <c r="TV11" s="354"/>
      <c r="TW11" s="352">
        <f>TP11+1</f>
        <v>77</v>
      </c>
      <c r="TX11" s="353"/>
      <c r="TY11" s="353"/>
      <c r="TZ11" s="353"/>
      <c r="UA11" s="353"/>
      <c r="UB11" s="353"/>
      <c r="UC11" s="354"/>
      <c r="UD11" s="352">
        <f>TW11+1</f>
        <v>78</v>
      </c>
      <c r="UE11" s="353"/>
      <c r="UF11" s="353"/>
      <c r="UG11" s="353"/>
      <c r="UH11" s="353"/>
      <c r="UI11" s="353"/>
      <c r="UJ11" s="354"/>
      <c r="UK11" s="352">
        <f>UD11+1</f>
        <v>79</v>
      </c>
      <c r="UL11" s="353"/>
      <c r="UM11" s="353"/>
      <c r="UN11" s="353"/>
      <c r="UO11" s="353"/>
      <c r="UP11" s="353"/>
      <c r="UQ11" s="354"/>
      <c r="UR11" s="187"/>
      <c r="US11" s="188"/>
      <c r="VA11" s="186"/>
      <c r="VB11" s="186"/>
      <c r="VC11" s="186"/>
      <c r="VD11" s="186"/>
      <c r="VE11" s="186"/>
      <c r="VF11" s="186"/>
      <c r="VG11" s="186"/>
      <c r="VH11" s="186"/>
      <c r="VI11" s="186"/>
      <c r="VJ11" s="186"/>
      <c r="VK11" s="186"/>
      <c r="VL11" s="186"/>
      <c r="VM11" s="186"/>
      <c r="VN11" s="186"/>
      <c r="VO11" s="186"/>
    </row>
    <row r="12" spans="1:597" ht="15" customHeight="1" thickBot="1" x14ac:dyDescent="0.35">
      <c r="B12" s="329"/>
      <c r="C12" s="338"/>
      <c r="D12" s="338"/>
      <c r="E12" s="338"/>
      <c r="F12" s="189">
        <f>F11</f>
        <v>0</v>
      </c>
      <c r="G12" s="190">
        <f t="shared" ref="G12:BR12" ca="1" si="0">IF(G13="seg",OFFSET(G12,0,-1)+1,OFFSET(G12,0,-1))</f>
        <v>0</v>
      </c>
      <c r="H12" s="190">
        <f t="shared" ca="1" si="0"/>
        <v>0</v>
      </c>
      <c r="I12" s="190">
        <f t="shared" ca="1" si="0"/>
        <v>0</v>
      </c>
      <c r="J12" s="190">
        <f t="shared" ca="1" si="0"/>
        <v>0</v>
      </c>
      <c r="K12" s="190">
        <f t="shared" ca="1" si="0"/>
        <v>1</v>
      </c>
      <c r="L12" s="191">
        <f t="shared" ca="1" si="0"/>
        <v>1</v>
      </c>
      <c r="M12" s="190">
        <f t="shared" ca="1" si="0"/>
        <v>1</v>
      </c>
      <c r="N12" s="190">
        <f t="shared" ca="1" si="0"/>
        <v>1</v>
      </c>
      <c r="O12" s="190">
        <f t="shared" ca="1" si="0"/>
        <v>1</v>
      </c>
      <c r="P12" s="190">
        <f t="shared" ca="1" si="0"/>
        <v>1</v>
      </c>
      <c r="Q12" s="190">
        <f t="shared" ca="1" si="0"/>
        <v>1</v>
      </c>
      <c r="R12" s="190">
        <f t="shared" ca="1" si="0"/>
        <v>2</v>
      </c>
      <c r="S12" s="190">
        <f t="shared" ca="1" si="0"/>
        <v>2</v>
      </c>
      <c r="T12" s="190">
        <f t="shared" ca="1" si="0"/>
        <v>2</v>
      </c>
      <c r="U12" s="190">
        <f t="shared" ca="1" si="0"/>
        <v>2</v>
      </c>
      <c r="V12" s="190">
        <f t="shared" ca="1" si="0"/>
        <v>2</v>
      </c>
      <c r="W12" s="190">
        <f t="shared" ca="1" si="0"/>
        <v>2</v>
      </c>
      <c r="X12" s="190">
        <f t="shared" ca="1" si="0"/>
        <v>2</v>
      </c>
      <c r="Y12" s="190">
        <f t="shared" ca="1" si="0"/>
        <v>3</v>
      </c>
      <c r="Z12" s="190">
        <f t="shared" ca="1" si="0"/>
        <v>3</v>
      </c>
      <c r="AA12" s="190">
        <f t="shared" ca="1" si="0"/>
        <v>3</v>
      </c>
      <c r="AB12" s="190">
        <f t="shared" ca="1" si="0"/>
        <v>3</v>
      </c>
      <c r="AC12" s="190">
        <f t="shared" ca="1" si="0"/>
        <v>3</v>
      </c>
      <c r="AD12" s="190">
        <f t="shared" ca="1" si="0"/>
        <v>3</v>
      </c>
      <c r="AE12" s="190">
        <f t="shared" ca="1" si="0"/>
        <v>3</v>
      </c>
      <c r="AF12" s="190">
        <f t="shared" ca="1" si="0"/>
        <v>4</v>
      </c>
      <c r="AG12" s="190">
        <f t="shared" ca="1" si="0"/>
        <v>4</v>
      </c>
      <c r="AH12" s="190">
        <f t="shared" ca="1" si="0"/>
        <v>4</v>
      </c>
      <c r="AI12" s="190">
        <f t="shared" ca="1" si="0"/>
        <v>4</v>
      </c>
      <c r="AJ12" s="190">
        <f t="shared" ca="1" si="0"/>
        <v>4</v>
      </c>
      <c r="AK12" s="190">
        <f t="shared" ca="1" si="0"/>
        <v>4</v>
      </c>
      <c r="AL12" s="190">
        <f t="shared" ca="1" si="0"/>
        <v>4</v>
      </c>
      <c r="AM12" s="190">
        <f t="shared" ca="1" si="0"/>
        <v>5</v>
      </c>
      <c r="AN12" s="190">
        <f t="shared" ca="1" si="0"/>
        <v>5</v>
      </c>
      <c r="AO12" s="190">
        <f t="shared" ca="1" si="0"/>
        <v>5</v>
      </c>
      <c r="AP12" s="190">
        <f t="shared" ca="1" si="0"/>
        <v>5</v>
      </c>
      <c r="AQ12" s="190">
        <f t="shared" ca="1" si="0"/>
        <v>5</v>
      </c>
      <c r="AR12" s="190">
        <f t="shared" ca="1" si="0"/>
        <v>5</v>
      </c>
      <c r="AS12" s="190">
        <f t="shared" ca="1" si="0"/>
        <v>5</v>
      </c>
      <c r="AT12" s="190">
        <f t="shared" ca="1" si="0"/>
        <v>6</v>
      </c>
      <c r="AU12" s="190">
        <f t="shared" ca="1" si="0"/>
        <v>6</v>
      </c>
      <c r="AV12" s="190">
        <f t="shared" ca="1" si="0"/>
        <v>6</v>
      </c>
      <c r="AW12" s="190">
        <f t="shared" ca="1" si="0"/>
        <v>6</v>
      </c>
      <c r="AX12" s="190">
        <f t="shared" ca="1" si="0"/>
        <v>6</v>
      </c>
      <c r="AY12" s="190">
        <f t="shared" ca="1" si="0"/>
        <v>6</v>
      </c>
      <c r="AZ12" s="190">
        <f t="shared" ca="1" si="0"/>
        <v>6</v>
      </c>
      <c r="BA12" s="190">
        <f t="shared" ca="1" si="0"/>
        <v>7</v>
      </c>
      <c r="BB12" s="190">
        <f t="shared" ca="1" si="0"/>
        <v>7</v>
      </c>
      <c r="BC12" s="190">
        <f t="shared" ca="1" si="0"/>
        <v>7</v>
      </c>
      <c r="BD12" s="190">
        <f t="shared" ca="1" si="0"/>
        <v>7</v>
      </c>
      <c r="BE12" s="190">
        <f t="shared" ca="1" si="0"/>
        <v>7</v>
      </c>
      <c r="BF12" s="190">
        <f t="shared" ca="1" si="0"/>
        <v>7</v>
      </c>
      <c r="BG12" s="190">
        <f t="shared" ca="1" si="0"/>
        <v>7</v>
      </c>
      <c r="BH12" s="190">
        <f t="shared" ca="1" si="0"/>
        <v>8</v>
      </c>
      <c r="BI12" s="190">
        <f t="shared" ca="1" si="0"/>
        <v>8</v>
      </c>
      <c r="BJ12" s="190">
        <f t="shared" ca="1" si="0"/>
        <v>8</v>
      </c>
      <c r="BK12" s="190">
        <f t="shared" ca="1" si="0"/>
        <v>8</v>
      </c>
      <c r="BL12" s="190">
        <f t="shared" ca="1" si="0"/>
        <v>8</v>
      </c>
      <c r="BM12" s="190">
        <f t="shared" ca="1" si="0"/>
        <v>8</v>
      </c>
      <c r="BN12" s="190">
        <f t="shared" ca="1" si="0"/>
        <v>8</v>
      </c>
      <c r="BO12" s="190">
        <f t="shared" ca="1" si="0"/>
        <v>9</v>
      </c>
      <c r="BP12" s="190">
        <f t="shared" ca="1" si="0"/>
        <v>9</v>
      </c>
      <c r="BQ12" s="190">
        <f t="shared" ca="1" si="0"/>
        <v>9</v>
      </c>
      <c r="BR12" s="190">
        <f t="shared" ca="1" si="0"/>
        <v>9</v>
      </c>
      <c r="BS12" s="190">
        <f t="shared" ref="BS12:ED12" ca="1" si="1">IF(BS13="seg",OFFSET(BS12,0,-1)+1,OFFSET(BS12,0,-1))</f>
        <v>9</v>
      </c>
      <c r="BT12" s="190">
        <f t="shared" ca="1" si="1"/>
        <v>9</v>
      </c>
      <c r="BU12" s="190">
        <f t="shared" ca="1" si="1"/>
        <v>9</v>
      </c>
      <c r="BV12" s="190">
        <f t="shared" ca="1" si="1"/>
        <v>10</v>
      </c>
      <c r="BW12" s="190">
        <f t="shared" ca="1" si="1"/>
        <v>10</v>
      </c>
      <c r="BX12" s="190">
        <f t="shared" ca="1" si="1"/>
        <v>10</v>
      </c>
      <c r="BY12" s="190">
        <f t="shared" ca="1" si="1"/>
        <v>10</v>
      </c>
      <c r="BZ12" s="190">
        <f t="shared" ca="1" si="1"/>
        <v>10</v>
      </c>
      <c r="CA12" s="190">
        <f t="shared" ca="1" si="1"/>
        <v>10</v>
      </c>
      <c r="CB12" s="190">
        <f t="shared" ca="1" si="1"/>
        <v>10</v>
      </c>
      <c r="CC12" s="190">
        <f t="shared" ca="1" si="1"/>
        <v>11</v>
      </c>
      <c r="CD12" s="190">
        <f t="shared" ca="1" si="1"/>
        <v>11</v>
      </c>
      <c r="CE12" s="190">
        <f t="shared" ca="1" si="1"/>
        <v>11</v>
      </c>
      <c r="CF12" s="190">
        <f t="shared" ca="1" si="1"/>
        <v>11</v>
      </c>
      <c r="CG12" s="190">
        <f t="shared" ca="1" si="1"/>
        <v>11</v>
      </c>
      <c r="CH12" s="190">
        <f t="shared" ca="1" si="1"/>
        <v>11</v>
      </c>
      <c r="CI12" s="190">
        <f t="shared" ca="1" si="1"/>
        <v>11</v>
      </c>
      <c r="CJ12" s="190">
        <f t="shared" ca="1" si="1"/>
        <v>12</v>
      </c>
      <c r="CK12" s="190">
        <f t="shared" ca="1" si="1"/>
        <v>12</v>
      </c>
      <c r="CL12" s="190">
        <f t="shared" ca="1" si="1"/>
        <v>12</v>
      </c>
      <c r="CM12" s="190">
        <f t="shared" ca="1" si="1"/>
        <v>12</v>
      </c>
      <c r="CN12" s="190">
        <f t="shared" ca="1" si="1"/>
        <v>12</v>
      </c>
      <c r="CO12" s="190">
        <f t="shared" ca="1" si="1"/>
        <v>12</v>
      </c>
      <c r="CP12" s="190">
        <f t="shared" ca="1" si="1"/>
        <v>12</v>
      </c>
      <c r="CQ12" s="190">
        <f t="shared" ca="1" si="1"/>
        <v>13</v>
      </c>
      <c r="CR12" s="190">
        <f t="shared" ca="1" si="1"/>
        <v>13</v>
      </c>
      <c r="CS12" s="190">
        <f t="shared" ca="1" si="1"/>
        <v>13</v>
      </c>
      <c r="CT12" s="190">
        <f t="shared" ca="1" si="1"/>
        <v>13</v>
      </c>
      <c r="CU12" s="190">
        <f t="shared" ca="1" si="1"/>
        <v>13</v>
      </c>
      <c r="CV12" s="190">
        <f t="shared" ca="1" si="1"/>
        <v>13</v>
      </c>
      <c r="CW12" s="190">
        <f t="shared" ca="1" si="1"/>
        <v>13</v>
      </c>
      <c r="CX12" s="190">
        <f t="shared" ca="1" si="1"/>
        <v>14</v>
      </c>
      <c r="CY12" s="190">
        <f t="shared" ca="1" si="1"/>
        <v>14</v>
      </c>
      <c r="CZ12" s="190">
        <f t="shared" ca="1" si="1"/>
        <v>14</v>
      </c>
      <c r="DA12" s="190">
        <f t="shared" ca="1" si="1"/>
        <v>14</v>
      </c>
      <c r="DB12" s="190">
        <f t="shared" ca="1" si="1"/>
        <v>14</v>
      </c>
      <c r="DC12" s="190">
        <f t="shared" ca="1" si="1"/>
        <v>14</v>
      </c>
      <c r="DD12" s="190">
        <f t="shared" ca="1" si="1"/>
        <v>14</v>
      </c>
      <c r="DE12" s="190">
        <f t="shared" ca="1" si="1"/>
        <v>15</v>
      </c>
      <c r="DF12" s="190">
        <f t="shared" ca="1" si="1"/>
        <v>15</v>
      </c>
      <c r="DG12" s="190">
        <f t="shared" ca="1" si="1"/>
        <v>15</v>
      </c>
      <c r="DH12" s="190">
        <f t="shared" ca="1" si="1"/>
        <v>15</v>
      </c>
      <c r="DI12" s="190">
        <f t="shared" ca="1" si="1"/>
        <v>15</v>
      </c>
      <c r="DJ12" s="190">
        <f t="shared" ca="1" si="1"/>
        <v>15</v>
      </c>
      <c r="DK12" s="190">
        <f t="shared" ca="1" si="1"/>
        <v>15</v>
      </c>
      <c r="DL12" s="190">
        <f t="shared" ca="1" si="1"/>
        <v>16</v>
      </c>
      <c r="DM12" s="190">
        <f t="shared" ca="1" si="1"/>
        <v>16</v>
      </c>
      <c r="DN12" s="190">
        <f t="shared" ca="1" si="1"/>
        <v>16</v>
      </c>
      <c r="DO12" s="190">
        <f t="shared" ca="1" si="1"/>
        <v>16</v>
      </c>
      <c r="DP12" s="190">
        <f t="shared" ca="1" si="1"/>
        <v>16</v>
      </c>
      <c r="DQ12" s="190">
        <f t="shared" ca="1" si="1"/>
        <v>16</v>
      </c>
      <c r="DR12" s="190">
        <f t="shared" ca="1" si="1"/>
        <v>16</v>
      </c>
      <c r="DS12" s="190">
        <f t="shared" ca="1" si="1"/>
        <v>17</v>
      </c>
      <c r="DT12" s="190">
        <f t="shared" ca="1" si="1"/>
        <v>17</v>
      </c>
      <c r="DU12" s="190">
        <f t="shared" ca="1" si="1"/>
        <v>17</v>
      </c>
      <c r="DV12" s="190">
        <f t="shared" ca="1" si="1"/>
        <v>17</v>
      </c>
      <c r="DW12" s="190">
        <f t="shared" ca="1" si="1"/>
        <v>17</v>
      </c>
      <c r="DX12" s="190">
        <f t="shared" ca="1" si="1"/>
        <v>17</v>
      </c>
      <c r="DY12" s="190">
        <f t="shared" ca="1" si="1"/>
        <v>17</v>
      </c>
      <c r="DZ12" s="190">
        <f t="shared" ca="1" si="1"/>
        <v>18</v>
      </c>
      <c r="EA12" s="190">
        <f t="shared" ca="1" si="1"/>
        <v>18</v>
      </c>
      <c r="EB12" s="190">
        <f t="shared" ca="1" si="1"/>
        <v>18</v>
      </c>
      <c r="EC12" s="190">
        <f t="shared" ca="1" si="1"/>
        <v>18</v>
      </c>
      <c r="ED12" s="190">
        <f t="shared" ca="1" si="1"/>
        <v>18</v>
      </c>
      <c r="EE12" s="190">
        <f t="shared" ref="EE12:GP12" ca="1" si="2">IF(EE13="seg",OFFSET(EE12,0,-1)+1,OFFSET(EE12,0,-1))</f>
        <v>18</v>
      </c>
      <c r="EF12" s="190">
        <f t="shared" ca="1" si="2"/>
        <v>18</v>
      </c>
      <c r="EG12" s="190">
        <f t="shared" ca="1" si="2"/>
        <v>19</v>
      </c>
      <c r="EH12" s="190">
        <f t="shared" ca="1" si="2"/>
        <v>19</v>
      </c>
      <c r="EI12" s="190">
        <f t="shared" ca="1" si="2"/>
        <v>19</v>
      </c>
      <c r="EJ12" s="190">
        <f t="shared" ca="1" si="2"/>
        <v>19</v>
      </c>
      <c r="EK12" s="190">
        <f t="shared" ca="1" si="2"/>
        <v>19</v>
      </c>
      <c r="EL12" s="190">
        <f t="shared" ca="1" si="2"/>
        <v>19</v>
      </c>
      <c r="EM12" s="190">
        <f t="shared" ca="1" si="2"/>
        <v>19</v>
      </c>
      <c r="EN12" s="190">
        <f t="shared" ca="1" si="2"/>
        <v>20</v>
      </c>
      <c r="EO12" s="190">
        <f t="shared" ca="1" si="2"/>
        <v>20</v>
      </c>
      <c r="EP12" s="190">
        <f t="shared" ca="1" si="2"/>
        <v>20</v>
      </c>
      <c r="EQ12" s="190">
        <f t="shared" ca="1" si="2"/>
        <v>20</v>
      </c>
      <c r="ER12" s="190">
        <f t="shared" ca="1" si="2"/>
        <v>20</v>
      </c>
      <c r="ES12" s="190">
        <f t="shared" ca="1" si="2"/>
        <v>20</v>
      </c>
      <c r="ET12" s="190">
        <f t="shared" ca="1" si="2"/>
        <v>20</v>
      </c>
      <c r="EU12" s="190">
        <f t="shared" ca="1" si="2"/>
        <v>21</v>
      </c>
      <c r="EV12" s="190">
        <f t="shared" ca="1" si="2"/>
        <v>21</v>
      </c>
      <c r="EW12" s="190">
        <f t="shared" ca="1" si="2"/>
        <v>21</v>
      </c>
      <c r="EX12" s="190">
        <f t="shared" ca="1" si="2"/>
        <v>21</v>
      </c>
      <c r="EY12" s="190">
        <f t="shared" ca="1" si="2"/>
        <v>21</v>
      </c>
      <c r="EZ12" s="190">
        <f t="shared" ca="1" si="2"/>
        <v>21</v>
      </c>
      <c r="FA12" s="190">
        <f t="shared" ca="1" si="2"/>
        <v>21</v>
      </c>
      <c r="FB12" s="192">
        <f t="shared" ca="1" si="2"/>
        <v>22</v>
      </c>
      <c r="FC12" s="190">
        <f t="shared" ca="1" si="2"/>
        <v>22</v>
      </c>
      <c r="FD12" s="190">
        <f t="shared" ca="1" si="2"/>
        <v>22</v>
      </c>
      <c r="FE12" s="190">
        <f t="shared" ca="1" si="2"/>
        <v>22</v>
      </c>
      <c r="FF12" s="190">
        <f t="shared" ca="1" si="2"/>
        <v>22</v>
      </c>
      <c r="FG12" s="190">
        <f t="shared" ca="1" si="2"/>
        <v>22</v>
      </c>
      <c r="FH12" s="190">
        <f t="shared" ca="1" si="2"/>
        <v>22</v>
      </c>
      <c r="FI12" s="190">
        <f t="shared" ca="1" si="2"/>
        <v>23</v>
      </c>
      <c r="FJ12" s="190">
        <f t="shared" ca="1" si="2"/>
        <v>23</v>
      </c>
      <c r="FK12" s="190">
        <f t="shared" ca="1" si="2"/>
        <v>23</v>
      </c>
      <c r="FL12" s="190">
        <f t="shared" ca="1" si="2"/>
        <v>23</v>
      </c>
      <c r="FM12" s="190">
        <f t="shared" ca="1" si="2"/>
        <v>23</v>
      </c>
      <c r="FN12" s="190">
        <f t="shared" ca="1" si="2"/>
        <v>23</v>
      </c>
      <c r="FO12" s="190">
        <f t="shared" ca="1" si="2"/>
        <v>23</v>
      </c>
      <c r="FP12" s="190">
        <f t="shared" ca="1" si="2"/>
        <v>24</v>
      </c>
      <c r="FQ12" s="190">
        <f t="shared" ca="1" si="2"/>
        <v>24</v>
      </c>
      <c r="FR12" s="190">
        <f t="shared" ca="1" si="2"/>
        <v>24</v>
      </c>
      <c r="FS12" s="190">
        <f t="shared" ca="1" si="2"/>
        <v>24</v>
      </c>
      <c r="FT12" s="190">
        <f t="shared" ca="1" si="2"/>
        <v>24</v>
      </c>
      <c r="FU12" s="190">
        <f t="shared" ca="1" si="2"/>
        <v>24</v>
      </c>
      <c r="FV12" s="190">
        <f t="shared" ca="1" si="2"/>
        <v>24</v>
      </c>
      <c r="FW12" s="190">
        <f t="shared" ca="1" si="2"/>
        <v>25</v>
      </c>
      <c r="FX12" s="190">
        <f t="shared" ca="1" si="2"/>
        <v>25</v>
      </c>
      <c r="FY12" s="190">
        <f t="shared" ca="1" si="2"/>
        <v>25</v>
      </c>
      <c r="FZ12" s="190">
        <f t="shared" ca="1" si="2"/>
        <v>25</v>
      </c>
      <c r="GA12" s="190">
        <f t="shared" ca="1" si="2"/>
        <v>25</v>
      </c>
      <c r="GB12" s="190">
        <f t="shared" ca="1" si="2"/>
        <v>25</v>
      </c>
      <c r="GC12" s="190">
        <f t="shared" ca="1" si="2"/>
        <v>25</v>
      </c>
      <c r="GD12" s="190">
        <f t="shared" ca="1" si="2"/>
        <v>26</v>
      </c>
      <c r="GE12" s="190">
        <f t="shared" ca="1" si="2"/>
        <v>26</v>
      </c>
      <c r="GF12" s="190">
        <f t="shared" ca="1" si="2"/>
        <v>26</v>
      </c>
      <c r="GG12" s="190">
        <f t="shared" ca="1" si="2"/>
        <v>26</v>
      </c>
      <c r="GH12" s="190">
        <f t="shared" ca="1" si="2"/>
        <v>26</v>
      </c>
      <c r="GI12" s="190">
        <f t="shared" ca="1" si="2"/>
        <v>26</v>
      </c>
      <c r="GJ12" s="190">
        <f t="shared" ca="1" si="2"/>
        <v>26</v>
      </c>
      <c r="GK12" s="190">
        <f t="shared" ca="1" si="2"/>
        <v>27</v>
      </c>
      <c r="GL12" s="190">
        <f t="shared" ca="1" si="2"/>
        <v>27</v>
      </c>
      <c r="GM12" s="190">
        <f t="shared" ca="1" si="2"/>
        <v>27</v>
      </c>
      <c r="GN12" s="190">
        <f t="shared" ca="1" si="2"/>
        <v>27</v>
      </c>
      <c r="GO12" s="190">
        <f t="shared" ca="1" si="2"/>
        <v>27</v>
      </c>
      <c r="GP12" s="190">
        <f t="shared" ca="1" si="2"/>
        <v>27</v>
      </c>
      <c r="GQ12" s="190">
        <f t="shared" ref="GQ12:JB12" ca="1" si="3">IF(GQ13="seg",OFFSET(GQ12,0,-1)+1,OFFSET(GQ12,0,-1))</f>
        <v>27</v>
      </c>
      <c r="GR12" s="190">
        <f t="shared" ca="1" si="3"/>
        <v>28</v>
      </c>
      <c r="GS12" s="190">
        <f t="shared" ca="1" si="3"/>
        <v>28</v>
      </c>
      <c r="GT12" s="190">
        <f t="shared" ca="1" si="3"/>
        <v>28</v>
      </c>
      <c r="GU12" s="190">
        <f t="shared" ca="1" si="3"/>
        <v>28</v>
      </c>
      <c r="GV12" s="190">
        <f t="shared" ca="1" si="3"/>
        <v>28</v>
      </c>
      <c r="GW12" s="190">
        <f t="shared" ca="1" si="3"/>
        <v>28</v>
      </c>
      <c r="GX12" s="190">
        <f t="shared" ca="1" si="3"/>
        <v>28</v>
      </c>
      <c r="GY12" s="190">
        <f t="shared" ca="1" si="3"/>
        <v>29</v>
      </c>
      <c r="GZ12" s="190">
        <f t="shared" ca="1" si="3"/>
        <v>29</v>
      </c>
      <c r="HA12" s="190">
        <f t="shared" ca="1" si="3"/>
        <v>29</v>
      </c>
      <c r="HB12" s="190">
        <f t="shared" ca="1" si="3"/>
        <v>29</v>
      </c>
      <c r="HC12" s="190">
        <f t="shared" ca="1" si="3"/>
        <v>29</v>
      </c>
      <c r="HD12" s="190">
        <f t="shared" ca="1" si="3"/>
        <v>29</v>
      </c>
      <c r="HE12" s="190">
        <f t="shared" ca="1" si="3"/>
        <v>29</v>
      </c>
      <c r="HF12" s="190">
        <f t="shared" ca="1" si="3"/>
        <v>30</v>
      </c>
      <c r="HG12" s="190">
        <f t="shared" ca="1" si="3"/>
        <v>30</v>
      </c>
      <c r="HH12" s="190">
        <f t="shared" ca="1" si="3"/>
        <v>30</v>
      </c>
      <c r="HI12" s="190">
        <f t="shared" ca="1" si="3"/>
        <v>30</v>
      </c>
      <c r="HJ12" s="190">
        <f t="shared" ca="1" si="3"/>
        <v>30</v>
      </c>
      <c r="HK12" s="190">
        <f t="shared" ca="1" si="3"/>
        <v>30</v>
      </c>
      <c r="HL12" s="190">
        <f t="shared" ca="1" si="3"/>
        <v>30</v>
      </c>
      <c r="HM12" s="190">
        <f t="shared" ca="1" si="3"/>
        <v>31</v>
      </c>
      <c r="HN12" s="190">
        <f t="shared" ca="1" si="3"/>
        <v>31</v>
      </c>
      <c r="HO12" s="190">
        <f t="shared" ca="1" si="3"/>
        <v>31</v>
      </c>
      <c r="HP12" s="190">
        <f t="shared" ca="1" si="3"/>
        <v>31</v>
      </c>
      <c r="HQ12" s="190">
        <f t="shared" ca="1" si="3"/>
        <v>31</v>
      </c>
      <c r="HR12" s="190">
        <f t="shared" ca="1" si="3"/>
        <v>31</v>
      </c>
      <c r="HS12" s="190">
        <f t="shared" ca="1" si="3"/>
        <v>31</v>
      </c>
      <c r="HT12" s="190">
        <f t="shared" ca="1" si="3"/>
        <v>32</v>
      </c>
      <c r="HU12" s="190">
        <f t="shared" ca="1" si="3"/>
        <v>32</v>
      </c>
      <c r="HV12" s="190">
        <f t="shared" ca="1" si="3"/>
        <v>32</v>
      </c>
      <c r="HW12" s="190">
        <f t="shared" ca="1" si="3"/>
        <v>32</v>
      </c>
      <c r="HX12" s="190">
        <f t="shared" ca="1" si="3"/>
        <v>32</v>
      </c>
      <c r="HY12" s="190">
        <f t="shared" ca="1" si="3"/>
        <v>32</v>
      </c>
      <c r="HZ12" s="190">
        <f t="shared" ca="1" si="3"/>
        <v>32</v>
      </c>
      <c r="IA12" s="190">
        <f t="shared" ca="1" si="3"/>
        <v>33</v>
      </c>
      <c r="IB12" s="190">
        <f t="shared" ca="1" si="3"/>
        <v>33</v>
      </c>
      <c r="IC12" s="190">
        <f t="shared" ca="1" si="3"/>
        <v>33</v>
      </c>
      <c r="ID12" s="190">
        <f t="shared" ca="1" si="3"/>
        <v>33</v>
      </c>
      <c r="IE12" s="190">
        <f t="shared" ca="1" si="3"/>
        <v>33</v>
      </c>
      <c r="IF12" s="190">
        <f t="shared" ca="1" si="3"/>
        <v>33</v>
      </c>
      <c r="IG12" s="190">
        <f t="shared" ca="1" si="3"/>
        <v>33</v>
      </c>
      <c r="IH12" s="190">
        <f t="shared" ca="1" si="3"/>
        <v>34</v>
      </c>
      <c r="II12" s="190">
        <f t="shared" ca="1" si="3"/>
        <v>34</v>
      </c>
      <c r="IJ12" s="190">
        <f t="shared" ca="1" si="3"/>
        <v>34</v>
      </c>
      <c r="IK12" s="190">
        <f t="shared" ca="1" si="3"/>
        <v>34</v>
      </c>
      <c r="IL12" s="190">
        <f t="shared" ca="1" si="3"/>
        <v>34</v>
      </c>
      <c r="IM12" s="190">
        <f t="shared" ca="1" si="3"/>
        <v>34</v>
      </c>
      <c r="IN12" s="190">
        <f t="shared" ca="1" si="3"/>
        <v>34</v>
      </c>
      <c r="IO12" s="190">
        <f t="shared" ca="1" si="3"/>
        <v>35</v>
      </c>
      <c r="IP12" s="190">
        <f t="shared" ca="1" si="3"/>
        <v>35</v>
      </c>
      <c r="IQ12" s="190">
        <f t="shared" ca="1" si="3"/>
        <v>35</v>
      </c>
      <c r="IR12" s="190">
        <f t="shared" ca="1" si="3"/>
        <v>35</v>
      </c>
      <c r="IS12" s="190">
        <f t="shared" ca="1" si="3"/>
        <v>35</v>
      </c>
      <c r="IT12" s="190">
        <f t="shared" ca="1" si="3"/>
        <v>35</v>
      </c>
      <c r="IU12" s="190">
        <f t="shared" ca="1" si="3"/>
        <v>35</v>
      </c>
      <c r="IV12" s="190">
        <f t="shared" ca="1" si="3"/>
        <v>36</v>
      </c>
      <c r="IW12" s="190">
        <f t="shared" ca="1" si="3"/>
        <v>36</v>
      </c>
      <c r="IX12" s="190">
        <f t="shared" ca="1" si="3"/>
        <v>36</v>
      </c>
      <c r="IY12" s="190">
        <f t="shared" ca="1" si="3"/>
        <v>36</v>
      </c>
      <c r="IZ12" s="190">
        <f t="shared" ca="1" si="3"/>
        <v>36</v>
      </c>
      <c r="JA12" s="190">
        <f t="shared" ca="1" si="3"/>
        <v>36</v>
      </c>
      <c r="JB12" s="190">
        <f t="shared" ca="1" si="3"/>
        <v>36</v>
      </c>
      <c r="JC12" s="190">
        <f t="shared" ref="JC12:LN12" ca="1" si="4">IF(JC13="seg",OFFSET(JC12,0,-1)+1,OFFSET(JC12,0,-1))</f>
        <v>37</v>
      </c>
      <c r="JD12" s="190">
        <f t="shared" ca="1" si="4"/>
        <v>37</v>
      </c>
      <c r="JE12" s="190">
        <f t="shared" ca="1" si="4"/>
        <v>37</v>
      </c>
      <c r="JF12" s="190">
        <f t="shared" ca="1" si="4"/>
        <v>37</v>
      </c>
      <c r="JG12" s="190">
        <f t="shared" ca="1" si="4"/>
        <v>37</v>
      </c>
      <c r="JH12" s="190">
        <f t="shared" ca="1" si="4"/>
        <v>37</v>
      </c>
      <c r="JI12" s="190">
        <f t="shared" ca="1" si="4"/>
        <v>37</v>
      </c>
      <c r="JJ12" s="190">
        <f t="shared" ca="1" si="4"/>
        <v>38</v>
      </c>
      <c r="JK12" s="190">
        <f t="shared" ca="1" si="4"/>
        <v>38</v>
      </c>
      <c r="JL12" s="190">
        <f t="shared" ca="1" si="4"/>
        <v>38</v>
      </c>
      <c r="JM12" s="190">
        <f t="shared" ca="1" si="4"/>
        <v>38</v>
      </c>
      <c r="JN12" s="190">
        <f t="shared" ca="1" si="4"/>
        <v>38</v>
      </c>
      <c r="JO12" s="190">
        <f t="shared" ca="1" si="4"/>
        <v>38</v>
      </c>
      <c r="JP12" s="190">
        <f t="shared" ca="1" si="4"/>
        <v>38</v>
      </c>
      <c r="JQ12" s="190">
        <f t="shared" ca="1" si="4"/>
        <v>39</v>
      </c>
      <c r="JR12" s="190">
        <f t="shared" ca="1" si="4"/>
        <v>39</v>
      </c>
      <c r="JS12" s="190">
        <f t="shared" ca="1" si="4"/>
        <v>39</v>
      </c>
      <c r="JT12" s="190">
        <f t="shared" ca="1" si="4"/>
        <v>39</v>
      </c>
      <c r="JU12" s="190">
        <f t="shared" ca="1" si="4"/>
        <v>39</v>
      </c>
      <c r="JV12" s="190">
        <f t="shared" ca="1" si="4"/>
        <v>39</v>
      </c>
      <c r="JW12" s="190">
        <f t="shared" ca="1" si="4"/>
        <v>39</v>
      </c>
      <c r="JX12" s="190">
        <f t="shared" ca="1" si="4"/>
        <v>40</v>
      </c>
      <c r="JY12" s="190">
        <f t="shared" ca="1" si="4"/>
        <v>40</v>
      </c>
      <c r="JZ12" s="190">
        <f t="shared" ca="1" si="4"/>
        <v>40</v>
      </c>
      <c r="KA12" s="190">
        <f t="shared" ca="1" si="4"/>
        <v>40</v>
      </c>
      <c r="KB12" s="190">
        <f t="shared" ca="1" si="4"/>
        <v>40</v>
      </c>
      <c r="KC12" s="190">
        <f t="shared" ca="1" si="4"/>
        <v>40</v>
      </c>
      <c r="KD12" s="190">
        <f t="shared" ca="1" si="4"/>
        <v>40</v>
      </c>
      <c r="KE12" s="190">
        <f t="shared" ca="1" si="4"/>
        <v>41</v>
      </c>
      <c r="KF12" s="190">
        <f t="shared" ca="1" si="4"/>
        <v>41</v>
      </c>
      <c r="KG12" s="190">
        <f t="shared" ca="1" si="4"/>
        <v>41</v>
      </c>
      <c r="KH12" s="190">
        <f t="shared" ca="1" si="4"/>
        <v>41</v>
      </c>
      <c r="KI12" s="190">
        <f t="shared" ca="1" si="4"/>
        <v>41</v>
      </c>
      <c r="KJ12" s="190">
        <f t="shared" ca="1" si="4"/>
        <v>41</v>
      </c>
      <c r="KK12" s="190">
        <f t="shared" ca="1" si="4"/>
        <v>41</v>
      </c>
      <c r="KL12" s="190">
        <f t="shared" ca="1" si="4"/>
        <v>42</v>
      </c>
      <c r="KM12" s="190">
        <f t="shared" ca="1" si="4"/>
        <v>42</v>
      </c>
      <c r="KN12" s="190">
        <f t="shared" ca="1" si="4"/>
        <v>42</v>
      </c>
      <c r="KO12" s="190">
        <f t="shared" ca="1" si="4"/>
        <v>42</v>
      </c>
      <c r="KP12" s="190">
        <f t="shared" ca="1" si="4"/>
        <v>42</v>
      </c>
      <c r="KQ12" s="190">
        <f t="shared" ca="1" si="4"/>
        <v>42</v>
      </c>
      <c r="KR12" s="190">
        <f t="shared" ca="1" si="4"/>
        <v>42</v>
      </c>
      <c r="KS12" s="190">
        <f t="shared" ca="1" si="4"/>
        <v>43</v>
      </c>
      <c r="KT12" s="190">
        <f t="shared" ca="1" si="4"/>
        <v>43</v>
      </c>
      <c r="KU12" s="190">
        <f t="shared" ca="1" si="4"/>
        <v>43</v>
      </c>
      <c r="KV12" s="190">
        <f t="shared" ca="1" si="4"/>
        <v>43</v>
      </c>
      <c r="KW12" s="190">
        <f t="shared" ca="1" si="4"/>
        <v>43</v>
      </c>
      <c r="KX12" s="190">
        <f t="shared" ca="1" si="4"/>
        <v>43</v>
      </c>
      <c r="KY12" s="190">
        <f t="shared" ca="1" si="4"/>
        <v>43</v>
      </c>
      <c r="KZ12" s="190">
        <f t="shared" ca="1" si="4"/>
        <v>44</v>
      </c>
      <c r="LA12" s="190">
        <f t="shared" ca="1" si="4"/>
        <v>44</v>
      </c>
      <c r="LB12" s="190">
        <f t="shared" ca="1" si="4"/>
        <v>44</v>
      </c>
      <c r="LC12" s="190">
        <f t="shared" ca="1" si="4"/>
        <v>44</v>
      </c>
      <c r="LD12" s="190">
        <f t="shared" ca="1" si="4"/>
        <v>44</v>
      </c>
      <c r="LE12" s="190">
        <f t="shared" ca="1" si="4"/>
        <v>44</v>
      </c>
      <c r="LF12" s="190">
        <f t="shared" ca="1" si="4"/>
        <v>44</v>
      </c>
      <c r="LG12" s="190">
        <f t="shared" ca="1" si="4"/>
        <v>45</v>
      </c>
      <c r="LH12" s="190">
        <f t="shared" ca="1" si="4"/>
        <v>45</v>
      </c>
      <c r="LI12" s="190">
        <f t="shared" ca="1" si="4"/>
        <v>45</v>
      </c>
      <c r="LJ12" s="190">
        <f t="shared" ca="1" si="4"/>
        <v>45</v>
      </c>
      <c r="LK12" s="190">
        <f t="shared" ca="1" si="4"/>
        <v>45</v>
      </c>
      <c r="LL12" s="190">
        <f t="shared" ca="1" si="4"/>
        <v>45</v>
      </c>
      <c r="LM12" s="190">
        <f t="shared" ca="1" si="4"/>
        <v>45</v>
      </c>
      <c r="LN12" s="190">
        <f t="shared" ca="1" si="4"/>
        <v>46</v>
      </c>
      <c r="LO12" s="190">
        <f t="shared" ref="LO12:NZ12" ca="1" si="5">IF(LO13="seg",OFFSET(LO12,0,-1)+1,OFFSET(LO12,0,-1))</f>
        <v>46</v>
      </c>
      <c r="LP12" s="190">
        <f t="shared" ca="1" si="5"/>
        <v>46</v>
      </c>
      <c r="LQ12" s="190">
        <f t="shared" ca="1" si="5"/>
        <v>46</v>
      </c>
      <c r="LR12" s="190">
        <f t="shared" ca="1" si="5"/>
        <v>46</v>
      </c>
      <c r="LS12" s="190">
        <f t="shared" ca="1" si="5"/>
        <v>46</v>
      </c>
      <c r="LT12" s="190">
        <f t="shared" ca="1" si="5"/>
        <v>46</v>
      </c>
      <c r="LU12" s="190">
        <f t="shared" ca="1" si="5"/>
        <v>47</v>
      </c>
      <c r="LV12" s="190">
        <f t="shared" ca="1" si="5"/>
        <v>47</v>
      </c>
      <c r="LW12" s="190">
        <f t="shared" ca="1" si="5"/>
        <v>47</v>
      </c>
      <c r="LX12" s="190">
        <f t="shared" ca="1" si="5"/>
        <v>47</v>
      </c>
      <c r="LY12" s="190">
        <f t="shared" ca="1" si="5"/>
        <v>47</v>
      </c>
      <c r="LZ12" s="190">
        <f t="shared" ca="1" si="5"/>
        <v>47</v>
      </c>
      <c r="MA12" s="190">
        <f t="shared" ca="1" si="5"/>
        <v>47</v>
      </c>
      <c r="MB12" s="190">
        <f t="shared" ca="1" si="5"/>
        <v>48</v>
      </c>
      <c r="MC12" s="190">
        <f t="shared" ca="1" si="5"/>
        <v>48</v>
      </c>
      <c r="MD12" s="190">
        <f t="shared" ca="1" si="5"/>
        <v>48</v>
      </c>
      <c r="ME12" s="190">
        <f t="shared" ca="1" si="5"/>
        <v>48</v>
      </c>
      <c r="MF12" s="190">
        <f t="shared" ca="1" si="5"/>
        <v>48</v>
      </c>
      <c r="MG12" s="190">
        <f t="shared" ca="1" si="5"/>
        <v>48</v>
      </c>
      <c r="MH12" s="190">
        <f t="shared" ca="1" si="5"/>
        <v>48</v>
      </c>
      <c r="MI12" s="190">
        <f t="shared" ca="1" si="5"/>
        <v>49</v>
      </c>
      <c r="MJ12" s="190">
        <f t="shared" ca="1" si="5"/>
        <v>49</v>
      </c>
      <c r="MK12" s="190">
        <f t="shared" ca="1" si="5"/>
        <v>49</v>
      </c>
      <c r="ML12" s="190">
        <f t="shared" ca="1" si="5"/>
        <v>49</v>
      </c>
      <c r="MM12" s="190">
        <f t="shared" ca="1" si="5"/>
        <v>49</v>
      </c>
      <c r="MN12" s="190">
        <f t="shared" ca="1" si="5"/>
        <v>49</v>
      </c>
      <c r="MO12" s="190">
        <f t="shared" ca="1" si="5"/>
        <v>49</v>
      </c>
      <c r="MP12" s="190">
        <f t="shared" ca="1" si="5"/>
        <v>50</v>
      </c>
      <c r="MQ12" s="190">
        <f t="shared" ca="1" si="5"/>
        <v>50</v>
      </c>
      <c r="MR12" s="190">
        <f t="shared" ca="1" si="5"/>
        <v>50</v>
      </c>
      <c r="MS12" s="190">
        <f t="shared" ca="1" si="5"/>
        <v>50</v>
      </c>
      <c r="MT12" s="190">
        <f t="shared" ca="1" si="5"/>
        <v>50</v>
      </c>
      <c r="MU12" s="190">
        <f t="shared" ca="1" si="5"/>
        <v>50</v>
      </c>
      <c r="MV12" s="190">
        <f t="shared" ca="1" si="5"/>
        <v>50</v>
      </c>
      <c r="MW12" s="190">
        <f t="shared" ca="1" si="5"/>
        <v>51</v>
      </c>
      <c r="MX12" s="190">
        <f t="shared" ca="1" si="5"/>
        <v>51</v>
      </c>
      <c r="MY12" s="190">
        <f t="shared" ca="1" si="5"/>
        <v>51</v>
      </c>
      <c r="MZ12" s="190">
        <f t="shared" ca="1" si="5"/>
        <v>51</v>
      </c>
      <c r="NA12" s="190">
        <f t="shared" ca="1" si="5"/>
        <v>51</v>
      </c>
      <c r="NB12" s="190">
        <f t="shared" ca="1" si="5"/>
        <v>51</v>
      </c>
      <c r="NC12" s="190">
        <f t="shared" ca="1" si="5"/>
        <v>51</v>
      </c>
      <c r="ND12" s="190">
        <f t="shared" ca="1" si="5"/>
        <v>52</v>
      </c>
      <c r="NE12" s="190">
        <f t="shared" ca="1" si="5"/>
        <v>52</v>
      </c>
      <c r="NF12" s="190">
        <f t="shared" ca="1" si="5"/>
        <v>52</v>
      </c>
      <c r="NG12" s="190">
        <f t="shared" ca="1" si="5"/>
        <v>52</v>
      </c>
      <c r="NH12" s="190">
        <f t="shared" ca="1" si="5"/>
        <v>52</v>
      </c>
      <c r="NI12" s="190">
        <f t="shared" ca="1" si="5"/>
        <v>52</v>
      </c>
      <c r="NJ12" s="190">
        <f t="shared" ca="1" si="5"/>
        <v>52</v>
      </c>
      <c r="NK12" s="190">
        <f t="shared" ca="1" si="5"/>
        <v>53</v>
      </c>
      <c r="NL12" s="190">
        <f t="shared" ca="1" si="5"/>
        <v>53</v>
      </c>
      <c r="NM12" s="190">
        <f t="shared" ca="1" si="5"/>
        <v>53</v>
      </c>
      <c r="NN12" s="190">
        <f t="shared" ca="1" si="5"/>
        <v>53</v>
      </c>
      <c r="NO12" s="190">
        <f t="shared" ca="1" si="5"/>
        <v>53</v>
      </c>
      <c r="NP12" s="190">
        <f t="shared" ca="1" si="5"/>
        <v>53</v>
      </c>
      <c r="NQ12" s="190">
        <f t="shared" ca="1" si="5"/>
        <v>53</v>
      </c>
      <c r="NR12" s="190">
        <f t="shared" ca="1" si="5"/>
        <v>54</v>
      </c>
      <c r="NS12" s="190">
        <f t="shared" ca="1" si="5"/>
        <v>54</v>
      </c>
      <c r="NT12" s="190">
        <f t="shared" ca="1" si="5"/>
        <v>54</v>
      </c>
      <c r="NU12" s="190">
        <f t="shared" ca="1" si="5"/>
        <v>54</v>
      </c>
      <c r="NV12" s="190">
        <f t="shared" ca="1" si="5"/>
        <v>54</v>
      </c>
      <c r="NW12" s="190">
        <f t="shared" ca="1" si="5"/>
        <v>54</v>
      </c>
      <c r="NX12" s="190">
        <f t="shared" ca="1" si="5"/>
        <v>54</v>
      </c>
      <c r="NY12" s="190">
        <f t="shared" ca="1" si="5"/>
        <v>55</v>
      </c>
      <c r="NZ12" s="190">
        <f t="shared" ca="1" si="5"/>
        <v>55</v>
      </c>
      <c r="OA12" s="190">
        <f t="shared" ref="OA12:QL12" ca="1" si="6">IF(OA13="seg",OFFSET(OA12,0,-1)+1,OFFSET(OA12,0,-1))</f>
        <v>55</v>
      </c>
      <c r="OB12" s="190">
        <f t="shared" ca="1" si="6"/>
        <v>55</v>
      </c>
      <c r="OC12" s="190">
        <f t="shared" ca="1" si="6"/>
        <v>55</v>
      </c>
      <c r="OD12" s="190">
        <f t="shared" ca="1" si="6"/>
        <v>55</v>
      </c>
      <c r="OE12" s="190">
        <f t="shared" ca="1" si="6"/>
        <v>55</v>
      </c>
      <c r="OF12" s="190">
        <f t="shared" ca="1" si="6"/>
        <v>56</v>
      </c>
      <c r="OG12" s="190">
        <f t="shared" ca="1" si="6"/>
        <v>56</v>
      </c>
      <c r="OH12" s="190">
        <f t="shared" ca="1" si="6"/>
        <v>56</v>
      </c>
      <c r="OI12" s="190">
        <f t="shared" ca="1" si="6"/>
        <v>56</v>
      </c>
      <c r="OJ12" s="190">
        <f t="shared" ca="1" si="6"/>
        <v>56</v>
      </c>
      <c r="OK12" s="190">
        <f t="shared" ca="1" si="6"/>
        <v>56</v>
      </c>
      <c r="OL12" s="190">
        <f t="shared" ca="1" si="6"/>
        <v>56</v>
      </c>
      <c r="OM12" s="190">
        <f t="shared" ca="1" si="6"/>
        <v>57</v>
      </c>
      <c r="ON12" s="190">
        <f t="shared" ca="1" si="6"/>
        <v>57</v>
      </c>
      <c r="OO12" s="190">
        <f t="shared" ca="1" si="6"/>
        <v>57</v>
      </c>
      <c r="OP12" s="190">
        <f t="shared" ca="1" si="6"/>
        <v>57</v>
      </c>
      <c r="OQ12" s="190">
        <f t="shared" ca="1" si="6"/>
        <v>57</v>
      </c>
      <c r="OR12" s="190">
        <f t="shared" ca="1" si="6"/>
        <v>57</v>
      </c>
      <c r="OS12" s="190">
        <f t="shared" ca="1" si="6"/>
        <v>57</v>
      </c>
      <c r="OT12" s="190">
        <f t="shared" ca="1" si="6"/>
        <v>58</v>
      </c>
      <c r="OU12" s="190">
        <f t="shared" ca="1" si="6"/>
        <v>58</v>
      </c>
      <c r="OV12" s="190">
        <f t="shared" ca="1" si="6"/>
        <v>58</v>
      </c>
      <c r="OW12" s="190">
        <f t="shared" ca="1" si="6"/>
        <v>58</v>
      </c>
      <c r="OX12" s="190">
        <f t="shared" ca="1" si="6"/>
        <v>58</v>
      </c>
      <c r="OY12" s="190">
        <f t="shared" ca="1" si="6"/>
        <v>58</v>
      </c>
      <c r="OZ12" s="190">
        <f t="shared" ca="1" si="6"/>
        <v>58</v>
      </c>
      <c r="PA12" s="190">
        <f t="shared" ca="1" si="6"/>
        <v>59</v>
      </c>
      <c r="PB12" s="190">
        <f t="shared" ca="1" si="6"/>
        <v>59</v>
      </c>
      <c r="PC12" s="190">
        <f t="shared" ca="1" si="6"/>
        <v>59</v>
      </c>
      <c r="PD12" s="190">
        <f t="shared" ca="1" si="6"/>
        <v>59</v>
      </c>
      <c r="PE12" s="190">
        <f t="shared" ca="1" si="6"/>
        <v>59</v>
      </c>
      <c r="PF12" s="190">
        <f t="shared" ca="1" si="6"/>
        <v>59</v>
      </c>
      <c r="PG12" s="190">
        <f t="shared" ca="1" si="6"/>
        <v>59</v>
      </c>
      <c r="PH12" s="190">
        <f t="shared" ca="1" si="6"/>
        <v>60</v>
      </c>
      <c r="PI12" s="190">
        <f t="shared" ca="1" si="6"/>
        <v>60</v>
      </c>
      <c r="PJ12" s="190">
        <f t="shared" ca="1" si="6"/>
        <v>60</v>
      </c>
      <c r="PK12" s="190">
        <f t="shared" ca="1" si="6"/>
        <v>60</v>
      </c>
      <c r="PL12" s="190">
        <f t="shared" ca="1" si="6"/>
        <v>60</v>
      </c>
      <c r="PM12" s="190">
        <f t="shared" ca="1" si="6"/>
        <v>60</v>
      </c>
      <c r="PN12" s="190">
        <f t="shared" ca="1" si="6"/>
        <v>60</v>
      </c>
      <c r="PO12" s="190">
        <f t="shared" ca="1" si="6"/>
        <v>61</v>
      </c>
      <c r="PP12" s="190">
        <f t="shared" ca="1" si="6"/>
        <v>61</v>
      </c>
      <c r="PQ12" s="190">
        <f t="shared" ca="1" si="6"/>
        <v>61</v>
      </c>
      <c r="PR12" s="190">
        <f t="shared" ca="1" si="6"/>
        <v>61</v>
      </c>
      <c r="PS12" s="190">
        <f t="shared" ca="1" si="6"/>
        <v>61</v>
      </c>
      <c r="PT12" s="190">
        <f t="shared" ca="1" si="6"/>
        <v>61</v>
      </c>
      <c r="PU12" s="190">
        <f t="shared" ca="1" si="6"/>
        <v>61</v>
      </c>
      <c r="PV12" s="190">
        <f t="shared" ca="1" si="6"/>
        <v>62</v>
      </c>
      <c r="PW12" s="190">
        <f t="shared" ca="1" si="6"/>
        <v>62</v>
      </c>
      <c r="PX12" s="190">
        <f t="shared" ca="1" si="6"/>
        <v>62</v>
      </c>
      <c r="PY12" s="190">
        <f t="shared" ca="1" si="6"/>
        <v>62</v>
      </c>
      <c r="PZ12" s="190">
        <f t="shared" ca="1" si="6"/>
        <v>62</v>
      </c>
      <c r="QA12" s="190">
        <f t="shared" ca="1" si="6"/>
        <v>62</v>
      </c>
      <c r="QB12" s="190">
        <f t="shared" ca="1" si="6"/>
        <v>62</v>
      </c>
      <c r="QC12" s="190">
        <f t="shared" ca="1" si="6"/>
        <v>63</v>
      </c>
      <c r="QD12" s="190">
        <f t="shared" ca="1" si="6"/>
        <v>63</v>
      </c>
      <c r="QE12" s="190">
        <f t="shared" ca="1" si="6"/>
        <v>63</v>
      </c>
      <c r="QF12" s="190">
        <f t="shared" ca="1" si="6"/>
        <v>63</v>
      </c>
      <c r="QG12" s="190">
        <f t="shared" ca="1" si="6"/>
        <v>63</v>
      </c>
      <c r="QH12" s="190">
        <f t="shared" ca="1" si="6"/>
        <v>63</v>
      </c>
      <c r="QI12" s="190">
        <f t="shared" ca="1" si="6"/>
        <v>63</v>
      </c>
      <c r="QJ12" s="190">
        <f t="shared" ca="1" si="6"/>
        <v>64</v>
      </c>
      <c r="QK12" s="190">
        <f t="shared" ca="1" si="6"/>
        <v>64</v>
      </c>
      <c r="QL12" s="190">
        <f t="shared" ca="1" si="6"/>
        <v>64</v>
      </c>
      <c r="QM12" s="190">
        <f t="shared" ref="QM12:SX12" ca="1" si="7">IF(QM13="seg",OFFSET(QM12,0,-1)+1,OFFSET(QM12,0,-1))</f>
        <v>64</v>
      </c>
      <c r="QN12" s="190">
        <f t="shared" ca="1" si="7"/>
        <v>64</v>
      </c>
      <c r="QO12" s="190">
        <f t="shared" ca="1" si="7"/>
        <v>64</v>
      </c>
      <c r="QP12" s="190">
        <f t="shared" ca="1" si="7"/>
        <v>64</v>
      </c>
      <c r="QQ12" s="190">
        <f t="shared" ca="1" si="7"/>
        <v>65</v>
      </c>
      <c r="QR12" s="190">
        <f t="shared" ca="1" si="7"/>
        <v>65</v>
      </c>
      <c r="QS12" s="190">
        <f t="shared" ca="1" si="7"/>
        <v>65</v>
      </c>
      <c r="QT12" s="190">
        <f t="shared" ca="1" si="7"/>
        <v>65</v>
      </c>
      <c r="QU12" s="190">
        <f t="shared" ca="1" si="7"/>
        <v>65</v>
      </c>
      <c r="QV12" s="190">
        <f t="shared" ca="1" si="7"/>
        <v>65</v>
      </c>
      <c r="QW12" s="190">
        <f t="shared" ca="1" si="7"/>
        <v>65</v>
      </c>
      <c r="QX12" s="190">
        <f t="shared" ca="1" si="7"/>
        <v>66</v>
      </c>
      <c r="QY12" s="190">
        <f t="shared" ca="1" si="7"/>
        <v>66</v>
      </c>
      <c r="QZ12" s="190">
        <f t="shared" ca="1" si="7"/>
        <v>66</v>
      </c>
      <c r="RA12" s="190">
        <f t="shared" ca="1" si="7"/>
        <v>66</v>
      </c>
      <c r="RB12" s="190">
        <f t="shared" ca="1" si="7"/>
        <v>66</v>
      </c>
      <c r="RC12" s="190">
        <f t="shared" ca="1" si="7"/>
        <v>66</v>
      </c>
      <c r="RD12" s="190">
        <f t="shared" ca="1" si="7"/>
        <v>66</v>
      </c>
      <c r="RE12" s="190">
        <f t="shared" ca="1" si="7"/>
        <v>67</v>
      </c>
      <c r="RF12" s="190">
        <f t="shared" ca="1" si="7"/>
        <v>67</v>
      </c>
      <c r="RG12" s="190">
        <f t="shared" ca="1" si="7"/>
        <v>67</v>
      </c>
      <c r="RH12" s="190">
        <f t="shared" ca="1" si="7"/>
        <v>67</v>
      </c>
      <c r="RI12" s="190">
        <f t="shared" ca="1" si="7"/>
        <v>67</v>
      </c>
      <c r="RJ12" s="190">
        <f t="shared" ca="1" si="7"/>
        <v>67</v>
      </c>
      <c r="RK12" s="190">
        <f t="shared" ca="1" si="7"/>
        <v>67</v>
      </c>
      <c r="RL12" s="190">
        <f t="shared" ca="1" si="7"/>
        <v>68</v>
      </c>
      <c r="RM12" s="190">
        <f t="shared" ca="1" si="7"/>
        <v>68</v>
      </c>
      <c r="RN12" s="190">
        <f t="shared" ca="1" si="7"/>
        <v>68</v>
      </c>
      <c r="RO12" s="190">
        <f t="shared" ca="1" si="7"/>
        <v>68</v>
      </c>
      <c r="RP12" s="190">
        <f t="shared" ca="1" si="7"/>
        <v>68</v>
      </c>
      <c r="RQ12" s="190">
        <f t="shared" ca="1" si="7"/>
        <v>68</v>
      </c>
      <c r="RR12" s="190">
        <f t="shared" ca="1" si="7"/>
        <v>68</v>
      </c>
      <c r="RS12" s="190">
        <f t="shared" ca="1" si="7"/>
        <v>69</v>
      </c>
      <c r="RT12" s="190">
        <f t="shared" ca="1" si="7"/>
        <v>69</v>
      </c>
      <c r="RU12" s="190">
        <f t="shared" ca="1" si="7"/>
        <v>69</v>
      </c>
      <c r="RV12" s="190">
        <f t="shared" ca="1" si="7"/>
        <v>69</v>
      </c>
      <c r="RW12" s="190">
        <f t="shared" ca="1" si="7"/>
        <v>69</v>
      </c>
      <c r="RX12" s="190">
        <f t="shared" ca="1" si="7"/>
        <v>69</v>
      </c>
      <c r="RY12" s="190">
        <f t="shared" ca="1" si="7"/>
        <v>69</v>
      </c>
      <c r="RZ12" s="190">
        <f t="shared" ca="1" si="7"/>
        <v>70</v>
      </c>
      <c r="SA12" s="190">
        <f t="shared" ca="1" si="7"/>
        <v>70</v>
      </c>
      <c r="SB12" s="190">
        <f t="shared" ca="1" si="7"/>
        <v>70</v>
      </c>
      <c r="SC12" s="190">
        <f t="shared" ca="1" si="7"/>
        <v>70</v>
      </c>
      <c r="SD12" s="190">
        <f t="shared" ca="1" si="7"/>
        <v>70</v>
      </c>
      <c r="SE12" s="190">
        <f t="shared" ca="1" si="7"/>
        <v>70</v>
      </c>
      <c r="SF12" s="190">
        <f t="shared" ca="1" si="7"/>
        <v>70</v>
      </c>
      <c r="SG12" s="190">
        <f t="shared" ca="1" si="7"/>
        <v>71</v>
      </c>
      <c r="SH12" s="190">
        <f t="shared" ca="1" si="7"/>
        <v>71</v>
      </c>
      <c r="SI12" s="190">
        <f t="shared" ca="1" si="7"/>
        <v>71</v>
      </c>
      <c r="SJ12" s="190">
        <f t="shared" ca="1" si="7"/>
        <v>71</v>
      </c>
      <c r="SK12" s="190">
        <f t="shared" ca="1" si="7"/>
        <v>71</v>
      </c>
      <c r="SL12" s="190">
        <f t="shared" ca="1" si="7"/>
        <v>71</v>
      </c>
      <c r="SM12" s="190">
        <f t="shared" ca="1" si="7"/>
        <v>71</v>
      </c>
      <c r="SN12" s="190">
        <f t="shared" ca="1" si="7"/>
        <v>72</v>
      </c>
      <c r="SO12" s="190">
        <f t="shared" ca="1" si="7"/>
        <v>72</v>
      </c>
      <c r="SP12" s="190">
        <f t="shared" ca="1" si="7"/>
        <v>72</v>
      </c>
      <c r="SQ12" s="190">
        <f t="shared" ca="1" si="7"/>
        <v>72</v>
      </c>
      <c r="SR12" s="190">
        <f t="shared" ca="1" si="7"/>
        <v>72</v>
      </c>
      <c r="SS12" s="190">
        <f t="shared" ca="1" si="7"/>
        <v>72</v>
      </c>
      <c r="ST12" s="190">
        <f t="shared" ca="1" si="7"/>
        <v>72</v>
      </c>
      <c r="SU12" s="190">
        <f t="shared" ca="1" si="7"/>
        <v>73</v>
      </c>
      <c r="SV12" s="190">
        <f t="shared" ca="1" si="7"/>
        <v>73</v>
      </c>
      <c r="SW12" s="190">
        <f t="shared" ca="1" si="7"/>
        <v>73</v>
      </c>
      <c r="SX12" s="190">
        <f t="shared" ca="1" si="7"/>
        <v>73</v>
      </c>
      <c r="SY12" s="190">
        <f t="shared" ref="SY12:US12" ca="1" si="8">IF(SY13="seg",OFFSET(SY12,0,-1)+1,OFFSET(SY12,0,-1))</f>
        <v>73</v>
      </c>
      <c r="SZ12" s="190">
        <f t="shared" ca="1" si="8"/>
        <v>73</v>
      </c>
      <c r="TA12" s="190">
        <f t="shared" ca="1" si="8"/>
        <v>73</v>
      </c>
      <c r="TB12" s="190">
        <f t="shared" ca="1" si="8"/>
        <v>74</v>
      </c>
      <c r="TC12" s="190">
        <f t="shared" ca="1" si="8"/>
        <v>74</v>
      </c>
      <c r="TD12" s="190">
        <f t="shared" ca="1" si="8"/>
        <v>74</v>
      </c>
      <c r="TE12" s="190">
        <f t="shared" ca="1" si="8"/>
        <v>74</v>
      </c>
      <c r="TF12" s="190">
        <f t="shared" ca="1" si="8"/>
        <v>74</v>
      </c>
      <c r="TG12" s="190">
        <f t="shared" ca="1" si="8"/>
        <v>74</v>
      </c>
      <c r="TH12" s="190">
        <f t="shared" ca="1" si="8"/>
        <v>74</v>
      </c>
      <c r="TI12" s="190">
        <f t="shared" ca="1" si="8"/>
        <v>75</v>
      </c>
      <c r="TJ12" s="190">
        <f t="shared" ca="1" si="8"/>
        <v>75</v>
      </c>
      <c r="TK12" s="190">
        <f t="shared" ca="1" si="8"/>
        <v>75</v>
      </c>
      <c r="TL12" s="190">
        <f t="shared" ca="1" si="8"/>
        <v>75</v>
      </c>
      <c r="TM12" s="190">
        <f t="shared" ca="1" si="8"/>
        <v>75</v>
      </c>
      <c r="TN12" s="190">
        <f t="shared" ca="1" si="8"/>
        <v>75</v>
      </c>
      <c r="TO12" s="190">
        <f t="shared" ca="1" si="8"/>
        <v>75</v>
      </c>
      <c r="TP12" s="190">
        <f t="shared" ca="1" si="8"/>
        <v>76</v>
      </c>
      <c r="TQ12" s="190">
        <f t="shared" ca="1" si="8"/>
        <v>76</v>
      </c>
      <c r="TR12" s="190">
        <f t="shared" ca="1" si="8"/>
        <v>76</v>
      </c>
      <c r="TS12" s="190">
        <f t="shared" ca="1" si="8"/>
        <v>76</v>
      </c>
      <c r="TT12" s="190">
        <f t="shared" ca="1" si="8"/>
        <v>76</v>
      </c>
      <c r="TU12" s="190">
        <f t="shared" ca="1" si="8"/>
        <v>76</v>
      </c>
      <c r="TV12" s="190">
        <f t="shared" ca="1" si="8"/>
        <v>76</v>
      </c>
      <c r="TW12" s="190">
        <f t="shared" ca="1" si="8"/>
        <v>77</v>
      </c>
      <c r="TX12" s="190">
        <f t="shared" ca="1" si="8"/>
        <v>77</v>
      </c>
      <c r="TY12" s="190">
        <f t="shared" ca="1" si="8"/>
        <v>77</v>
      </c>
      <c r="TZ12" s="190">
        <f t="shared" ca="1" si="8"/>
        <v>77</v>
      </c>
      <c r="UA12" s="190">
        <f t="shared" ca="1" si="8"/>
        <v>77</v>
      </c>
      <c r="UB12" s="190">
        <f t="shared" ca="1" si="8"/>
        <v>77</v>
      </c>
      <c r="UC12" s="190">
        <f t="shared" ca="1" si="8"/>
        <v>77</v>
      </c>
      <c r="UD12" s="190">
        <f t="shared" ca="1" si="8"/>
        <v>78</v>
      </c>
      <c r="UE12" s="190">
        <f t="shared" ca="1" si="8"/>
        <v>78</v>
      </c>
      <c r="UF12" s="190">
        <f t="shared" ca="1" si="8"/>
        <v>78</v>
      </c>
      <c r="UG12" s="190">
        <f t="shared" ca="1" si="8"/>
        <v>78</v>
      </c>
      <c r="UH12" s="190">
        <f t="shared" ca="1" si="8"/>
        <v>78</v>
      </c>
      <c r="UI12" s="190">
        <f t="shared" ca="1" si="8"/>
        <v>78</v>
      </c>
      <c r="UJ12" s="190">
        <f t="shared" ca="1" si="8"/>
        <v>78</v>
      </c>
      <c r="UK12" s="190">
        <f t="shared" ca="1" si="8"/>
        <v>79</v>
      </c>
      <c r="UL12" s="190">
        <f t="shared" ca="1" si="8"/>
        <v>79</v>
      </c>
      <c r="UM12" s="190">
        <f t="shared" ca="1" si="8"/>
        <v>79</v>
      </c>
      <c r="UN12" s="190">
        <f t="shared" ca="1" si="8"/>
        <v>79</v>
      </c>
      <c r="UO12" s="190">
        <f t="shared" ca="1" si="8"/>
        <v>79</v>
      </c>
      <c r="UP12" s="190">
        <f t="shared" ca="1" si="8"/>
        <v>79</v>
      </c>
      <c r="UQ12" s="190">
        <f t="shared" ca="1" si="8"/>
        <v>79</v>
      </c>
      <c r="UR12" s="190">
        <f t="shared" ca="1" si="8"/>
        <v>80</v>
      </c>
      <c r="US12" s="193">
        <f t="shared" ca="1" si="8"/>
        <v>80</v>
      </c>
      <c r="UT12" s="194"/>
      <c r="VA12" s="186"/>
      <c r="VB12" s="186"/>
      <c r="VC12" s="186"/>
    </row>
    <row r="13" spans="1:597" ht="25.2" x14ac:dyDescent="0.3">
      <c r="B13" s="195"/>
      <c r="C13" s="196"/>
      <c r="D13" s="197"/>
      <c r="E13" s="356" t="s">
        <v>119</v>
      </c>
      <c r="F13" s="198" t="str">
        <f t="shared" ref="F13:BQ13" si="9">TEXT(F14,"ddd")</f>
        <v>qua</v>
      </c>
      <c r="G13" s="198" t="str">
        <f t="shared" ca="1" si="9"/>
        <v>qui</v>
      </c>
      <c r="H13" s="198" t="str">
        <f t="shared" ca="1" si="9"/>
        <v>sex</v>
      </c>
      <c r="I13" s="198" t="str">
        <f t="shared" ca="1" si="9"/>
        <v>sáb</v>
      </c>
      <c r="J13" s="198" t="str">
        <f t="shared" ca="1" si="9"/>
        <v>dom</v>
      </c>
      <c r="K13" s="198" t="str">
        <f t="shared" ca="1" si="9"/>
        <v>seg</v>
      </c>
      <c r="L13" s="199" t="str">
        <f t="shared" ca="1" si="9"/>
        <v>ter</v>
      </c>
      <c r="M13" s="198" t="str">
        <f t="shared" ca="1" si="9"/>
        <v>qua</v>
      </c>
      <c r="N13" s="198" t="str">
        <f t="shared" ca="1" si="9"/>
        <v>qui</v>
      </c>
      <c r="O13" s="198" t="str">
        <f t="shared" ca="1" si="9"/>
        <v>sex</v>
      </c>
      <c r="P13" s="198" t="str">
        <f t="shared" ca="1" si="9"/>
        <v>sáb</v>
      </c>
      <c r="Q13" s="198" t="str">
        <f t="shared" ca="1" si="9"/>
        <v>dom</v>
      </c>
      <c r="R13" s="198" t="str">
        <f t="shared" ca="1" si="9"/>
        <v>seg</v>
      </c>
      <c r="S13" s="198" t="str">
        <f t="shared" ca="1" si="9"/>
        <v>ter</v>
      </c>
      <c r="T13" s="198" t="str">
        <f t="shared" ca="1" si="9"/>
        <v>qua</v>
      </c>
      <c r="U13" s="198" t="str">
        <f t="shared" ca="1" si="9"/>
        <v>qui</v>
      </c>
      <c r="V13" s="198" t="str">
        <f t="shared" ca="1" si="9"/>
        <v>sex</v>
      </c>
      <c r="W13" s="198" t="str">
        <f t="shared" ca="1" si="9"/>
        <v>sáb</v>
      </c>
      <c r="X13" s="198" t="str">
        <f t="shared" ca="1" si="9"/>
        <v>dom</v>
      </c>
      <c r="Y13" s="198" t="str">
        <f t="shared" ca="1" si="9"/>
        <v>seg</v>
      </c>
      <c r="Z13" s="198" t="str">
        <f t="shared" ca="1" si="9"/>
        <v>ter</v>
      </c>
      <c r="AA13" s="198" t="str">
        <f t="shared" ca="1" si="9"/>
        <v>qua</v>
      </c>
      <c r="AB13" s="198" t="str">
        <f t="shared" ca="1" si="9"/>
        <v>qui</v>
      </c>
      <c r="AC13" s="198" t="str">
        <f t="shared" ca="1" si="9"/>
        <v>sex</v>
      </c>
      <c r="AD13" s="198" t="str">
        <f t="shared" ca="1" si="9"/>
        <v>sáb</v>
      </c>
      <c r="AE13" s="198" t="str">
        <f t="shared" ca="1" si="9"/>
        <v>dom</v>
      </c>
      <c r="AF13" s="198" t="str">
        <f t="shared" ca="1" si="9"/>
        <v>seg</v>
      </c>
      <c r="AG13" s="198" t="str">
        <f t="shared" ca="1" si="9"/>
        <v>ter</v>
      </c>
      <c r="AH13" s="198" t="str">
        <f t="shared" ca="1" si="9"/>
        <v>qua</v>
      </c>
      <c r="AI13" s="198" t="str">
        <f t="shared" ca="1" si="9"/>
        <v>qui</v>
      </c>
      <c r="AJ13" s="198" t="str">
        <f t="shared" ca="1" si="9"/>
        <v>sex</v>
      </c>
      <c r="AK13" s="198" t="str">
        <f t="shared" ca="1" si="9"/>
        <v>sáb</v>
      </c>
      <c r="AL13" s="198" t="str">
        <f t="shared" ca="1" si="9"/>
        <v>dom</v>
      </c>
      <c r="AM13" s="198" t="str">
        <f t="shared" ca="1" si="9"/>
        <v>seg</v>
      </c>
      <c r="AN13" s="198" t="str">
        <f t="shared" ca="1" si="9"/>
        <v>ter</v>
      </c>
      <c r="AO13" s="198" t="str">
        <f t="shared" ca="1" si="9"/>
        <v>qua</v>
      </c>
      <c r="AP13" s="198" t="str">
        <f t="shared" ca="1" si="9"/>
        <v>qui</v>
      </c>
      <c r="AQ13" s="198" t="str">
        <f t="shared" ca="1" si="9"/>
        <v>sex</v>
      </c>
      <c r="AR13" s="198" t="str">
        <f t="shared" ca="1" si="9"/>
        <v>sáb</v>
      </c>
      <c r="AS13" s="198" t="str">
        <f t="shared" ca="1" si="9"/>
        <v>dom</v>
      </c>
      <c r="AT13" s="198" t="str">
        <f t="shared" ca="1" si="9"/>
        <v>seg</v>
      </c>
      <c r="AU13" s="198" t="str">
        <f t="shared" ca="1" si="9"/>
        <v>ter</v>
      </c>
      <c r="AV13" s="198" t="str">
        <f t="shared" ca="1" si="9"/>
        <v>qua</v>
      </c>
      <c r="AW13" s="198" t="str">
        <f t="shared" ca="1" si="9"/>
        <v>qui</v>
      </c>
      <c r="AX13" s="198" t="str">
        <f t="shared" ca="1" si="9"/>
        <v>sex</v>
      </c>
      <c r="AY13" s="198" t="str">
        <f t="shared" ca="1" si="9"/>
        <v>sáb</v>
      </c>
      <c r="AZ13" s="198" t="str">
        <f t="shared" ca="1" si="9"/>
        <v>dom</v>
      </c>
      <c r="BA13" s="198" t="str">
        <f t="shared" ca="1" si="9"/>
        <v>seg</v>
      </c>
      <c r="BB13" s="198" t="str">
        <f t="shared" ca="1" si="9"/>
        <v>ter</v>
      </c>
      <c r="BC13" s="198" t="str">
        <f t="shared" ca="1" si="9"/>
        <v>qua</v>
      </c>
      <c r="BD13" s="198" t="str">
        <f t="shared" ca="1" si="9"/>
        <v>qui</v>
      </c>
      <c r="BE13" s="198" t="str">
        <f t="shared" ca="1" si="9"/>
        <v>sex</v>
      </c>
      <c r="BF13" s="198" t="str">
        <f t="shared" ca="1" si="9"/>
        <v>sáb</v>
      </c>
      <c r="BG13" s="198" t="str">
        <f t="shared" ca="1" si="9"/>
        <v>dom</v>
      </c>
      <c r="BH13" s="198" t="str">
        <f t="shared" ca="1" si="9"/>
        <v>seg</v>
      </c>
      <c r="BI13" s="198" t="str">
        <f t="shared" ca="1" si="9"/>
        <v>ter</v>
      </c>
      <c r="BJ13" s="198" t="str">
        <f t="shared" ca="1" si="9"/>
        <v>qua</v>
      </c>
      <c r="BK13" s="198" t="str">
        <f t="shared" ca="1" si="9"/>
        <v>qui</v>
      </c>
      <c r="BL13" s="198" t="str">
        <f t="shared" ca="1" si="9"/>
        <v>sex</v>
      </c>
      <c r="BM13" s="198" t="str">
        <f t="shared" ca="1" si="9"/>
        <v>sáb</v>
      </c>
      <c r="BN13" s="198" t="str">
        <f t="shared" ca="1" si="9"/>
        <v>dom</v>
      </c>
      <c r="BO13" s="198" t="str">
        <f t="shared" ca="1" si="9"/>
        <v>seg</v>
      </c>
      <c r="BP13" s="198" t="str">
        <f t="shared" ca="1" si="9"/>
        <v>ter</v>
      </c>
      <c r="BQ13" s="198" t="str">
        <f t="shared" ca="1" si="9"/>
        <v>qua</v>
      </c>
      <c r="BR13" s="198" t="str">
        <f t="shared" ref="BR13:EC13" ca="1" si="10">TEXT(BR14,"ddd")</f>
        <v>qui</v>
      </c>
      <c r="BS13" s="198" t="str">
        <f t="shared" ca="1" si="10"/>
        <v>sex</v>
      </c>
      <c r="BT13" s="198" t="str">
        <f t="shared" ca="1" si="10"/>
        <v>sáb</v>
      </c>
      <c r="BU13" s="198" t="str">
        <f t="shared" ca="1" si="10"/>
        <v>dom</v>
      </c>
      <c r="BV13" s="198" t="str">
        <f t="shared" ca="1" si="10"/>
        <v>seg</v>
      </c>
      <c r="BW13" s="198" t="str">
        <f t="shared" ca="1" si="10"/>
        <v>ter</v>
      </c>
      <c r="BX13" s="198" t="str">
        <f t="shared" ca="1" si="10"/>
        <v>qua</v>
      </c>
      <c r="BY13" s="198" t="str">
        <f t="shared" ca="1" si="10"/>
        <v>qui</v>
      </c>
      <c r="BZ13" s="198" t="str">
        <f t="shared" ca="1" si="10"/>
        <v>sex</v>
      </c>
      <c r="CA13" s="198" t="str">
        <f t="shared" ca="1" si="10"/>
        <v>sáb</v>
      </c>
      <c r="CB13" s="198" t="str">
        <f t="shared" ca="1" si="10"/>
        <v>dom</v>
      </c>
      <c r="CC13" s="198" t="str">
        <f t="shared" ca="1" si="10"/>
        <v>seg</v>
      </c>
      <c r="CD13" s="198" t="str">
        <f t="shared" ca="1" si="10"/>
        <v>ter</v>
      </c>
      <c r="CE13" s="198" t="str">
        <f t="shared" ca="1" si="10"/>
        <v>qua</v>
      </c>
      <c r="CF13" s="198" t="str">
        <f t="shared" ca="1" si="10"/>
        <v>qui</v>
      </c>
      <c r="CG13" s="198" t="str">
        <f t="shared" ca="1" si="10"/>
        <v>sex</v>
      </c>
      <c r="CH13" s="198" t="str">
        <f t="shared" ca="1" si="10"/>
        <v>sáb</v>
      </c>
      <c r="CI13" s="198" t="str">
        <f t="shared" ca="1" si="10"/>
        <v>dom</v>
      </c>
      <c r="CJ13" s="198" t="str">
        <f t="shared" ca="1" si="10"/>
        <v>seg</v>
      </c>
      <c r="CK13" s="198" t="str">
        <f t="shared" ca="1" si="10"/>
        <v>ter</v>
      </c>
      <c r="CL13" s="198" t="str">
        <f t="shared" ca="1" si="10"/>
        <v>qua</v>
      </c>
      <c r="CM13" s="198" t="str">
        <f t="shared" ca="1" si="10"/>
        <v>qui</v>
      </c>
      <c r="CN13" s="198" t="str">
        <f t="shared" ca="1" si="10"/>
        <v>sex</v>
      </c>
      <c r="CO13" s="198" t="str">
        <f t="shared" ca="1" si="10"/>
        <v>sáb</v>
      </c>
      <c r="CP13" s="198" t="str">
        <f t="shared" ca="1" si="10"/>
        <v>dom</v>
      </c>
      <c r="CQ13" s="198" t="str">
        <f t="shared" ca="1" si="10"/>
        <v>seg</v>
      </c>
      <c r="CR13" s="198" t="str">
        <f t="shared" ca="1" si="10"/>
        <v>ter</v>
      </c>
      <c r="CS13" s="198" t="str">
        <f t="shared" ca="1" si="10"/>
        <v>qua</v>
      </c>
      <c r="CT13" s="198" t="str">
        <f t="shared" ca="1" si="10"/>
        <v>qui</v>
      </c>
      <c r="CU13" s="198" t="str">
        <f t="shared" ca="1" si="10"/>
        <v>sex</v>
      </c>
      <c r="CV13" s="198" t="str">
        <f t="shared" ca="1" si="10"/>
        <v>sáb</v>
      </c>
      <c r="CW13" s="198" t="str">
        <f t="shared" ca="1" si="10"/>
        <v>dom</v>
      </c>
      <c r="CX13" s="198" t="str">
        <f t="shared" ca="1" si="10"/>
        <v>seg</v>
      </c>
      <c r="CY13" s="198" t="str">
        <f t="shared" ca="1" si="10"/>
        <v>ter</v>
      </c>
      <c r="CZ13" s="198" t="str">
        <f t="shared" ca="1" si="10"/>
        <v>qua</v>
      </c>
      <c r="DA13" s="198" t="str">
        <f t="shared" ca="1" si="10"/>
        <v>qui</v>
      </c>
      <c r="DB13" s="198" t="str">
        <f t="shared" ca="1" si="10"/>
        <v>sex</v>
      </c>
      <c r="DC13" s="198" t="str">
        <f t="shared" ca="1" si="10"/>
        <v>sáb</v>
      </c>
      <c r="DD13" s="198" t="str">
        <f t="shared" ca="1" si="10"/>
        <v>dom</v>
      </c>
      <c r="DE13" s="198" t="str">
        <f t="shared" ca="1" si="10"/>
        <v>seg</v>
      </c>
      <c r="DF13" s="198" t="str">
        <f t="shared" ca="1" si="10"/>
        <v>ter</v>
      </c>
      <c r="DG13" s="198" t="str">
        <f t="shared" ca="1" si="10"/>
        <v>qua</v>
      </c>
      <c r="DH13" s="198" t="str">
        <f t="shared" ca="1" si="10"/>
        <v>qui</v>
      </c>
      <c r="DI13" s="198" t="str">
        <f t="shared" ca="1" si="10"/>
        <v>sex</v>
      </c>
      <c r="DJ13" s="198" t="str">
        <f t="shared" ca="1" si="10"/>
        <v>sáb</v>
      </c>
      <c r="DK13" s="198" t="str">
        <f t="shared" ca="1" si="10"/>
        <v>dom</v>
      </c>
      <c r="DL13" s="198" t="str">
        <f t="shared" ca="1" si="10"/>
        <v>seg</v>
      </c>
      <c r="DM13" s="198" t="str">
        <f t="shared" ca="1" si="10"/>
        <v>ter</v>
      </c>
      <c r="DN13" s="198" t="str">
        <f t="shared" ca="1" si="10"/>
        <v>qua</v>
      </c>
      <c r="DO13" s="198" t="str">
        <f t="shared" ca="1" si="10"/>
        <v>qui</v>
      </c>
      <c r="DP13" s="198" t="str">
        <f t="shared" ca="1" si="10"/>
        <v>sex</v>
      </c>
      <c r="DQ13" s="198" t="str">
        <f t="shared" ca="1" si="10"/>
        <v>sáb</v>
      </c>
      <c r="DR13" s="198" t="str">
        <f t="shared" ca="1" si="10"/>
        <v>dom</v>
      </c>
      <c r="DS13" s="198" t="str">
        <f t="shared" ca="1" si="10"/>
        <v>seg</v>
      </c>
      <c r="DT13" s="198" t="str">
        <f t="shared" ca="1" si="10"/>
        <v>ter</v>
      </c>
      <c r="DU13" s="198" t="str">
        <f t="shared" ca="1" si="10"/>
        <v>qua</v>
      </c>
      <c r="DV13" s="198" t="str">
        <f t="shared" ca="1" si="10"/>
        <v>qui</v>
      </c>
      <c r="DW13" s="198" t="str">
        <f t="shared" ca="1" si="10"/>
        <v>sex</v>
      </c>
      <c r="DX13" s="198" t="str">
        <f t="shared" ca="1" si="10"/>
        <v>sáb</v>
      </c>
      <c r="DY13" s="198" t="str">
        <f t="shared" ca="1" si="10"/>
        <v>dom</v>
      </c>
      <c r="DZ13" s="198" t="str">
        <f t="shared" ca="1" si="10"/>
        <v>seg</v>
      </c>
      <c r="EA13" s="198" t="str">
        <f t="shared" ca="1" si="10"/>
        <v>ter</v>
      </c>
      <c r="EB13" s="198" t="str">
        <f t="shared" ca="1" si="10"/>
        <v>qua</v>
      </c>
      <c r="EC13" s="198" t="str">
        <f t="shared" ca="1" si="10"/>
        <v>qui</v>
      </c>
      <c r="ED13" s="198" t="str">
        <f t="shared" ref="ED13:GO13" ca="1" si="11">TEXT(ED14,"ddd")</f>
        <v>sex</v>
      </c>
      <c r="EE13" s="198" t="str">
        <f t="shared" ca="1" si="11"/>
        <v>sáb</v>
      </c>
      <c r="EF13" s="198" t="str">
        <f t="shared" ca="1" si="11"/>
        <v>dom</v>
      </c>
      <c r="EG13" s="198" t="str">
        <f t="shared" ca="1" si="11"/>
        <v>seg</v>
      </c>
      <c r="EH13" s="198" t="str">
        <f t="shared" ca="1" si="11"/>
        <v>ter</v>
      </c>
      <c r="EI13" s="198" t="str">
        <f t="shared" ca="1" si="11"/>
        <v>qua</v>
      </c>
      <c r="EJ13" s="198" t="str">
        <f t="shared" ca="1" si="11"/>
        <v>qui</v>
      </c>
      <c r="EK13" s="198" t="str">
        <f t="shared" ca="1" si="11"/>
        <v>sex</v>
      </c>
      <c r="EL13" s="198" t="str">
        <f t="shared" ca="1" si="11"/>
        <v>sáb</v>
      </c>
      <c r="EM13" s="198" t="str">
        <f t="shared" ca="1" si="11"/>
        <v>dom</v>
      </c>
      <c r="EN13" s="198" t="str">
        <f t="shared" ca="1" si="11"/>
        <v>seg</v>
      </c>
      <c r="EO13" s="198" t="str">
        <f t="shared" ca="1" si="11"/>
        <v>ter</v>
      </c>
      <c r="EP13" s="198" t="str">
        <f t="shared" ca="1" si="11"/>
        <v>qua</v>
      </c>
      <c r="EQ13" s="198" t="str">
        <f t="shared" ca="1" si="11"/>
        <v>qui</v>
      </c>
      <c r="ER13" s="198" t="str">
        <f t="shared" ca="1" si="11"/>
        <v>sex</v>
      </c>
      <c r="ES13" s="198" t="str">
        <f t="shared" ca="1" si="11"/>
        <v>sáb</v>
      </c>
      <c r="ET13" s="198" t="str">
        <f t="shared" ca="1" si="11"/>
        <v>dom</v>
      </c>
      <c r="EU13" s="198" t="str">
        <f t="shared" ca="1" si="11"/>
        <v>seg</v>
      </c>
      <c r="EV13" s="198" t="str">
        <f t="shared" ca="1" si="11"/>
        <v>ter</v>
      </c>
      <c r="EW13" s="198" t="str">
        <f t="shared" ca="1" si="11"/>
        <v>qua</v>
      </c>
      <c r="EX13" s="198" t="str">
        <f t="shared" ca="1" si="11"/>
        <v>qui</v>
      </c>
      <c r="EY13" s="198" t="str">
        <f t="shared" ca="1" si="11"/>
        <v>sex</v>
      </c>
      <c r="EZ13" s="198" t="str">
        <f t="shared" ca="1" si="11"/>
        <v>sáb</v>
      </c>
      <c r="FA13" s="198" t="str">
        <f t="shared" ca="1" si="11"/>
        <v>dom</v>
      </c>
      <c r="FB13" s="200" t="str">
        <f t="shared" ca="1" si="11"/>
        <v>seg</v>
      </c>
      <c r="FC13" s="198" t="str">
        <f t="shared" ca="1" si="11"/>
        <v>ter</v>
      </c>
      <c r="FD13" s="198" t="str">
        <f t="shared" ca="1" si="11"/>
        <v>qua</v>
      </c>
      <c r="FE13" s="198" t="str">
        <f t="shared" ca="1" si="11"/>
        <v>qui</v>
      </c>
      <c r="FF13" s="198" t="str">
        <f t="shared" ca="1" si="11"/>
        <v>sex</v>
      </c>
      <c r="FG13" s="198" t="str">
        <f t="shared" ca="1" si="11"/>
        <v>sáb</v>
      </c>
      <c r="FH13" s="198" t="str">
        <f t="shared" ca="1" si="11"/>
        <v>dom</v>
      </c>
      <c r="FI13" s="198" t="str">
        <f t="shared" ca="1" si="11"/>
        <v>seg</v>
      </c>
      <c r="FJ13" s="198" t="str">
        <f t="shared" ca="1" si="11"/>
        <v>ter</v>
      </c>
      <c r="FK13" s="198" t="str">
        <f t="shared" ca="1" si="11"/>
        <v>qua</v>
      </c>
      <c r="FL13" s="198" t="str">
        <f t="shared" ca="1" si="11"/>
        <v>qui</v>
      </c>
      <c r="FM13" s="198" t="str">
        <f t="shared" ca="1" si="11"/>
        <v>sex</v>
      </c>
      <c r="FN13" s="198" t="str">
        <f t="shared" ca="1" si="11"/>
        <v>sáb</v>
      </c>
      <c r="FO13" s="198" t="str">
        <f t="shared" ca="1" si="11"/>
        <v>dom</v>
      </c>
      <c r="FP13" s="198" t="str">
        <f t="shared" ca="1" si="11"/>
        <v>seg</v>
      </c>
      <c r="FQ13" s="198" t="str">
        <f t="shared" ca="1" si="11"/>
        <v>ter</v>
      </c>
      <c r="FR13" s="198" t="str">
        <f t="shared" ca="1" si="11"/>
        <v>qua</v>
      </c>
      <c r="FS13" s="198" t="str">
        <f t="shared" ca="1" si="11"/>
        <v>qui</v>
      </c>
      <c r="FT13" s="198" t="str">
        <f t="shared" ca="1" si="11"/>
        <v>sex</v>
      </c>
      <c r="FU13" s="198" t="str">
        <f t="shared" ca="1" si="11"/>
        <v>sáb</v>
      </c>
      <c r="FV13" s="198" t="str">
        <f t="shared" ca="1" si="11"/>
        <v>dom</v>
      </c>
      <c r="FW13" s="198" t="str">
        <f t="shared" ca="1" si="11"/>
        <v>seg</v>
      </c>
      <c r="FX13" s="198" t="str">
        <f t="shared" ca="1" si="11"/>
        <v>ter</v>
      </c>
      <c r="FY13" s="198" t="str">
        <f t="shared" ca="1" si="11"/>
        <v>qua</v>
      </c>
      <c r="FZ13" s="198" t="str">
        <f t="shared" ca="1" si="11"/>
        <v>qui</v>
      </c>
      <c r="GA13" s="198" t="str">
        <f t="shared" ca="1" si="11"/>
        <v>sex</v>
      </c>
      <c r="GB13" s="198" t="str">
        <f t="shared" ca="1" si="11"/>
        <v>sáb</v>
      </c>
      <c r="GC13" s="198" t="str">
        <f t="shared" ca="1" si="11"/>
        <v>dom</v>
      </c>
      <c r="GD13" s="198" t="str">
        <f t="shared" ca="1" si="11"/>
        <v>seg</v>
      </c>
      <c r="GE13" s="198" t="str">
        <f t="shared" ca="1" si="11"/>
        <v>ter</v>
      </c>
      <c r="GF13" s="198" t="str">
        <f t="shared" ca="1" si="11"/>
        <v>qua</v>
      </c>
      <c r="GG13" s="198" t="str">
        <f t="shared" ca="1" si="11"/>
        <v>qui</v>
      </c>
      <c r="GH13" s="198" t="str">
        <f t="shared" ca="1" si="11"/>
        <v>sex</v>
      </c>
      <c r="GI13" s="198" t="str">
        <f t="shared" ca="1" si="11"/>
        <v>sáb</v>
      </c>
      <c r="GJ13" s="198" t="str">
        <f t="shared" ca="1" si="11"/>
        <v>dom</v>
      </c>
      <c r="GK13" s="198" t="str">
        <f t="shared" ca="1" si="11"/>
        <v>seg</v>
      </c>
      <c r="GL13" s="198" t="str">
        <f t="shared" ca="1" si="11"/>
        <v>ter</v>
      </c>
      <c r="GM13" s="198" t="str">
        <f t="shared" ca="1" si="11"/>
        <v>qua</v>
      </c>
      <c r="GN13" s="198" t="str">
        <f t="shared" ca="1" si="11"/>
        <v>qui</v>
      </c>
      <c r="GO13" s="198" t="str">
        <f t="shared" ca="1" si="11"/>
        <v>sex</v>
      </c>
      <c r="GP13" s="198" t="str">
        <f t="shared" ref="GP13:JA13" ca="1" si="12">TEXT(GP14,"ddd")</f>
        <v>sáb</v>
      </c>
      <c r="GQ13" s="198" t="str">
        <f t="shared" ca="1" si="12"/>
        <v>dom</v>
      </c>
      <c r="GR13" s="198" t="str">
        <f t="shared" ca="1" si="12"/>
        <v>seg</v>
      </c>
      <c r="GS13" s="198" t="str">
        <f t="shared" ca="1" si="12"/>
        <v>ter</v>
      </c>
      <c r="GT13" s="198" t="str">
        <f t="shared" ca="1" si="12"/>
        <v>qua</v>
      </c>
      <c r="GU13" s="198" t="str">
        <f t="shared" ca="1" si="12"/>
        <v>qui</v>
      </c>
      <c r="GV13" s="198" t="str">
        <f t="shared" ca="1" si="12"/>
        <v>sex</v>
      </c>
      <c r="GW13" s="198" t="str">
        <f t="shared" ca="1" si="12"/>
        <v>sáb</v>
      </c>
      <c r="GX13" s="198" t="str">
        <f t="shared" ca="1" si="12"/>
        <v>dom</v>
      </c>
      <c r="GY13" s="198" t="str">
        <f t="shared" ca="1" si="12"/>
        <v>seg</v>
      </c>
      <c r="GZ13" s="198" t="str">
        <f t="shared" ca="1" si="12"/>
        <v>ter</v>
      </c>
      <c r="HA13" s="198" t="str">
        <f t="shared" ca="1" si="12"/>
        <v>qua</v>
      </c>
      <c r="HB13" s="198" t="str">
        <f t="shared" ca="1" si="12"/>
        <v>qui</v>
      </c>
      <c r="HC13" s="198" t="str">
        <f t="shared" ca="1" si="12"/>
        <v>sex</v>
      </c>
      <c r="HD13" s="198" t="str">
        <f t="shared" ca="1" si="12"/>
        <v>sáb</v>
      </c>
      <c r="HE13" s="198" t="str">
        <f t="shared" ca="1" si="12"/>
        <v>dom</v>
      </c>
      <c r="HF13" s="198" t="str">
        <f t="shared" ca="1" si="12"/>
        <v>seg</v>
      </c>
      <c r="HG13" s="198" t="str">
        <f t="shared" ca="1" si="12"/>
        <v>ter</v>
      </c>
      <c r="HH13" s="198" t="str">
        <f t="shared" ca="1" si="12"/>
        <v>qua</v>
      </c>
      <c r="HI13" s="198" t="str">
        <f t="shared" ca="1" si="12"/>
        <v>qui</v>
      </c>
      <c r="HJ13" s="198" t="str">
        <f t="shared" ca="1" si="12"/>
        <v>sex</v>
      </c>
      <c r="HK13" s="198" t="str">
        <f t="shared" ca="1" si="12"/>
        <v>sáb</v>
      </c>
      <c r="HL13" s="198" t="str">
        <f t="shared" ca="1" si="12"/>
        <v>dom</v>
      </c>
      <c r="HM13" s="198" t="str">
        <f t="shared" ca="1" si="12"/>
        <v>seg</v>
      </c>
      <c r="HN13" s="198" t="str">
        <f t="shared" ca="1" si="12"/>
        <v>ter</v>
      </c>
      <c r="HO13" s="198" t="str">
        <f t="shared" ca="1" si="12"/>
        <v>qua</v>
      </c>
      <c r="HP13" s="198" t="str">
        <f t="shared" ca="1" si="12"/>
        <v>qui</v>
      </c>
      <c r="HQ13" s="198" t="str">
        <f t="shared" ca="1" si="12"/>
        <v>sex</v>
      </c>
      <c r="HR13" s="198" t="str">
        <f t="shared" ca="1" si="12"/>
        <v>sáb</v>
      </c>
      <c r="HS13" s="198" t="str">
        <f t="shared" ca="1" si="12"/>
        <v>dom</v>
      </c>
      <c r="HT13" s="198" t="str">
        <f t="shared" ca="1" si="12"/>
        <v>seg</v>
      </c>
      <c r="HU13" s="198" t="str">
        <f t="shared" ca="1" si="12"/>
        <v>ter</v>
      </c>
      <c r="HV13" s="198" t="str">
        <f t="shared" ca="1" si="12"/>
        <v>qua</v>
      </c>
      <c r="HW13" s="198" t="str">
        <f t="shared" ca="1" si="12"/>
        <v>qui</v>
      </c>
      <c r="HX13" s="198" t="str">
        <f t="shared" ca="1" si="12"/>
        <v>sex</v>
      </c>
      <c r="HY13" s="198" t="str">
        <f t="shared" ca="1" si="12"/>
        <v>sáb</v>
      </c>
      <c r="HZ13" s="198" t="str">
        <f t="shared" ca="1" si="12"/>
        <v>dom</v>
      </c>
      <c r="IA13" s="198" t="str">
        <f t="shared" ca="1" si="12"/>
        <v>seg</v>
      </c>
      <c r="IB13" s="198" t="str">
        <f t="shared" ca="1" si="12"/>
        <v>ter</v>
      </c>
      <c r="IC13" s="198" t="str">
        <f t="shared" ca="1" si="12"/>
        <v>qua</v>
      </c>
      <c r="ID13" s="198" t="str">
        <f t="shared" ca="1" si="12"/>
        <v>qui</v>
      </c>
      <c r="IE13" s="198" t="str">
        <f t="shared" ca="1" si="12"/>
        <v>sex</v>
      </c>
      <c r="IF13" s="198" t="str">
        <f t="shared" ca="1" si="12"/>
        <v>sáb</v>
      </c>
      <c r="IG13" s="198" t="str">
        <f t="shared" ca="1" si="12"/>
        <v>dom</v>
      </c>
      <c r="IH13" s="198" t="str">
        <f t="shared" ca="1" si="12"/>
        <v>seg</v>
      </c>
      <c r="II13" s="198" t="str">
        <f t="shared" ca="1" si="12"/>
        <v>ter</v>
      </c>
      <c r="IJ13" s="198" t="str">
        <f t="shared" ca="1" si="12"/>
        <v>qua</v>
      </c>
      <c r="IK13" s="198" t="str">
        <f t="shared" ca="1" si="12"/>
        <v>qui</v>
      </c>
      <c r="IL13" s="198" t="str">
        <f t="shared" ca="1" si="12"/>
        <v>sex</v>
      </c>
      <c r="IM13" s="198" t="str">
        <f t="shared" ca="1" si="12"/>
        <v>sáb</v>
      </c>
      <c r="IN13" s="198" t="str">
        <f t="shared" ca="1" si="12"/>
        <v>dom</v>
      </c>
      <c r="IO13" s="198" t="str">
        <f t="shared" ca="1" si="12"/>
        <v>seg</v>
      </c>
      <c r="IP13" s="198" t="str">
        <f t="shared" ca="1" si="12"/>
        <v>ter</v>
      </c>
      <c r="IQ13" s="198" t="str">
        <f t="shared" ca="1" si="12"/>
        <v>qua</v>
      </c>
      <c r="IR13" s="198" t="str">
        <f t="shared" ca="1" si="12"/>
        <v>qui</v>
      </c>
      <c r="IS13" s="198" t="str">
        <f t="shared" ca="1" si="12"/>
        <v>sex</v>
      </c>
      <c r="IT13" s="198" t="str">
        <f t="shared" ca="1" si="12"/>
        <v>sáb</v>
      </c>
      <c r="IU13" s="198" t="str">
        <f t="shared" ca="1" si="12"/>
        <v>dom</v>
      </c>
      <c r="IV13" s="198" t="str">
        <f t="shared" ca="1" si="12"/>
        <v>seg</v>
      </c>
      <c r="IW13" s="198" t="str">
        <f t="shared" ca="1" si="12"/>
        <v>ter</v>
      </c>
      <c r="IX13" s="198" t="str">
        <f t="shared" ca="1" si="12"/>
        <v>qua</v>
      </c>
      <c r="IY13" s="198" t="str">
        <f t="shared" ca="1" si="12"/>
        <v>qui</v>
      </c>
      <c r="IZ13" s="198" t="str">
        <f t="shared" ca="1" si="12"/>
        <v>sex</v>
      </c>
      <c r="JA13" s="198" t="str">
        <f t="shared" ca="1" si="12"/>
        <v>sáb</v>
      </c>
      <c r="JB13" s="198" t="str">
        <f t="shared" ref="JB13:LM13" ca="1" si="13">TEXT(JB14,"ddd")</f>
        <v>dom</v>
      </c>
      <c r="JC13" s="198" t="str">
        <f t="shared" ca="1" si="13"/>
        <v>seg</v>
      </c>
      <c r="JD13" s="198" t="str">
        <f t="shared" ca="1" si="13"/>
        <v>ter</v>
      </c>
      <c r="JE13" s="198" t="str">
        <f t="shared" ca="1" si="13"/>
        <v>qua</v>
      </c>
      <c r="JF13" s="198" t="str">
        <f t="shared" ca="1" si="13"/>
        <v>qui</v>
      </c>
      <c r="JG13" s="198" t="str">
        <f t="shared" ca="1" si="13"/>
        <v>sex</v>
      </c>
      <c r="JH13" s="198" t="str">
        <f t="shared" ca="1" si="13"/>
        <v>sáb</v>
      </c>
      <c r="JI13" s="198" t="str">
        <f t="shared" ca="1" si="13"/>
        <v>dom</v>
      </c>
      <c r="JJ13" s="198" t="str">
        <f t="shared" ca="1" si="13"/>
        <v>seg</v>
      </c>
      <c r="JK13" s="198" t="str">
        <f t="shared" ca="1" si="13"/>
        <v>ter</v>
      </c>
      <c r="JL13" s="198" t="str">
        <f t="shared" ca="1" si="13"/>
        <v>qua</v>
      </c>
      <c r="JM13" s="198" t="str">
        <f t="shared" ca="1" si="13"/>
        <v>qui</v>
      </c>
      <c r="JN13" s="198" t="str">
        <f t="shared" ca="1" si="13"/>
        <v>sex</v>
      </c>
      <c r="JO13" s="198" t="str">
        <f t="shared" ca="1" si="13"/>
        <v>sáb</v>
      </c>
      <c r="JP13" s="198" t="str">
        <f t="shared" ca="1" si="13"/>
        <v>dom</v>
      </c>
      <c r="JQ13" s="198" t="str">
        <f t="shared" ca="1" si="13"/>
        <v>seg</v>
      </c>
      <c r="JR13" s="198" t="str">
        <f t="shared" ca="1" si="13"/>
        <v>ter</v>
      </c>
      <c r="JS13" s="198" t="str">
        <f t="shared" ca="1" si="13"/>
        <v>qua</v>
      </c>
      <c r="JT13" s="198" t="str">
        <f t="shared" ca="1" si="13"/>
        <v>qui</v>
      </c>
      <c r="JU13" s="198" t="str">
        <f t="shared" ca="1" si="13"/>
        <v>sex</v>
      </c>
      <c r="JV13" s="198" t="str">
        <f t="shared" ca="1" si="13"/>
        <v>sáb</v>
      </c>
      <c r="JW13" s="198" t="str">
        <f t="shared" ca="1" si="13"/>
        <v>dom</v>
      </c>
      <c r="JX13" s="198" t="str">
        <f t="shared" ca="1" si="13"/>
        <v>seg</v>
      </c>
      <c r="JY13" s="198" t="str">
        <f t="shared" ca="1" si="13"/>
        <v>ter</v>
      </c>
      <c r="JZ13" s="198" t="str">
        <f t="shared" ca="1" si="13"/>
        <v>qua</v>
      </c>
      <c r="KA13" s="198" t="str">
        <f t="shared" ca="1" si="13"/>
        <v>qui</v>
      </c>
      <c r="KB13" s="198" t="str">
        <f t="shared" ca="1" si="13"/>
        <v>sex</v>
      </c>
      <c r="KC13" s="198" t="str">
        <f t="shared" ca="1" si="13"/>
        <v>sáb</v>
      </c>
      <c r="KD13" s="198" t="str">
        <f t="shared" ca="1" si="13"/>
        <v>dom</v>
      </c>
      <c r="KE13" s="198" t="str">
        <f t="shared" ca="1" si="13"/>
        <v>seg</v>
      </c>
      <c r="KF13" s="198" t="str">
        <f t="shared" ca="1" si="13"/>
        <v>ter</v>
      </c>
      <c r="KG13" s="198" t="str">
        <f t="shared" ca="1" si="13"/>
        <v>qua</v>
      </c>
      <c r="KH13" s="198" t="str">
        <f t="shared" ca="1" si="13"/>
        <v>qui</v>
      </c>
      <c r="KI13" s="198" t="str">
        <f t="shared" ca="1" si="13"/>
        <v>sex</v>
      </c>
      <c r="KJ13" s="198" t="str">
        <f t="shared" ca="1" si="13"/>
        <v>sáb</v>
      </c>
      <c r="KK13" s="198" t="str">
        <f t="shared" ca="1" si="13"/>
        <v>dom</v>
      </c>
      <c r="KL13" s="198" t="str">
        <f t="shared" ca="1" si="13"/>
        <v>seg</v>
      </c>
      <c r="KM13" s="198" t="str">
        <f t="shared" ca="1" si="13"/>
        <v>ter</v>
      </c>
      <c r="KN13" s="198" t="str">
        <f t="shared" ca="1" si="13"/>
        <v>qua</v>
      </c>
      <c r="KO13" s="198" t="str">
        <f t="shared" ca="1" si="13"/>
        <v>qui</v>
      </c>
      <c r="KP13" s="198" t="str">
        <f t="shared" ca="1" si="13"/>
        <v>sex</v>
      </c>
      <c r="KQ13" s="198" t="str">
        <f t="shared" ca="1" si="13"/>
        <v>sáb</v>
      </c>
      <c r="KR13" s="198" t="str">
        <f t="shared" ca="1" si="13"/>
        <v>dom</v>
      </c>
      <c r="KS13" s="198" t="str">
        <f t="shared" ca="1" si="13"/>
        <v>seg</v>
      </c>
      <c r="KT13" s="198" t="str">
        <f t="shared" ca="1" si="13"/>
        <v>ter</v>
      </c>
      <c r="KU13" s="198" t="str">
        <f t="shared" ca="1" si="13"/>
        <v>qua</v>
      </c>
      <c r="KV13" s="198" t="str">
        <f t="shared" ca="1" si="13"/>
        <v>qui</v>
      </c>
      <c r="KW13" s="198" t="str">
        <f t="shared" ca="1" si="13"/>
        <v>sex</v>
      </c>
      <c r="KX13" s="198" t="str">
        <f t="shared" ca="1" si="13"/>
        <v>sáb</v>
      </c>
      <c r="KY13" s="198" t="str">
        <f t="shared" ca="1" si="13"/>
        <v>dom</v>
      </c>
      <c r="KZ13" s="198" t="str">
        <f t="shared" ca="1" si="13"/>
        <v>seg</v>
      </c>
      <c r="LA13" s="198" t="str">
        <f t="shared" ca="1" si="13"/>
        <v>ter</v>
      </c>
      <c r="LB13" s="198" t="str">
        <f t="shared" ca="1" si="13"/>
        <v>qua</v>
      </c>
      <c r="LC13" s="198" t="str">
        <f t="shared" ca="1" si="13"/>
        <v>qui</v>
      </c>
      <c r="LD13" s="198" t="str">
        <f t="shared" ca="1" si="13"/>
        <v>sex</v>
      </c>
      <c r="LE13" s="198" t="str">
        <f t="shared" ca="1" si="13"/>
        <v>sáb</v>
      </c>
      <c r="LF13" s="198" t="str">
        <f t="shared" ca="1" si="13"/>
        <v>dom</v>
      </c>
      <c r="LG13" s="198" t="str">
        <f t="shared" ca="1" si="13"/>
        <v>seg</v>
      </c>
      <c r="LH13" s="198" t="str">
        <f t="shared" ca="1" si="13"/>
        <v>ter</v>
      </c>
      <c r="LI13" s="198" t="str">
        <f t="shared" ca="1" si="13"/>
        <v>qua</v>
      </c>
      <c r="LJ13" s="198" t="str">
        <f t="shared" ca="1" si="13"/>
        <v>qui</v>
      </c>
      <c r="LK13" s="198" t="str">
        <f t="shared" ca="1" si="13"/>
        <v>sex</v>
      </c>
      <c r="LL13" s="198" t="str">
        <f t="shared" ca="1" si="13"/>
        <v>sáb</v>
      </c>
      <c r="LM13" s="198" t="str">
        <f t="shared" ca="1" si="13"/>
        <v>dom</v>
      </c>
      <c r="LN13" s="198" t="str">
        <f t="shared" ref="LN13:NY13" ca="1" si="14">TEXT(LN14,"ddd")</f>
        <v>seg</v>
      </c>
      <c r="LO13" s="198" t="str">
        <f t="shared" ca="1" si="14"/>
        <v>ter</v>
      </c>
      <c r="LP13" s="198" t="str">
        <f t="shared" ca="1" si="14"/>
        <v>qua</v>
      </c>
      <c r="LQ13" s="198" t="str">
        <f t="shared" ca="1" si="14"/>
        <v>qui</v>
      </c>
      <c r="LR13" s="198" t="str">
        <f t="shared" ca="1" si="14"/>
        <v>sex</v>
      </c>
      <c r="LS13" s="198" t="str">
        <f t="shared" ca="1" si="14"/>
        <v>sáb</v>
      </c>
      <c r="LT13" s="198" t="str">
        <f t="shared" ca="1" si="14"/>
        <v>dom</v>
      </c>
      <c r="LU13" s="198" t="str">
        <f t="shared" ca="1" si="14"/>
        <v>seg</v>
      </c>
      <c r="LV13" s="198" t="str">
        <f t="shared" ca="1" si="14"/>
        <v>ter</v>
      </c>
      <c r="LW13" s="198" t="str">
        <f t="shared" ca="1" si="14"/>
        <v>qua</v>
      </c>
      <c r="LX13" s="198" t="str">
        <f t="shared" ca="1" si="14"/>
        <v>qui</v>
      </c>
      <c r="LY13" s="198" t="str">
        <f t="shared" ca="1" si="14"/>
        <v>sex</v>
      </c>
      <c r="LZ13" s="198" t="str">
        <f t="shared" ca="1" si="14"/>
        <v>sáb</v>
      </c>
      <c r="MA13" s="198" t="str">
        <f t="shared" ca="1" si="14"/>
        <v>dom</v>
      </c>
      <c r="MB13" s="198" t="str">
        <f t="shared" ca="1" si="14"/>
        <v>seg</v>
      </c>
      <c r="MC13" s="198" t="str">
        <f t="shared" ca="1" si="14"/>
        <v>ter</v>
      </c>
      <c r="MD13" s="198" t="str">
        <f t="shared" ca="1" si="14"/>
        <v>qua</v>
      </c>
      <c r="ME13" s="198" t="str">
        <f t="shared" ca="1" si="14"/>
        <v>qui</v>
      </c>
      <c r="MF13" s="198" t="str">
        <f t="shared" ca="1" si="14"/>
        <v>sex</v>
      </c>
      <c r="MG13" s="198" t="str">
        <f t="shared" ca="1" si="14"/>
        <v>sáb</v>
      </c>
      <c r="MH13" s="198" t="str">
        <f t="shared" ca="1" si="14"/>
        <v>dom</v>
      </c>
      <c r="MI13" s="198" t="str">
        <f t="shared" ca="1" si="14"/>
        <v>seg</v>
      </c>
      <c r="MJ13" s="198" t="str">
        <f t="shared" ca="1" si="14"/>
        <v>ter</v>
      </c>
      <c r="MK13" s="198" t="str">
        <f t="shared" ca="1" si="14"/>
        <v>qua</v>
      </c>
      <c r="ML13" s="198" t="str">
        <f t="shared" ca="1" si="14"/>
        <v>qui</v>
      </c>
      <c r="MM13" s="198" t="str">
        <f t="shared" ca="1" si="14"/>
        <v>sex</v>
      </c>
      <c r="MN13" s="198" t="str">
        <f t="shared" ca="1" si="14"/>
        <v>sáb</v>
      </c>
      <c r="MO13" s="198" t="str">
        <f t="shared" ca="1" si="14"/>
        <v>dom</v>
      </c>
      <c r="MP13" s="198" t="str">
        <f t="shared" ca="1" si="14"/>
        <v>seg</v>
      </c>
      <c r="MQ13" s="198" t="str">
        <f t="shared" ca="1" si="14"/>
        <v>ter</v>
      </c>
      <c r="MR13" s="198" t="str">
        <f t="shared" ca="1" si="14"/>
        <v>qua</v>
      </c>
      <c r="MS13" s="198" t="str">
        <f t="shared" ca="1" si="14"/>
        <v>qui</v>
      </c>
      <c r="MT13" s="198" t="str">
        <f t="shared" ca="1" si="14"/>
        <v>sex</v>
      </c>
      <c r="MU13" s="198" t="str">
        <f t="shared" ca="1" si="14"/>
        <v>sáb</v>
      </c>
      <c r="MV13" s="198" t="str">
        <f t="shared" ca="1" si="14"/>
        <v>dom</v>
      </c>
      <c r="MW13" s="198" t="str">
        <f t="shared" ca="1" si="14"/>
        <v>seg</v>
      </c>
      <c r="MX13" s="198" t="str">
        <f t="shared" ca="1" si="14"/>
        <v>ter</v>
      </c>
      <c r="MY13" s="198" t="str">
        <f t="shared" ca="1" si="14"/>
        <v>qua</v>
      </c>
      <c r="MZ13" s="198" t="str">
        <f t="shared" ca="1" si="14"/>
        <v>qui</v>
      </c>
      <c r="NA13" s="198" t="str">
        <f t="shared" ca="1" si="14"/>
        <v>sex</v>
      </c>
      <c r="NB13" s="198" t="str">
        <f t="shared" ca="1" si="14"/>
        <v>sáb</v>
      </c>
      <c r="NC13" s="198" t="str">
        <f t="shared" ca="1" si="14"/>
        <v>dom</v>
      </c>
      <c r="ND13" s="198" t="str">
        <f t="shared" ca="1" si="14"/>
        <v>seg</v>
      </c>
      <c r="NE13" s="198" t="str">
        <f t="shared" ca="1" si="14"/>
        <v>ter</v>
      </c>
      <c r="NF13" s="198" t="str">
        <f t="shared" ca="1" si="14"/>
        <v>qua</v>
      </c>
      <c r="NG13" s="198" t="str">
        <f t="shared" ca="1" si="14"/>
        <v>qui</v>
      </c>
      <c r="NH13" s="198" t="str">
        <f t="shared" ca="1" si="14"/>
        <v>sex</v>
      </c>
      <c r="NI13" s="198" t="str">
        <f t="shared" ca="1" si="14"/>
        <v>sáb</v>
      </c>
      <c r="NJ13" s="198" t="str">
        <f t="shared" ca="1" si="14"/>
        <v>dom</v>
      </c>
      <c r="NK13" s="198" t="str">
        <f t="shared" ca="1" si="14"/>
        <v>seg</v>
      </c>
      <c r="NL13" s="198" t="str">
        <f t="shared" ca="1" si="14"/>
        <v>ter</v>
      </c>
      <c r="NM13" s="198" t="str">
        <f t="shared" ca="1" si="14"/>
        <v>qua</v>
      </c>
      <c r="NN13" s="198" t="str">
        <f t="shared" ca="1" si="14"/>
        <v>qui</v>
      </c>
      <c r="NO13" s="198" t="str">
        <f t="shared" ca="1" si="14"/>
        <v>sex</v>
      </c>
      <c r="NP13" s="198" t="str">
        <f t="shared" ca="1" si="14"/>
        <v>sáb</v>
      </c>
      <c r="NQ13" s="198" t="str">
        <f t="shared" ca="1" si="14"/>
        <v>dom</v>
      </c>
      <c r="NR13" s="198" t="str">
        <f t="shared" ca="1" si="14"/>
        <v>seg</v>
      </c>
      <c r="NS13" s="198" t="str">
        <f t="shared" ca="1" si="14"/>
        <v>ter</v>
      </c>
      <c r="NT13" s="198" t="str">
        <f t="shared" ca="1" si="14"/>
        <v>qua</v>
      </c>
      <c r="NU13" s="198" t="str">
        <f t="shared" ca="1" si="14"/>
        <v>qui</v>
      </c>
      <c r="NV13" s="198" t="str">
        <f t="shared" ca="1" si="14"/>
        <v>sex</v>
      </c>
      <c r="NW13" s="198" t="str">
        <f t="shared" ca="1" si="14"/>
        <v>sáb</v>
      </c>
      <c r="NX13" s="198" t="str">
        <f t="shared" ca="1" si="14"/>
        <v>dom</v>
      </c>
      <c r="NY13" s="198" t="str">
        <f t="shared" ca="1" si="14"/>
        <v>seg</v>
      </c>
      <c r="NZ13" s="198" t="str">
        <f t="shared" ref="NZ13:QK13" ca="1" si="15">TEXT(NZ14,"ddd")</f>
        <v>ter</v>
      </c>
      <c r="OA13" s="198" t="str">
        <f t="shared" ca="1" si="15"/>
        <v>qua</v>
      </c>
      <c r="OB13" s="198" t="str">
        <f t="shared" ca="1" si="15"/>
        <v>qui</v>
      </c>
      <c r="OC13" s="198" t="str">
        <f t="shared" ca="1" si="15"/>
        <v>sex</v>
      </c>
      <c r="OD13" s="198" t="str">
        <f t="shared" ca="1" si="15"/>
        <v>sáb</v>
      </c>
      <c r="OE13" s="198" t="str">
        <f t="shared" ca="1" si="15"/>
        <v>dom</v>
      </c>
      <c r="OF13" s="198" t="str">
        <f t="shared" ca="1" si="15"/>
        <v>seg</v>
      </c>
      <c r="OG13" s="198" t="str">
        <f t="shared" ca="1" si="15"/>
        <v>ter</v>
      </c>
      <c r="OH13" s="198" t="str">
        <f t="shared" ca="1" si="15"/>
        <v>qua</v>
      </c>
      <c r="OI13" s="198" t="str">
        <f t="shared" ca="1" si="15"/>
        <v>qui</v>
      </c>
      <c r="OJ13" s="198" t="str">
        <f t="shared" ca="1" si="15"/>
        <v>sex</v>
      </c>
      <c r="OK13" s="198" t="str">
        <f t="shared" ca="1" si="15"/>
        <v>sáb</v>
      </c>
      <c r="OL13" s="198" t="str">
        <f t="shared" ca="1" si="15"/>
        <v>dom</v>
      </c>
      <c r="OM13" s="198" t="str">
        <f t="shared" ca="1" si="15"/>
        <v>seg</v>
      </c>
      <c r="ON13" s="198" t="str">
        <f t="shared" ca="1" si="15"/>
        <v>ter</v>
      </c>
      <c r="OO13" s="198" t="str">
        <f t="shared" ca="1" si="15"/>
        <v>qua</v>
      </c>
      <c r="OP13" s="198" t="str">
        <f t="shared" ca="1" si="15"/>
        <v>qui</v>
      </c>
      <c r="OQ13" s="198" t="str">
        <f t="shared" ca="1" si="15"/>
        <v>sex</v>
      </c>
      <c r="OR13" s="198" t="str">
        <f t="shared" ca="1" si="15"/>
        <v>sáb</v>
      </c>
      <c r="OS13" s="198" t="str">
        <f t="shared" ca="1" si="15"/>
        <v>dom</v>
      </c>
      <c r="OT13" s="198" t="str">
        <f t="shared" ca="1" si="15"/>
        <v>seg</v>
      </c>
      <c r="OU13" s="198" t="str">
        <f t="shared" ca="1" si="15"/>
        <v>ter</v>
      </c>
      <c r="OV13" s="198" t="str">
        <f t="shared" ca="1" si="15"/>
        <v>qua</v>
      </c>
      <c r="OW13" s="198" t="str">
        <f t="shared" ca="1" si="15"/>
        <v>qui</v>
      </c>
      <c r="OX13" s="198" t="str">
        <f t="shared" ca="1" si="15"/>
        <v>sex</v>
      </c>
      <c r="OY13" s="198" t="str">
        <f t="shared" ca="1" si="15"/>
        <v>sáb</v>
      </c>
      <c r="OZ13" s="198" t="str">
        <f t="shared" ca="1" si="15"/>
        <v>dom</v>
      </c>
      <c r="PA13" s="198" t="str">
        <f t="shared" ca="1" si="15"/>
        <v>seg</v>
      </c>
      <c r="PB13" s="198" t="str">
        <f t="shared" ca="1" si="15"/>
        <v>ter</v>
      </c>
      <c r="PC13" s="198" t="str">
        <f t="shared" ca="1" si="15"/>
        <v>qua</v>
      </c>
      <c r="PD13" s="198" t="str">
        <f t="shared" ca="1" si="15"/>
        <v>qui</v>
      </c>
      <c r="PE13" s="198" t="str">
        <f t="shared" ca="1" si="15"/>
        <v>sex</v>
      </c>
      <c r="PF13" s="198" t="str">
        <f t="shared" ca="1" si="15"/>
        <v>sáb</v>
      </c>
      <c r="PG13" s="198" t="str">
        <f t="shared" ca="1" si="15"/>
        <v>dom</v>
      </c>
      <c r="PH13" s="198" t="str">
        <f t="shared" ca="1" si="15"/>
        <v>seg</v>
      </c>
      <c r="PI13" s="198" t="str">
        <f t="shared" ca="1" si="15"/>
        <v>ter</v>
      </c>
      <c r="PJ13" s="198" t="str">
        <f t="shared" ca="1" si="15"/>
        <v>qua</v>
      </c>
      <c r="PK13" s="198" t="str">
        <f t="shared" ca="1" si="15"/>
        <v>qui</v>
      </c>
      <c r="PL13" s="198" t="str">
        <f t="shared" ca="1" si="15"/>
        <v>sex</v>
      </c>
      <c r="PM13" s="198" t="str">
        <f t="shared" ca="1" si="15"/>
        <v>sáb</v>
      </c>
      <c r="PN13" s="198" t="str">
        <f t="shared" ca="1" si="15"/>
        <v>dom</v>
      </c>
      <c r="PO13" s="198" t="str">
        <f t="shared" ca="1" si="15"/>
        <v>seg</v>
      </c>
      <c r="PP13" s="198" t="str">
        <f t="shared" ca="1" si="15"/>
        <v>ter</v>
      </c>
      <c r="PQ13" s="198" t="str">
        <f t="shared" ca="1" si="15"/>
        <v>qua</v>
      </c>
      <c r="PR13" s="198" t="str">
        <f t="shared" ca="1" si="15"/>
        <v>qui</v>
      </c>
      <c r="PS13" s="198" t="str">
        <f t="shared" ca="1" si="15"/>
        <v>sex</v>
      </c>
      <c r="PT13" s="198" t="str">
        <f t="shared" ca="1" si="15"/>
        <v>sáb</v>
      </c>
      <c r="PU13" s="198" t="str">
        <f t="shared" ca="1" si="15"/>
        <v>dom</v>
      </c>
      <c r="PV13" s="198" t="str">
        <f t="shared" ca="1" si="15"/>
        <v>seg</v>
      </c>
      <c r="PW13" s="198" t="str">
        <f t="shared" ca="1" si="15"/>
        <v>ter</v>
      </c>
      <c r="PX13" s="198" t="str">
        <f t="shared" ca="1" si="15"/>
        <v>qua</v>
      </c>
      <c r="PY13" s="198" t="str">
        <f t="shared" ca="1" si="15"/>
        <v>qui</v>
      </c>
      <c r="PZ13" s="198" t="str">
        <f t="shared" ca="1" si="15"/>
        <v>sex</v>
      </c>
      <c r="QA13" s="198" t="str">
        <f t="shared" ca="1" si="15"/>
        <v>sáb</v>
      </c>
      <c r="QB13" s="198" t="str">
        <f t="shared" ca="1" si="15"/>
        <v>dom</v>
      </c>
      <c r="QC13" s="198" t="str">
        <f t="shared" ca="1" si="15"/>
        <v>seg</v>
      </c>
      <c r="QD13" s="198" t="str">
        <f t="shared" ca="1" si="15"/>
        <v>ter</v>
      </c>
      <c r="QE13" s="198" t="str">
        <f t="shared" ca="1" si="15"/>
        <v>qua</v>
      </c>
      <c r="QF13" s="198" t="str">
        <f t="shared" ca="1" si="15"/>
        <v>qui</v>
      </c>
      <c r="QG13" s="198" t="str">
        <f t="shared" ca="1" si="15"/>
        <v>sex</v>
      </c>
      <c r="QH13" s="198" t="str">
        <f t="shared" ca="1" si="15"/>
        <v>sáb</v>
      </c>
      <c r="QI13" s="198" t="str">
        <f t="shared" ca="1" si="15"/>
        <v>dom</v>
      </c>
      <c r="QJ13" s="198" t="str">
        <f t="shared" ca="1" si="15"/>
        <v>seg</v>
      </c>
      <c r="QK13" s="198" t="str">
        <f t="shared" ca="1" si="15"/>
        <v>ter</v>
      </c>
      <c r="QL13" s="198" t="str">
        <f t="shared" ref="QL13:SW13" ca="1" si="16">TEXT(QL14,"ddd")</f>
        <v>qua</v>
      </c>
      <c r="QM13" s="198" t="str">
        <f t="shared" ca="1" si="16"/>
        <v>qui</v>
      </c>
      <c r="QN13" s="198" t="str">
        <f t="shared" ca="1" si="16"/>
        <v>sex</v>
      </c>
      <c r="QO13" s="198" t="str">
        <f t="shared" ca="1" si="16"/>
        <v>sáb</v>
      </c>
      <c r="QP13" s="198" t="str">
        <f t="shared" ca="1" si="16"/>
        <v>dom</v>
      </c>
      <c r="QQ13" s="198" t="str">
        <f t="shared" ca="1" si="16"/>
        <v>seg</v>
      </c>
      <c r="QR13" s="198" t="str">
        <f t="shared" ca="1" si="16"/>
        <v>ter</v>
      </c>
      <c r="QS13" s="198" t="str">
        <f t="shared" ca="1" si="16"/>
        <v>qua</v>
      </c>
      <c r="QT13" s="198" t="str">
        <f t="shared" ca="1" si="16"/>
        <v>qui</v>
      </c>
      <c r="QU13" s="198" t="str">
        <f t="shared" ca="1" si="16"/>
        <v>sex</v>
      </c>
      <c r="QV13" s="198" t="str">
        <f t="shared" ca="1" si="16"/>
        <v>sáb</v>
      </c>
      <c r="QW13" s="198" t="str">
        <f t="shared" ca="1" si="16"/>
        <v>dom</v>
      </c>
      <c r="QX13" s="198" t="str">
        <f t="shared" ca="1" si="16"/>
        <v>seg</v>
      </c>
      <c r="QY13" s="198" t="str">
        <f t="shared" ca="1" si="16"/>
        <v>ter</v>
      </c>
      <c r="QZ13" s="198" t="str">
        <f t="shared" ca="1" si="16"/>
        <v>qua</v>
      </c>
      <c r="RA13" s="198" t="str">
        <f t="shared" ca="1" si="16"/>
        <v>qui</v>
      </c>
      <c r="RB13" s="198" t="str">
        <f t="shared" ca="1" si="16"/>
        <v>sex</v>
      </c>
      <c r="RC13" s="198" t="str">
        <f t="shared" ca="1" si="16"/>
        <v>sáb</v>
      </c>
      <c r="RD13" s="198" t="str">
        <f t="shared" ca="1" si="16"/>
        <v>dom</v>
      </c>
      <c r="RE13" s="198" t="str">
        <f t="shared" ca="1" si="16"/>
        <v>seg</v>
      </c>
      <c r="RF13" s="198" t="str">
        <f t="shared" ca="1" si="16"/>
        <v>ter</v>
      </c>
      <c r="RG13" s="198" t="str">
        <f t="shared" ca="1" si="16"/>
        <v>qua</v>
      </c>
      <c r="RH13" s="198" t="str">
        <f t="shared" ca="1" si="16"/>
        <v>qui</v>
      </c>
      <c r="RI13" s="198" t="str">
        <f t="shared" ca="1" si="16"/>
        <v>sex</v>
      </c>
      <c r="RJ13" s="198" t="str">
        <f t="shared" ca="1" si="16"/>
        <v>sáb</v>
      </c>
      <c r="RK13" s="198" t="str">
        <f t="shared" ca="1" si="16"/>
        <v>dom</v>
      </c>
      <c r="RL13" s="198" t="str">
        <f t="shared" ca="1" si="16"/>
        <v>seg</v>
      </c>
      <c r="RM13" s="198" t="str">
        <f t="shared" ca="1" si="16"/>
        <v>ter</v>
      </c>
      <c r="RN13" s="198" t="str">
        <f t="shared" ca="1" si="16"/>
        <v>qua</v>
      </c>
      <c r="RO13" s="198" t="str">
        <f t="shared" ca="1" si="16"/>
        <v>qui</v>
      </c>
      <c r="RP13" s="198" t="str">
        <f t="shared" ca="1" si="16"/>
        <v>sex</v>
      </c>
      <c r="RQ13" s="198" t="str">
        <f t="shared" ca="1" si="16"/>
        <v>sáb</v>
      </c>
      <c r="RR13" s="198" t="str">
        <f t="shared" ca="1" si="16"/>
        <v>dom</v>
      </c>
      <c r="RS13" s="198" t="str">
        <f t="shared" ca="1" si="16"/>
        <v>seg</v>
      </c>
      <c r="RT13" s="198" t="str">
        <f t="shared" ca="1" si="16"/>
        <v>ter</v>
      </c>
      <c r="RU13" s="198" t="str">
        <f t="shared" ca="1" si="16"/>
        <v>qua</v>
      </c>
      <c r="RV13" s="198" t="str">
        <f t="shared" ca="1" si="16"/>
        <v>qui</v>
      </c>
      <c r="RW13" s="198" t="str">
        <f t="shared" ca="1" si="16"/>
        <v>sex</v>
      </c>
      <c r="RX13" s="198" t="str">
        <f t="shared" ca="1" si="16"/>
        <v>sáb</v>
      </c>
      <c r="RY13" s="198" t="str">
        <f t="shared" ca="1" si="16"/>
        <v>dom</v>
      </c>
      <c r="RZ13" s="198" t="str">
        <f t="shared" ca="1" si="16"/>
        <v>seg</v>
      </c>
      <c r="SA13" s="198" t="str">
        <f t="shared" ca="1" si="16"/>
        <v>ter</v>
      </c>
      <c r="SB13" s="198" t="str">
        <f t="shared" ca="1" si="16"/>
        <v>qua</v>
      </c>
      <c r="SC13" s="198" t="str">
        <f t="shared" ca="1" si="16"/>
        <v>qui</v>
      </c>
      <c r="SD13" s="198" t="str">
        <f t="shared" ca="1" si="16"/>
        <v>sex</v>
      </c>
      <c r="SE13" s="198" t="str">
        <f t="shared" ca="1" si="16"/>
        <v>sáb</v>
      </c>
      <c r="SF13" s="198" t="str">
        <f t="shared" ca="1" si="16"/>
        <v>dom</v>
      </c>
      <c r="SG13" s="198" t="str">
        <f t="shared" ca="1" si="16"/>
        <v>seg</v>
      </c>
      <c r="SH13" s="198" t="str">
        <f t="shared" ca="1" si="16"/>
        <v>ter</v>
      </c>
      <c r="SI13" s="198" t="str">
        <f t="shared" ca="1" si="16"/>
        <v>qua</v>
      </c>
      <c r="SJ13" s="198" t="str">
        <f t="shared" ca="1" si="16"/>
        <v>qui</v>
      </c>
      <c r="SK13" s="198" t="str">
        <f t="shared" ca="1" si="16"/>
        <v>sex</v>
      </c>
      <c r="SL13" s="198" t="str">
        <f t="shared" ca="1" si="16"/>
        <v>sáb</v>
      </c>
      <c r="SM13" s="198" t="str">
        <f t="shared" ca="1" si="16"/>
        <v>dom</v>
      </c>
      <c r="SN13" s="198" t="str">
        <f t="shared" ca="1" si="16"/>
        <v>seg</v>
      </c>
      <c r="SO13" s="198" t="str">
        <f t="shared" ca="1" si="16"/>
        <v>ter</v>
      </c>
      <c r="SP13" s="198" t="str">
        <f t="shared" ca="1" si="16"/>
        <v>qua</v>
      </c>
      <c r="SQ13" s="198" t="str">
        <f t="shared" ca="1" si="16"/>
        <v>qui</v>
      </c>
      <c r="SR13" s="198" t="str">
        <f t="shared" ca="1" si="16"/>
        <v>sex</v>
      </c>
      <c r="SS13" s="198" t="str">
        <f t="shared" ca="1" si="16"/>
        <v>sáb</v>
      </c>
      <c r="ST13" s="198" t="str">
        <f t="shared" ca="1" si="16"/>
        <v>dom</v>
      </c>
      <c r="SU13" s="198" t="str">
        <f t="shared" ca="1" si="16"/>
        <v>seg</v>
      </c>
      <c r="SV13" s="198" t="str">
        <f t="shared" ca="1" si="16"/>
        <v>ter</v>
      </c>
      <c r="SW13" s="198" t="str">
        <f t="shared" ca="1" si="16"/>
        <v>qua</v>
      </c>
      <c r="SX13" s="198" t="str">
        <f t="shared" ref="SX13:US13" ca="1" si="17">TEXT(SX14,"ddd")</f>
        <v>qui</v>
      </c>
      <c r="SY13" s="198" t="str">
        <f t="shared" ca="1" si="17"/>
        <v>sex</v>
      </c>
      <c r="SZ13" s="198" t="str">
        <f t="shared" ca="1" si="17"/>
        <v>sáb</v>
      </c>
      <c r="TA13" s="198" t="str">
        <f t="shared" ca="1" si="17"/>
        <v>dom</v>
      </c>
      <c r="TB13" s="198" t="str">
        <f t="shared" ca="1" si="17"/>
        <v>seg</v>
      </c>
      <c r="TC13" s="198" t="str">
        <f t="shared" ca="1" si="17"/>
        <v>ter</v>
      </c>
      <c r="TD13" s="198" t="str">
        <f t="shared" ca="1" si="17"/>
        <v>qua</v>
      </c>
      <c r="TE13" s="198" t="str">
        <f t="shared" ca="1" si="17"/>
        <v>qui</v>
      </c>
      <c r="TF13" s="198" t="str">
        <f t="shared" ca="1" si="17"/>
        <v>sex</v>
      </c>
      <c r="TG13" s="198" t="str">
        <f t="shared" ca="1" si="17"/>
        <v>sáb</v>
      </c>
      <c r="TH13" s="198" t="str">
        <f t="shared" ca="1" si="17"/>
        <v>dom</v>
      </c>
      <c r="TI13" s="198" t="str">
        <f t="shared" ca="1" si="17"/>
        <v>seg</v>
      </c>
      <c r="TJ13" s="198" t="str">
        <f t="shared" ca="1" si="17"/>
        <v>ter</v>
      </c>
      <c r="TK13" s="198" t="str">
        <f t="shared" ca="1" si="17"/>
        <v>qua</v>
      </c>
      <c r="TL13" s="198" t="str">
        <f t="shared" ca="1" si="17"/>
        <v>qui</v>
      </c>
      <c r="TM13" s="198" t="str">
        <f t="shared" ca="1" si="17"/>
        <v>sex</v>
      </c>
      <c r="TN13" s="198" t="str">
        <f t="shared" ca="1" si="17"/>
        <v>sáb</v>
      </c>
      <c r="TO13" s="198" t="str">
        <f t="shared" ca="1" si="17"/>
        <v>dom</v>
      </c>
      <c r="TP13" s="198" t="str">
        <f t="shared" ca="1" si="17"/>
        <v>seg</v>
      </c>
      <c r="TQ13" s="198" t="str">
        <f t="shared" ca="1" si="17"/>
        <v>ter</v>
      </c>
      <c r="TR13" s="198" t="str">
        <f t="shared" ca="1" si="17"/>
        <v>qua</v>
      </c>
      <c r="TS13" s="198" t="str">
        <f t="shared" ca="1" si="17"/>
        <v>qui</v>
      </c>
      <c r="TT13" s="198" t="str">
        <f t="shared" ca="1" si="17"/>
        <v>sex</v>
      </c>
      <c r="TU13" s="198" t="str">
        <f t="shared" ca="1" si="17"/>
        <v>sáb</v>
      </c>
      <c r="TV13" s="198" t="str">
        <f t="shared" ca="1" si="17"/>
        <v>dom</v>
      </c>
      <c r="TW13" s="198" t="str">
        <f t="shared" ca="1" si="17"/>
        <v>seg</v>
      </c>
      <c r="TX13" s="198" t="str">
        <f t="shared" ca="1" si="17"/>
        <v>ter</v>
      </c>
      <c r="TY13" s="198" t="str">
        <f t="shared" ca="1" si="17"/>
        <v>qua</v>
      </c>
      <c r="TZ13" s="198" t="str">
        <f t="shared" ca="1" si="17"/>
        <v>qui</v>
      </c>
      <c r="UA13" s="198" t="str">
        <f t="shared" ca="1" si="17"/>
        <v>sex</v>
      </c>
      <c r="UB13" s="198" t="str">
        <f t="shared" ca="1" si="17"/>
        <v>sáb</v>
      </c>
      <c r="UC13" s="198" t="str">
        <f t="shared" ca="1" si="17"/>
        <v>dom</v>
      </c>
      <c r="UD13" s="198" t="str">
        <f t="shared" ca="1" si="17"/>
        <v>seg</v>
      </c>
      <c r="UE13" s="198" t="str">
        <f t="shared" ca="1" si="17"/>
        <v>ter</v>
      </c>
      <c r="UF13" s="198" t="str">
        <f t="shared" ca="1" si="17"/>
        <v>qua</v>
      </c>
      <c r="UG13" s="198" t="str">
        <f t="shared" ca="1" si="17"/>
        <v>qui</v>
      </c>
      <c r="UH13" s="198" t="str">
        <f t="shared" ca="1" si="17"/>
        <v>sex</v>
      </c>
      <c r="UI13" s="198" t="str">
        <f t="shared" ca="1" si="17"/>
        <v>sáb</v>
      </c>
      <c r="UJ13" s="198" t="str">
        <f t="shared" ca="1" si="17"/>
        <v>dom</v>
      </c>
      <c r="UK13" s="198" t="str">
        <f t="shared" ca="1" si="17"/>
        <v>seg</v>
      </c>
      <c r="UL13" s="198" t="str">
        <f t="shared" ca="1" si="17"/>
        <v>ter</v>
      </c>
      <c r="UM13" s="198" t="str">
        <f t="shared" ca="1" si="17"/>
        <v>qua</v>
      </c>
      <c r="UN13" s="198" t="str">
        <f t="shared" ca="1" si="17"/>
        <v>qui</v>
      </c>
      <c r="UO13" s="198" t="str">
        <f t="shared" ca="1" si="17"/>
        <v>sex</v>
      </c>
      <c r="UP13" s="198" t="str">
        <f t="shared" ca="1" si="17"/>
        <v>sáb</v>
      </c>
      <c r="UQ13" s="198" t="str">
        <f t="shared" ca="1" si="17"/>
        <v>dom</v>
      </c>
      <c r="UR13" s="198" t="str">
        <f t="shared" ca="1" si="17"/>
        <v>seg</v>
      </c>
      <c r="US13" s="201" t="str">
        <f t="shared" ca="1" si="17"/>
        <v>ter</v>
      </c>
      <c r="UT13" s="194"/>
      <c r="VA13" s="186"/>
      <c r="VB13" s="186"/>
      <c r="VC13" s="186"/>
    </row>
    <row r="14" spans="1:597" ht="59.4" thickBot="1" x14ac:dyDescent="0.35">
      <c r="B14" s="202"/>
      <c r="C14" s="203"/>
      <c r="D14" s="204"/>
      <c r="E14" s="357"/>
      <c r="F14" s="205">
        <v>45196</v>
      </c>
      <c r="G14" s="206">
        <f t="shared" ref="G14:BR14" ca="1" si="18">OFFSET(G14,0,-1)+1</f>
        <v>45197</v>
      </c>
      <c r="H14" s="206">
        <f t="shared" ca="1" si="18"/>
        <v>45198</v>
      </c>
      <c r="I14" s="206">
        <f t="shared" ca="1" si="18"/>
        <v>45199</v>
      </c>
      <c r="J14" s="206">
        <f t="shared" ca="1" si="18"/>
        <v>45200</v>
      </c>
      <c r="K14" s="206">
        <f t="shared" ca="1" si="18"/>
        <v>45201</v>
      </c>
      <c r="L14" s="207">
        <f t="shared" ca="1" si="18"/>
        <v>45202</v>
      </c>
      <c r="M14" s="206">
        <f t="shared" ca="1" si="18"/>
        <v>45203</v>
      </c>
      <c r="N14" s="206">
        <f t="shared" ca="1" si="18"/>
        <v>45204</v>
      </c>
      <c r="O14" s="206">
        <f t="shared" ca="1" si="18"/>
        <v>45205</v>
      </c>
      <c r="P14" s="206">
        <f t="shared" ca="1" si="18"/>
        <v>45206</v>
      </c>
      <c r="Q14" s="206">
        <f t="shared" ca="1" si="18"/>
        <v>45207</v>
      </c>
      <c r="R14" s="206">
        <f t="shared" ca="1" si="18"/>
        <v>45208</v>
      </c>
      <c r="S14" s="206">
        <f t="shared" ca="1" si="18"/>
        <v>45209</v>
      </c>
      <c r="T14" s="206">
        <f t="shared" ca="1" si="18"/>
        <v>45210</v>
      </c>
      <c r="U14" s="206">
        <f t="shared" ca="1" si="18"/>
        <v>45211</v>
      </c>
      <c r="V14" s="206">
        <f t="shared" ca="1" si="18"/>
        <v>45212</v>
      </c>
      <c r="W14" s="206">
        <f t="shared" ca="1" si="18"/>
        <v>45213</v>
      </c>
      <c r="X14" s="206">
        <f t="shared" ca="1" si="18"/>
        <v>45214</v>
      </c>
      <c r="Y14" s="206">
        <f t="shared" ca="1" si="18"/>
        <v>45215</v>
      </c>
      <c r="Z14" s="206">
        <f t="shared" ca="1" si="18"/>
        <v>45216</v>
      </c>
      <c r="AA14" s="206">
        <f t="shared" ca="1" si="18"/>
        <v>45217</v>
      </c>
      <c r="AB14" s="206">
        <f t="shared" ca="1" si="18"/>
        <v>45218</v>
      </c>
      <c r="AC14" s="206">
        <f t="shared" ca="1" si="18"/>
        <v>45219</v>
      </c>
      <c r="AD14" s="206">
        <f t="shared" ca="1" si="18"/>
        <v>45220</v>
      </c>
      <c r="AE14" s="206">
        <f t="shared" ca="1" si="18"/>
        <v>45221</v>
      </c>
      <c r="AF14" s="206">
        <f t="shared" ca="1" si="18"/>
        <v>45222</v>
      </c>
      <c r="AG14" s="206">
        <f t="shared" ca="1" si="18"/>
        <v>45223</v>
      </c>
      <c r="AH14" s="206">
        <f t="shared" ca="1" si="18"/>
        <v>45224</v>
      </c>
      <c r="AI14" s="206">
        <f t="shared" ca="1" si="18"/>
        <v>45225</v>
      </c>
      <c r="AJ14" s="206">
        <f t="shared" ca="1" si="18"/>
        <v>45226</v>
      </c>
      <c r="AK14" s="206">
        <f t="shared" ca="1" si="18"/>
        <v>45227</v>
      </c>
      <c r="AL14" s="206">
        <f t="shared" ca="1" si="18"/>
        <v>45228</v>
      </c>
      <c r="AM14" s="206">
        <f t="shared" ca="1" si="18"/>
        <v>45229</v>
      </c>
      <c r="AN14" s="206">
        <f t="shared" ca="1" si="18"/>
        <v>45230</v>
      </c>
      <c r="AO14" s="206">
        <f t="shared" ca="1" si="18"/>
        <v>45231</v>
      </c>
      <c r="AP14" s="206">
        <f t="shared" ca="1" si="18"/>
        <v>45232</v>
      </c>
      <c r="AQ14" s="206">
        <f t="shared" ca="1" si="18"/>
        <v>45233</v>
      </c>
      <c r="AR14" s="206">
        <f t="shared" ca="1" si="18"/>
        <v>45234</v>
      </c>
      <c r="AS14" s="206">
        <f t="shared" ca="1" si="18"/>
        <v>45235</v>
      </c>
      <c r="AT14" s="206">
        <f t="shared" ca="1" si="18"/>
        <v>45236</v>
      </c>
      <c r="AU14" s="206">
        <f t="shared" ca="1" si="18"/>
        <v>45237</v>
      </c>
      <c r="AV14" s="206">
        <f t="shared" ca="1" si="18"/>
        <v>45238</v>
      </c>
      <c r="AW14" s="206">
        <f t="shared" ca="1" si="18"/>
        <v>45239</v>
      </c>
      <c r="AX14" s="206">
        <f t="shared" ca="1" si="18"/>
        <v>45240</v>
      </c>
      <c r="AY14" s="206">
        <f t="shared" ca="1" si="18"/>
        <v>45241</v>
      </c>
      <c r="AZ14" s="206">
        <f t="shared" ca="1" si="18"/>
        <v>45242</v>
      </c>
      <c r="BA14" s="206">
        <f t="shared" ca="1" si="18"/>
        <v>45243</v>
      </c>
      <c r="BB14" s="206">
        <f t="shared" ca="1" si="18"/>
        <v>45244</v>
      </c>
      <c r="BC14" s="206">
        <f t="shared" ca="1" si="18"/>
        <v>45245</v>
      </c>
      <c r="BD14" s="206">
        <f t="shared" ca="1" si="18"/>
        <v>45246</v>
      </c>
      <c r="BE14" s="206">
        <f t="shared" ca="1" si="18"/>
        <v>45247</v>
      </c>
      <c r="BF14" s="206">
        <f t="shared" ca="1" si="18"/>
        <v>45248</v>
      </c>
      <c r="BG14" s="206">
        <f t="shared" ca="1" si="18"/>
        <v>45249</v>
      </c>
      <c r="BH14" s="206">
        <f t="shared" ca="1" si="18"/>
        <v>45250</v>
      </c>
      <c r="BI14" s="206">
        <f t="shared" ca="1" si="18"/>
        <v>45251</v>
      </c>
      <c r="BJ14" s="206">
        <f t="shared" ca="1" si="18"/>
        <v>45252</v>
      </c>
      <c r="BK14" s="206">
        <f t="shared" ca="1" si="18"/>
        <v>45253</v>
      </c>
      <c r="BL14" s="206">
        <f t="shared" ca="1" si="18"/>
        <v>45254</v>
      </c>
      <c r="BM14" s="206">
        <f t="shared" ca="1" si="18"/>
        <v>45255</v>
      </c>
      <c r="BN14" s="206">
        <f t="shared" ca="1" si="18"/>
        <v>45256</v>
      </c>
      <c r="BO14" s="206">
        <f t="shared" ca="1" si="18"/>
        <v>45257</v>
      </c>
      <c r="BP14" s="206">
        <f t="shared" ca="1" si="18"/>
        <v>45258</v>
      </c>
      <c r="BQ14" s="206">
        <f t="shared" ca="1" si="18"/>
        <v>45259</v>
      </c>
      <c r="BR14" s="206">
        <f t="shared" ca="1" si="18"/>
        <v>45260</v>
      </c>
      <c r="BS14" s="206">
        <f t="shared" ref="BS14:ED14" ca="1" si="19">OFFSET(BS14,0,-1)+1</f>
        <v>45261</v>
      </c>
      <c r="BT14" s="206">
        <f t="shared" ca="1" si="19"/>
        <v>45262</v>
      </c>
      <c r="BU14" s="206">
        <f t="shared" ca="1" si="19"/>
        <v>45263</v>
      </c>
      <c r="BV14" s="206">
        <f t="shared" ca="1" si="19"/>
        <v>45264</v>
      </c>
      <c r="BW14" s="206">
        <f t="shared" ca="1" si="19"/>
        <v>45265</v>
      </c>
      <c r="BX14" s="206">
        <f t="shared" ca="1" si="19"/>
        <v>45266</v>
      </c>
      <c r="BY14" s="206">
        <f t="shared" ca="1" si="19"/>
        <v>45267</v>
      </c>
      <c r="BZ14" s="206">
        <f t="shared" ca="1" si="19"/>
        <v>45268</v>
      </c>
      <c r="CA14" s="206">
        <f t="shared" ca="1" si="19"/>
        <v>45269</v>
      </c>
      <c r="CB14" s="206">
        <f t="shared" ca="1" si="19"/>
        <v>45270</v>
      </c>
      <c r="CC14" s="206">
        <f t="shared" ca="1" si="19"/>
        <v>45271</v>
      </c>
      <c r="CD14" s="206">
        <f t="shared" ca="1" si="19"/>
        <v>45272</v>
      </c>
      <c r="CE14" s="206">
        <f t="shared" ca="1" si="19"/>
        <v>45273</v>
      </c>
      <c r="CF14" s="206">
        <f t="shared" ca="1" si="19"/>
        <v>45274</v>
      </c>
      <c r="CG14" s="206">
        <f t="shared" ca="1" si="19"/>
        <v>45275</v>
      </c>
      <c r="CH14" s="206">
        <f t="shared" ca="1" si="19"/>
        <v>45276</v>
      </c>
      <c r="CI14" s="206">
        <f t="shared" ca="1" si="19"/>
        <v>45277</v>
      </c>
      <c r="CJ14" s="206">
        <f t="shared" ca="1" si="19"/>
        <v>45278</v>
      </c>
      <c r="CK14" s="206">
        <f t="shared" ca="1" si="19"/>
        <v>45279</v>
      </c>
      <c r="CL14" s="206">
        <f t="shared" ca="1" si="19"/>
        <v>45280</v>
      </c>
      <c r="CM14" s="206">
        <f t="shared" ca="1" si="19"/>
        <v>45281</v>
      </c>
      <c r="CN14" s="206">
        <f t="shared" ca="1" si="19"/>
        <v>45282</v>
      </c>
      <c r="CO14" s="206">
        <f t="shared" ca="1" si="19"/>
        <v>45283</v>
      </c>
      <c r="CP14" s="206">
        <f t="shared" ca="1" si="19"/>
        <v>45284</v>
      </c>
      <c r="CQ14" s="206">
        <f t="shared" ca="1" si="19"/>
        <v>45285</v>
      </c>
      <c r="CR14" s="206">
        <f t="shared" ca="1" si="19"/>
        <v>45286</v>
      </c>
      <c r="CS14" s="206">
        <f t="shared" ca="1" si="19"/>
        <v>45287</v>
      </c>
      <c r="CT14" s="206">
        <f t="shared" ca="1" si="19"/>
        <v>45288</v>
      </c>
      <c r="CU14" s="206">
        <f t="shared" ca="1" si="19"/>
        <v>45289</v>
      </c>
      <c r="CV14" s="206">
        <f t="shared" ca="1" si="19"/>
        <v>45290</v>
      </c>
      <c r="CW14" s="206">
        <f t="shared" ca="1" si="19"/>
        <v>45291</v>
      </c>
      <c r="CX14" s="206">
        <f t="shared" ca="1" si="19"/>
        <v>45292</v>
      </c>
      <c r="CY14" s="206">
        <f t="shared" ca="1" si="19"/>
        <v>45293</v>
      </c>
      <c r="CZ14" s="206">
        <f t="shared" ca="1" si="19"/>
        <v>45294</v>
      </c>
      <c r="DA14" s="206">
        <f t="shared" ca="1" si="19"/>
        <v>45295</v>
      </c>
      <c r="DB14" s="206">
        <f t="shared" ca="1" si="19"/>
        <v>45296</v>
      </c>
      <c r="DC14" s="206">
        <f t="shared" ca="1" si="19"/>
        <v>45297</v>
      </c>
      <c r="DD14" s="206">
        <f t="shared" ca="1" si="19"/>
        <v>45298</v>
      </c>
      <c r="DE14" s="206">
        <f t="shared" ca="1" si="19"/>
        <v>45299</v>
      </c>
      <c r="DF14" s="206">
        <f t="shared" ca="1" si="19"/>
        <v>45300</v>
      </c>
      <c r="DG14" s="206">
        <f t="shared" ca="1" si="19"/>
        <v>45301</v>
      </c>
      <c r="DH14" s="206">
        <f t="shared" ca="1" si="19"/>
        <v>45302</v>
      </c>
      <c r="DI14" s="206">
        <f t="shared" ca="1" si="19"/>
        <v>45303</v>
      </c>
      <c r="DJ14" s="206">
        <f t="shared" ca="1" si="19"/>
        <v>45304</v>
      </c>
      <c r="DK14" s="206">
        <f t="shared" ca="1" si="19"/>
        <v>45305</v>
      </c>
      <c r="DL14" s="206">
        <f t="shared" ca="1" si="19"/>
        <v>45306</v>
      </c>
      <c r="DM14" s="206">
        <f t="shared" ca="1" si="19"/>
        <v>45307</v>
      </c>
      <c r="DN14" s="206">
        <f t="shared" ca="1" si="19"/>
        <v>45308</v>
      </c>
      <c r="DO14" s="206">
        <f t="shared" ca="1" si="19"/>
        <v>45309</v>
      </c>
      <c r="DP14" s="206">
        <f t="shared" ca="1" si="19"/>
        <v>45310</v>
      </c>
      <c r="DQ14" s="206">
        <f t="shared" ca="1" si="19"/>
        <v>45311</v>
      </c>
      <c r="DR14" s="206">
        <f t="shared" ca="1" si="19"/>
        <v>45312</v>
      </c>
      <c r="DS14" s="206">
        <f t="shared" ca="1" si="19"/>
        <v>45313</v>
      </c>
      <c r="DT14" s="206">
        <f t="shared" ca="1" si="19"/>
        <v>45314</v>
      </c>
      <c r="DU14" s="206">
        <f t="shared" ca="1" si="19"/>
        <v>45315</v>
      </c>
      <c r="DV14" s="206">
        <f t="shared" ca="1" si="19"/>
        <v>45316</v>
      </c>
      <c r="DW14" s="206">
        <f t="shared" ca="1" si="19"/>
        <v>45317</v>
      </c>
      <c r="DX14" s="206">
        <f t="shared" ca="1" si="19"/>
        <v>45318</v>
      </c>
      <c r="DY14" s="206">
        <f t="shared" ca="1" si="19"/>
        <v>45319</v>
      </c>
      <c r="DZ14" s="206">
        <f t="shared" ca="1" si="19"/>
        <v>45320</v>
      </c>
      <c r="EA14" s="206">
        <f t="shared" ca="1" si="19"/>
        <v>45321</v>
      </c>
      <c r="EB14" s="206">
        <f t="shared" ca="1" si="19"/>
        <v>45322</v>
      </c>
      <c r="EC14" s="206">
        <f t="shared" ca="1" si="19"/>
        <v>45323</v>
      </c>
      <c r="ED14" s="206">
        <f t="shared" ca="1" si="19"/>
        <v>45324</v>
      </c>
      <c r="EE14" s="206">
        <f t="shared" ref="EE14:GP14" ca="1" si="20">OFFSET(EE14,0,-1)+1</f>
        <v>45325</v>
      </c>
      <c r="EF14" s="206">
        <f t="shared" ca="1" si="20"/>
        <v>45326</v>
      </c>
      <c r="EG14" s="206">
        <f t="shared" ca="1" si="20"/>
        <v>45327</v>
      </c>
      <c r="EH14" s="206">
        <f t="shared" ca="1" si="20"/>
        <v>45328</v>
      </c>
      <c r="EI14" s="206">
        <f t="shared" ca="1" si="20"/>
        <v>45329</v>
      </c>
      <c r="EJ14" s="206">
        <f t="shared" ca="1" si="20"/>
        <v>45330</v>
      </c>
      <c r="EK14" s="206">
        <f t="shared" ca="1" si="20"/>
        <v>45331</v>
      </c>
      <c r="EL14" s="206">
        <f t="shared" ca="1" si="20"/>
        <v>45332</v>
      </c>
      <c r="EM14" s="206">
        <f t="shared" ca="1" si="20"/>
        <v>45333</v>
      </c>
      <c r="EN14" s="206">
        <f t="shared" ca="1" si="20"/>
        <v>45334</v>
      </c>
      <c r="EO14" s="206">
        <f t="shared" ca="1" si="20"/>
        <v>45335</v>
      </c>
      <c r="EP14" s="206">
        <f t="shared" ca="1" si="20"/>
        <v>45336</v>
      </c>
      <c r="EQ14" s="206">
        <f t="shared" ca="1" si="20"/>
        <v>45337</v>
      </c>
      <c r="ER14" s="206">
        <f t="shared" ca="1" si="20"/>
        <v>45338</v>
      </c>
      <c r="ES14" s="206">
        <f t="shared" ca="1" si="20"/>
        <v>45339</v>
      </c>
      <c r="ET14" s="206">
        <f t="shared" ca="1" si="20"/>
        <v>45340</v>
      </c>
      <c r="EU14" s="206">
        <f t="shared" ca="1" si="20"/>
        <v>45341</v>
      </c>
      <c r="EV14" s="206">
        <f t="shared" ca="1" si="20"/>
        <v>45342</v>
      </c>
      <c r="EW14" s="206">
        <f t="shared" ca="1" si="20"/>
        <v>45343</v>
      </c>
      <c r="EX14" s="206">
        <f t="shared" ca="1" si="20"/>
        <v>45344</v>
      </c>
      <c r="EY14" s="206">
        <f t="shared" ca="1" si="20"/>
        <v>45345</v>
      </c>
      <c r="EZ14" s="206">
        <f t="shared" ca="1" si="20"/>
        <v>45346</v>
      </c>
      <c r="FA14" s="206">
        <f t="shared" ca="1" si="20"/>
        <v>45347</v>
      </c>
      <c r="FB14" s="208">
        <f t="shared" ca="1" si="20"/>
        <v>45348</v>
      </c>
      <c r="FC14" s="206">
        <f t="shared" ca="1" si="20"/>
        <v>45349</v>
      </c>
      <c r="FD14" s="206">
        <f t="shared" ca="1" si="20"/>
        <v>45350</v>
      </c>
      <c r="FE14" s="206">
        <f t="shared" ca="1" si="20"/>
        <v>45351</v>
      </c>
      <c r="FF14" s="206">
        <f t="shared" ca="1" si="20"/>
        <v>45352</v>
      </c>
      <c r="FG14" s="206">
        <f t="shared" ca="1" si="20"/>
        <v>45353</v>
      </c>
      <c r="FH14" s="206">
        <f t="shared" ca="1" si="20"/>
        <v>45354</v>
      </c>
      <c r="FI14" s="206">
        <f t="shared" ca="1" si="20"/>
        <v>45355</v>
      </c>
      <c r="FJ14" s="206">
        <f t="shared" ca="1" si="20"/>
        <v>45356</v>
      </c>
      <c r="FK14" s="206">
        <f t="shared" ca="1" si="20"/>
        <v>45357</v>
      </c>
      <c r="FL14" s="206">
        <f t="shared" ca="1" si="20"/>
        <v>45358</v>
      </c>
      <c r="FM14" s="206">
        <f t="shared" ca="1" si="20"/>
        <v>45359</v>
      </c>
      <c r="FN14" s="206">
        <f t="shared" ca="1" si="20"/>
        <v>45360</v>
      </c>
      <c r="FO14" s="206">
        <f t="shared" ca="1" si="20"/>
        <v>45361</v>
      </c>
      <c r="FP14" s="206">
        <f t="shared" ca="1" si="20"/>
        <v>45362</v>
      </c>
      <c r="FQ14" s="206">
        <f t="shared" ca="1" si="20"/>
        <v>45363</v>
      </c>
      <c r="FR14" s="206">
        <f t="shared" ca="1" si="20"/>
        <v>45364</v>
      </c>
      <c r="FS14" s="206">
        <f t="shared" ca="1" si="20"/>
        <v>45365</v>
      </c>
      <c r="FT14" s="206">
        <f t="shared" ca="1" si="20"/>
        <v>45366</v>
      </c>
      <c r="FU14" s="206">
        <f t="shared" ca="1" si="20"/>
        <v>45367</v>
      </c>
      <c r="FV14" s="206">
        <f t="shared" ca="1" si="20"/>
        <v>45368</v>
      </c>
      <c r="FW14" s="206">
        <f t="shared" ca="1" si="20"/>
        <v>45369</v>
      </c>
      <c r="FX14" s="206">
        <f t="shared" ca="1" si="20"/>
        <v>45370</v>
      </c>
      <c r="FY14" s="206">
        <f t="shared" ca="1" si="20"/>
        <v>45371</v>
      </c>
      <c r="FZ14" s="206">
        <f t="shared" ca="1" si="20"/>
        <v>45372</v>
      </c>
      <c r="GA14" s="206">
        <f t="shared" ca="1" si="20"/>
        <v>45373</v>
      </c>
      <c r="GB14" s="206">
        <f t="shared" ca="1" si="20"/>
        <v>45374</v>
      </c>
      <c r="GC14" s="206">
        <f t="shared" ca="1" si="20"/>
        <v>45375</v>
      </c>
      <c r="GD14" s="206">
        <f t="shared" ca="1" si="20"/>
        <v>45376</v>
      </c>
      <c r="GE14" s="206">
        <f t="shared" ca="1" si="20"/>
        <v>45377</v>
      </c>
      <c r="GF14" s="206">
        <f t="shared" ca="1" si="20"/>
        <v>45378</v>
      </c>
      <c r="GG14" s="206">
        <f t="shared" ca="1" si="20"/>
        <v>45379</v>
      </c>
      <c r="GH14" s="206">
        <f t="shared" ca="1" si="20"/>
        <v>45380</v>
      </c>
      <c r="GI14" s="206">
        <f t="shared" ca="1" si="20"/>
        <v>45381</v>
      </c>
      <c r="GJ14" s="206">
        <f t="shared" ca="1" si="20"/>
        <v>45382</v>
      </c>
      <c r="GK14" s="206">
        <f t="shared" ca="1" si="20"/>
        <v>45383</v>
      </c>
      <c r="GL14" s="206">
        <f t="shared" ca="1" si="20"/>
        <v>45384</v>
      </c>
      <c r="GM14" s="206">
        <f t="shared" ca="1" si="20"/>
        <v>45385</v>
      </c>
      <c r="GN14" s="206">
        <f t="shared" ca="1" si="20"/>
        <v>45386</v>
      </c>
      <c r="GO14" s="206">
        <f t="shared" ca="1" si="20"/>
        <v>45387</v>
      </c>
      <c r="GP14" s="206">
        <f t="shared" ca="1" si="20"/>
        <v>45388</v>
      </c>
      <c r="GQ14" s="206">
        <f t="shared" ref="GQ14:JB14" ca="1" si="21">OFFSET(GQ14,0,-1)+1</f>
        <v>45389</v>
      </c>
      <c r="GR14" s="206">
        <f t="shared" ca="1" si="21"/>
        <v>45390</v>
      </c>
      <c r="GS14" s="206">
        <f t="shared" ca="1" si="21"/>
        <v>45391</v>
      </c>
      <c r="GT14" s="206">
        <f t="shared" ca="1" si="21"/>
        <v>45392</v>
      </c>
      <c r="GU14" s="206">
        <f t="shared" ca="1" si="21"/>
        <v>45393</v>
      </c>
      <c r="GV14" s="206">
        <f t="shared" ca="1" si="21"/>
        <v>45394</v>
      </c>
      <c r="GW14" s="206">
        <f t="shared" ca="1" si="21"/>
        <v>45395</v>
      </c>
      <c r="GX14" s="206">
        <f t="shared" ca="1" si="21"/>
        <v>45396</v>
      </c>
      <c r="GY14" s="206">
        <f t="shared" ca="1" si="21"/>
        <v>45397</v>
      </c>
      <c r="GZ14" s="206">
        <f t="shared" ca="1" si="21"/>
        <v>45398</v>
      </c>
      <c r="HA14" s="206">
        <f t="shared" ca="1" si="21"/>
        <v>45399</v>
      </c>
      <c r="HB14" s="206">
        <f t="shared" ca="1" si="21"/>
        <v>45400</v>
      </c>
      <c r="HC14" s="206">
        <f t="shared" ca="1" si="21"/>
        <v>45401</v>
      </c>
      <c r="HD14" s="206">
        <f t="shared" ca="1" si="21"/>
        <v>45402</v>
      </c>
      <c r="HE14" s="206">
        <f t="shared" ca="1" si="21"/>
        <v>45403</v>
      </c>
      <c r="HF14" s="206">
        <f t="shared" ca="1" si="21"/>
        <v>45404</v>
      </c>
      <c r="HG14" s="206">
        <f t="shared" ca="1" si="21"/>
        <v>45405</v>
      </c>
      <c r="HH14" s="206">
        <f t="shared" ca="1" si="21"/>
        <v>45406</v>
      </c>
      <c r="HI14" s="206">
        <f t="shared" ca="1" si="21"/>
        <v>45407</v>
      </c>
      <c r="HJ14" s="206">
        <f t="shared" ca="1" si="21"/>
        <v>45408</v>
      </c>
      <c r="HK14" s="206">
        <f t="shared" ca="1" si="21"/>
        <v>45409</v>
      </c>
      <c r="HL14" s="206">
        <f t="shared" ca="1" si="21"/>
        <v>45410</v>
      </c>
      <c r="HM14" s="206">
        <f t="shared" ca="1" si="21"/>
        <v>45411</v>
      </c>
      <c r="HN14" s="206">
        <f t="shared" ca="1" si="21"/>
        <v>45412</v>
      </c>
      <c r="HO14" s="206">
        <f t="shared" ca="1" si="21"/>
        <v>45413</v>
      </c>
      <c r="HP14" s="206">
        <f t="shared" ca="1" si="21"/>
        <v>45414</v>
      </c>
      <c r="HQ14" s="206">
        <f t="shared" ca="1" si="21"/>
        <v>45415</v>
      </c>
      <c r="HR14" s="206">
        <f t="shared" ca="1" si="21"/>
        <v>45416</v>
      </c>
      <c r="HS14" s="206">
        <f t="shared" ca="1" si="21"/>
        <v>45417</v>
      </c>
      <c r="HT14" s="206">
        <f t="shared" ca="1" si="21"/>
        <v>45418</v>
      </c>
      <c r="HU14" s="206">
        <f t="shared" ca="1" si="21"/>
        <v>45419</v>
      </c>
      <c r="HV14" s="206">
        <f t="shared" ca="1" si="21"/>
        <v>45420</v>
      </c>
      <c r="HW14" s="206">
        <f t="shared" ca="1" si="21"/>
        <v>45421</v>
      </c>
      <c r="HX14" s="206">
        <f t="shared" ca="1" si="21"/>
        <v>45422</v>
      </c>
      <c r="HY14" s="206">
        <f t="shared" ca="1" si="21"/>
        <v>45423</v>
      </c>
      <c r="HZ14" s="206">
        <f t="shared" ca="1" si="21"/>
        <v>45424</v>
      </c>
      <c r="IA14" s="206">
        <f t="shared" ca="1" si="21"/>
        <v>45425</v>
      </c>
      <c r="IB14" s="206">
        <f t="shared" ca="1" si="21"/>
        <v>45426</v>
      </c>
      <c r="IC14" s="206">
        <f t="shared" ca="1" si="21"/>
        <v>45427</v>
      </c>
      <c r="ID14" s="206">
        <f t="shared" ca="1" si="21"/>
        <v>45428</v>
      </c>
      <c r="IE14" s="206">
        <f t="shared" ca="1" si="21"/>
        <v>45429</v>
      </c>
      <c r="IF14" s="206">
        <f t="shared" ca="1" si="21"/>
        <v>45430</v>
      </c>
      <c r="IG14" s="206">
        <f t="shared" ca="1" si="21"/>
        <v>45431</v>
      </c>
      <c r="IH14" s="206">
        <f t="shared" ca="1" si="21"/>
        <v>45432</v>
      </c>
      <c r="II14" s="206">
        <f t="shared" ca="1" si="21"/>
        <v>45433</v>
      </c>
      <c r="IJ14" s="206">
        <f t="shared" ca="1" si="21"/>
        <v>45434</v>
      </c>
      <c r="IK14" s="206">
        <f t="shared" ca="1" si="21"/>
        <v>45435</v>
      </c>
      <c r="IL14" s="206">
        <f t="shared" ca="1" si="21"/>
        <v>45436</v>
      </c>
      <c r="IM14" s="206">
        <f t="shared" ca="1" si="21"/>
        <v>45437</v>
      </c>
      <c r="IN14" s="206">
        <f t="shared" ca="1" si="21"/>
        <v>45438</v>
      </c>
      <c r="IO14" s="206">
        <f t="shared" ca="1" si="21"/>
        <v>45439</v>
      </c>
      <c r="IP14" s="206">
        <f t="shared" ca="1" si="21"/>
        <v>45440</v>
      </c>
      <c r="IQ14" s="206">
        <f t="shared" ca="1" si="21"/>
        <v>45441</v>
      </c>
      <c r="IR14" s="206">
        <f t="shared" ca="1" si="21"/>
        <v>45442</v>
      </c>
      <c r="IS14" s="206">
        <f t="shared" ca="1" si="21"/>
        <v>45443</v>
      </c>
      <c r="IT14" s="206">
        <f t="shared" ca="1" si="21"/>
        <v>45444</v>
      </c>
      <c r="IU14" s="206">
        <f t="shared" ca="1" si="21"/>
        <v>45445</v>
      </c>
      <c r="IV14" s="206">
        <f t="shared" ca="1" si="21"/>
        <v>45446</v>
      </c>
      <c r="IW14" s="206">
        <f t="shared" ca="1" si="21"/>
        <v>45447</v>
      </c>
      <c r="IX14" s="206">
        <f t="shared" ca="1" si="21"/>
        <v>45448</v>
      </c>
      <c r="IY14" s="206">
        <f t="shared" ca="1" si="21"/>
        <v>45449</v>
      </c>
      <c r="IZ14" s="206">
        <f t="shared" ca="1" si="21"/>
        <v>45450</v>
      </c>
      <c r="JA14" s="206">
        <f t="shared" ca="1" si="21"/>
        <v>45451</v>
      </c>
      <c r="JB14" s="206">
        <f t="shared" ca="1" si="21"/>
        <v>45452</v>
      </c>
      <c r="JC14" s="206">
        <f t="shared" ref="JC14:LN14" ca="1" si="22">OFFSET(JC14,0,-1)+1</f>
        <v>45453</v>
      </c>
      <c r="JD14" s="206">
        <f t="shared" ca="1" si="22"/>
        <v>45454</v>
      </c>
      <c r="JE14" s="206">
        <f t="shared" ca="1" si="22"/>
        <v>45455</v>
      </c>
      <c r="JF14" s="206">
        <f t="shared" ca="1" si="22"/>
        <v>45456</v>
      </c>
      <c r="JG14" s="206">
        <f t="shared" ca="1" si="22"/>
        <v>45457</v>
      </c>
      <c r="JH14" s="206">
        <f t="shared" ca="1" si="22"/>
        <v>45458</v>
      </c>
      <c r="JI14" s="206">
        <f t="shared" ca="1" si="22"/>
        <v>45459</v>
      </c>
      <c r="JJ14" s="206">
        <f t="shared" ca="1" si="22"/>
        <v>45460</v>
      </c>
      <c r="JK14" s="206">
        <f t="shared" ca="1" si="22"/>
        <v>45461</v>
      </c>
      <c r="JL14" s="206">
        <f t="shared" ca="1" si="22"/>
        <v>45462</v>
      </c>
      <c r="JM14" s="206">
        <f t="shared" ca="1" si="22"/>
        <v>45463</v>
      </c>
      <c r="JN14" s="206">
        <f t="shared" ca="1" si="22"/>
        <v>45464</v>
      </c>
      <c r="JO14" s="206">
        <f t="shared" ca="1" si="22"/>
        <v>45465</v>
      </c>
      <c r="JP14" s="206">
        <f t="shared" ca="1" si="22"/>
        <v>45466</v>
      </c>
      <c r="JQ14" s="206">
        <f t="shared" ca="1" si="22"/>
        <v>45467</v>
      </c>
      <c r="JR14" s="206">
        <f t="shared" ca="1" si="22"/>
        <v>45468</v>
      </c>
      <c r="JS14" s="206">
        <f t="shared" ca="1" si="22"/>
        <v>45469</v>
      </c>
      <c r="JT14" s="206">
        <f t="shared" ca="1" si="22"/>
        <v>45470</v>
      </c>
      <c r="JU14" s="206">
        <f t="shared" ca="1" si="22"/>
        <v>45471</v>
      </c>
      <c r="JV14" s="206">
        <f t="shared" ca="1" si="22"/>
        <v>45472</v>
      </c>
      <c r="JW14" s="206">
        <f t="shared" ca="1" si="22"/>
        <v>45473</v>
      </c>
      <c r="JX14" s="206">
        <f t="shared" ca="1" si="22"/>
        <v>45474</v>
      </c>
      <c r="JY14" s="206">
        <f t="shared" ca="1" si="22"/>
        <v>45475</v>
      </c>
      <c r="JZ14" s="206">
        <f t="shared" ca="1" si="22"/>
        <v>45476</v>
      </c>
      <c r="KA14" s="206">
        <f t="shared" ca="1" si="22"/>
        <v>45477</v>
      </c>
      <c r="KB14" s="206">
        <f t="shared" ca="1" si="22"/>
        <v>45478</v>
      </c>
      <c r="KC14" s="206">
        <f t="shared" ca="1" si="22"/>
        <v>45479</v>
      </c>
      <c r="KD14" s="206">
        <f t="shared" ca="1" si="22"/>
        <v>45480</v>
      </c>
      <c r="KE14" s="206">
        <f t="shared" ca="1" si="22"/>
        <v>45481</v>
      </c>
      <c r="KF14" s="206">
        <f t="shared" ca="1" si="22"/>
        <v>45482</v>
      </c>
      <c r="KG14" s="206">
        <f t="shared" ca="1" si="22"/>
        <v>45483</v>
      </c>
      <c r="KH14" s="206">
        <f t="shared" ca="1" si="22"/>
        <v>45484</v>
      </c>
      <c r="KI14" s="206">
        <f t="shared" ca="1" si="22"/>
        <v>45485</v>
      </c>
      <c r="KJ14" s="206">
        <f t="shared" ca="1" si="22"/>
        <v>45486</v>
      </c>
      <c r="KK14" s="206">
        <f t="shared" ca="1" si="22"/>
        <v>45487</v>
      </c>
      <c r="KL14" s="206">
        <f t="shared" ca="1" si="22"/>
        <v>45488</v>
      </c>
      <c r="KM14" s="206">
        <f t="shared" ca="1" si="22"/>
        <v>45489</v>
      </c>
      <c r="KN14" s="206">
        <f t="shared" ca="1" si="22"/>
        <v>45490</v>
      </c>
      <c r="KO14" s="206">
        <f t="shared" ca="1" si="22"/>
        <v>45491</v>
      </c>
      <c r="KP14" s="206">
        <f t="shared" ca="1" si="22"/>
        <v>45492</v>
      </c>
      <c r="KQ14" s="206">
        <f t="shared" ca="1" si="22"/>
        <v>45493</v>
      </c>
      <c r="KR14" s="206">
        <f t="shared" ca="1" si="22"/>
        <v>45494</v>
      </c>
      <c r="KS14" s="206">
        <f t="shared" ca="1" si="22"/>
        <v>45495</v>
      </c>
      <c r="KT14" s="206">
        <f t="shared" ca="1" si="22"/>
        <v>45496</v>
      </c>
      <c r="KU14" s="206">
        <f t="shared" ca="1" si="22"/>
        <v>45497</v>
      </c>
      <c r="KV14" s="206">
        <f t="shared" ca="1" si="22"/>
        <v>45498</v>
      </c>
      <c r="KW14" s="206">
        <f t="shared" ca="1" si="22"/>
        <v>45499</v>
      </c>
      <c r="KX14" s="206">
        <f t="shared" ca="1" si="22"/>
        <v>45500</v>
      </c>
      <c r="KY14" s="206">
        <f t="shared" ca="1" si="22"/>
        <v>45501</v>
      </c>
      <c r="KZ14" s="206">
        <f t="shared" ca="1" si="22"/>
        <v>45502</v>
      </c>
      <c r="LA14" s="206">
        <f t="shared" ca="1" si="22"/>
        <v>45503</v>
      </c>
      <c r="LB14" s="206">
        <f t="shared" ca="1" si="22"/>
        <v>45504</v>
      </c>
      <c r="LC14" s="206">
        <f t="shared" ca="1" si="22"/>
        <v>45505</v>
      </c>
      <c r="LD14" s="206">
        <f t="shared" ca="1" si="22"/>
        <v>45506</v>
      </c>
      <c r="LE14" s="206">
        <f t="shared" ca="1" si="22"/>
        <v>45507</v>
      </c>
      <c r="LF14" s="206">
        <f t="shared" ca="1" si="22"/>
        <v>45508</v>
      </c>
      <c r="LG14" s="206">
        <f t="shared" ca="1" si="22"/>
        <v>45509</v>
      </c>
      <c r="LH14" s="206">
        <f t="shared" ca="1" si="22"/>
        <v>45510</v>
      </c>
      <c r="LI14" s="206">
        <f t="shared" ca="1" si="22"/>
        <v>45511</v>
      </c>
      <c r="LJ14" s="206">
        <f t="shared" ca="1" si="22"/>
        <v>45512</v>
      </c>
      <c r="LK14" s="206">
        <f t="shared" ca="1" si="22"/>
        <v>45513</v>
      </c>
      <c r="LL14" s="206">
        <f t="shared" ca="1" si="22"/>
        <v>45514</v>
      </c>
      <c r="LM14" s="206">
        <f t="shared" ca="1" si="22"/>
        <v>45515</v>
      </c>
      <c r="LN14" s="206">
        <f t="shared" ca="1" si="22"/>
        <v>45516</v>
      </c>
      <c r="LO14" s="206">
        <f t="shared" ref="LO14:NZ14" ca="1" si="23">OFFSET(LO14,0,-1)+1</f>
        <v>45517</v>
      </c>
      <c r="LP14" s="206">
        <f t="shared" ca="1" si="23"/>
        <v>45518</v>
      </c>
      <c r="LQ14" s="206">
        <f t="shared" ca="1" si="23"/>
        <v>45519</v>
      </c>
      <c r="LR14" s="206">
        <f t="shared" ca="1" si="23"/>
        <v>45520</v>
      </c>
      <c r="LS14" s="206">
        <f t="shared" ca="1" si="23"/>
        <v>45521</v>
      </c>
      <c r="LT14" s="206">
        <f t="shared" ca="1" si="23"/>
        <v>45522</v>
      </c>
      <c r="LU14" s="206">
        <f t="shared" ca="1" si="23"/>
        <v>45523</v>
      </c>
      <c r="LV14" s="206">
        <f t="shared" ca="1" si="23"/>
        <v>45524</v>
      </c>
      <c r="LW14" s="206">
        <f t="shared" ca="1" si="23"/>
        <v>45525</v>
      </c>
      <c r="LX14" s="206">
        <f t="shared" ca="1" si="23"/>
        <v>45526</v>
      </c>
      <c r="LY14" s="206">
        <f t="shared" ca="1" si="23"/>
        <v>45527</v>
      </c>
      <c r="LZ14" s="206">
        <f t="shared" ca="1" si="23"/>
        <v>45528</v>
      </c>
      <c r="MA14" s="206">
        <f t="shared" ca="1" si="23"/>
        <v>45529</v>
      </c>
      <c r="MB14" s="206">
        <f t="shared" ca="1" si="23"/>
        <v>45530</v>
      </c>
      <c r="MC14" s="206">
        <f t="shared" ca="1" si="23"/>
        <v>45531</v>
      </c>
      <c r="MD14" s="206">
        <f t="shared" ca="1" si="23"/>
        <v>45532</v>
      </c>
      <c r="ME14" s="206">
        <f t="shared" ca="1" si="23"/>
        <v>45533</v>
      </c>
      <c r="MF14" s="206">
        <f t="shared" ca="1" si="23"/>
        <v>45534</v>
      </c>
      <c r="MG14" s="206">
        <f t="shared" ca="1" si="23"/>
        <v>45535</v>
      </c>
      <c r="MH14" s="206">
        <f t="shared" ca="1" si="23"/>
        <v>45536</v>
      </c>
      <c r="MI14" s="206">
        <f t="shared" ca="1" si="23"/>
        <v>45537</v>
      </c>
      <c r="MJ14" s="206">
        <f t="shared" ca="1" si="23"/>
        <v>45538</v>
      </c>
      <c r="MK14" s="206">
        <f t="shared" ca="1" si="23"/>
        <v>45539</v>
      </c>
      <c r="ML14" s="206">
        <f t="shared" ca="1" si="23"/>
        <v>45540</v>
      </c>
      <c r="MM14" s="206">
        <f t="shared" ca="1" si="23"/>
        <v>45541</v>
      </c>
      <c r="MN14" s="206">
        <f t="shared" ca="1" si="23"/>
        <v>45542</v>
      </c>
      <c r="MO14" s="206">
        <f t="shared" ca="1" si="23"/>
        <v>45543</v>
      </c>
      <c r="MP14" s="206">
        <f t="shared" ca="1" si="23"/>
        <v>45544</v>
      </c>
      <c r="MQ14" s="206">
        <f t="shared" ca="1" si="23"/>
        <v>45545</v>
      </c>
      <c r="MR14" s="206">
        <f t="shared" ca="1" si="23"/>
        <v>45546</v>
      </c>
      <c r="MS14" s="206">
        <f t="shared" ca="1" si="23"/>
        <v>45547</v>
      </c>
      <c r="MT14" s="206">
        <f t="shared" ca="1" si="23"/>
        <v>45548</v>
      </c>
      <c r="MU14" s="206">
        <f t="shared" ca="1" si="23"/>
        <v>45549</v>
      </c>
      <c r="MV14" s="206">
        <f t="shared" ca="1" si="23"/>
        <v>45550</v>
      </c>
      <c r="MW14" s="206">
        <f t="shared" ca="1" si="23"/>
        <v>45551</v>
      </c>
      <c r="MX14" s="206">
        <f t="shared" ca="1" si="23"/>
        <v>45552</v>
      </c>
      <c r="MY14" s="206">
        <f t="shared" ca="1" si="23"/>
        <v>45553</v>
      </c>
      <c r="MZ14" s="206">
        <f t="shared" ca="1" si="23"/>
        <v>45554</v>
      </c>
      <c r="NA14" s="206">
        <f t="shared" ca="1" si="23"/>
        <v>45555</v>
      </c>
      <c r="NB14" s="206">
        <f t="shared" ca="1" si="23"/>
        <v>45556</v>
      </c>
      <c r="NC14" s="206">
        <f t="shared" ca="1" si="23"/>
        <v>45557</v>
      </c>
      <c r="ND14" s="206">
        <f t="shared" ca="1" si="23"/>
        <v>45558</v>
      </c>
      <c r="NE14" s="206">
        <f t="shared" ca="1" si="23"/>
        <v>45559</v>
      </c>
      <c r="NF14" s="206">
        <f t="shared" ca="1" si="23"/>
        <v>45560</v>
      </c>
      <c r="NG14" s="206">
        <f t="shared" ca="1" si="23"/>
        <v>45561</v>
      </c>
      <c r="NH14" s="206">
        <f t="shared" ca="1" si="23"/>
        <v>45562</v>
      </c>
      <c r="NI14" s="206">
        <f t="shared" ca="1" si="23"/>
        <v>45563</v>
      </c>
      <c r="NJ14" s="206">
        <f t="shared" ca="1" si="23"/>
        <v>45564</v>
      </c>
      <c r="NK14" s="206">
        <f t="shared" ca="1" si="23"/>
        <v>45565</v>
      </c>
      <c r="NL14" s="206">
        <f t="shared" ca="1" si="23"/>
        <v>45566</v>
      </c>
      <c r="NM14" s="206">
        <f t="shared" ca="1" si="23"/>
        <v>45567</v>
      </c>
      <c r="NN14" s="206">
        <f t="shared" ca="1" si="23"/>
        <v>45568</v>
      </c>
      <c r="NO14" s="206">
        <f t="shared" ca="1" si="23"/>
        <v>45569</v>
      </c>
      <c r="NP14" s="206">
        <f t="shared" ca="1" si="23"/>
        <v>45570</v>
      </c>
      <c r="NQ14" s="206">
        <f t="shared" ca="1" si="23"/>
        <v>45571</v>
      </c>
      <c r="NR14" s="206">
        <f t="shared" ca="1" si="23"/>
        <v>45572</v>
      </c>
      <c r="NS14" s="206">
        <f t="shared" ca="1" si="23"/>
        <v>45573</v>
      </c>
      <c r="NT14" s="206">
        <f t="shared" ca="1" si="23"/>
        <v>45574</v>
      </c>
      <c r="NU14" s="206">
        <f t="shared" ca="1" si="23"/>
        <v>45575</v>
      </c>
      <c r="NV14" s="206">
        <f t="shared" ca="1" si="23"/>
        <v>45576</v>
      </c>
      <c r="NW14" s="206">
        <f t="shared" ca="1" si="23"/>
        <v>45577</v>
      </c>
      <c r="NX14" s="206">
        <f t="shared" ca="1" si="23"/>
        <v>45578</v>
      </c>
      <c r="NY14" s="206">
        <f t="shared" ca="1" si="23"/>
        <v>45579</v>
      </c>
      <c r="NZ14" s="206">
        <f t="shared" ca="1" si="23"/>
        <v>45580</v>
      </c>
      <c r="OA14" s="206">
        <f t="shared" ref="OA14:QL14" ca="1" si="24">OFFSET(OA14,0,-1)+1</f>
        <v>45581</v>
      </c>
      <c r="OB14" s="206">
        <f t="shared" ca="1" si="24"/>
        <v>45582</v>
      </c>
      <c r="OC14" s="206">
        <f t="shared" ca="1" si="24"/>
        <v>45583</v>
      </c>
      <c r="OD14" s="206">
        <f t="shared" ca="1" si="24"/>
        <v>45584</v>
      </c>
      <c r="OE14" s="206">
        <f t="shared" ca="1" si="24"/>
        <v>45585</v>
      </c>
      <c r="OF14" s="206">
        <f t="shared" ca="1" si="24"/>
        <v>45586</v>
      </c>
      <c r="OG14" s="206">
        <f t="shared" ca="1" si="24"/>
        <v>45587</v>
      </c>
      <c r="OH14" s="206">
        <f t="shared" ca="1" si="24"/>
        <v>45588</v>
      </c>
      <c r="OI14" s="206">
        <f t="shared" ca="1" si="24"/>
        <v>45589</v>
      </c>
      <c r="OJ14" s="206">
        <f t="shared" ca="1" si="24"/>
        <v>45590</v>
      </c>
      <c r="OK14" s="206">
        <f t="shared" ca="1" si="24"/>
        <v>45591</v>
      </c>
      <c r="OL14" s="206">
        <f t="shared" ca="1" si="24"/>
        <v>45592</v>
      </c>
      <c r="OM14" s="206">
        <f t="shared" ca="1" si="24"/>
        <v>45593</v>
      </c>
      <c r="ON14" s="206">
        <f t="shared" ca="1" si="24"/>
        <v>45594</v>
      </c>
      <c r="OO14" s="206">
        <f t="shared" ca="1" si="24"/>
        <v>45595</v>
      </c>
      <c r="OP14" s="206">
        <f t="shared" ca="1" si="24"/>
        <v>45596</v>
      </c>
      <c r="OQ14" s="206">
        <f t="shared" ca="1" si="24"/>
        <v>45597</v>
      </c>
      <c r="OR14" s="206">
        <f t="shared" ca="1" si="24"/>
        <v>45598</v>
      </c>
      <c r="OS14" s="206">
        <f t="shared" ca="1" si="24"/>
        <v>45599</v>
      </c>
      <c r="OT14" s="206">
        <f t="shared" ca="1" si="24"/>
        <v>45600</v>
      </c>
      <c r="OU14" s="206">
        <f t="shared" ca="1" si="24"/>
        <v>45601</v>
      </c>
      <c r="OV14" s="206">
        <f t="shared" ca="1" si="24"/>
        <v>45602</v>
      </c>
      <c r="OW14" s="206">
        <f t="shared" ca="1" si="24"/>
        <v>45603</v>
      </c>
      <c r="OX14" s="206">
        <f t="shared" ca="1" si="24"/>
        <v>45604</v>
      </c>
      <c r="OY14" s="206">
        <f t="shared" ca="1" si="24"/>
        <v>45605</v>
      </c>
      <c r="OZ14" s="206">
        <f t="shared" ca="1" si="24"/>
        <v>45606</v>
      </c>
      <c r="PA14" s="206">
        <f t="shared" ca="1" si="24"/>
        <v>45607</v>
      </c>
      <c r="PB14" s="206">
        <f t="shared" ca="1" si="24"/>
        <v>45608</v>
      </c>
      <c r="PC14" s="206">
        <f t="shared" ca="1" si="24"/>
        <v>45609</v>
      </c>
      <c r="PD14" s="206">
        <f t="shared" ca="1" si="24"/>
        <v>45610</v>
      </c>
      <c r="PE14" s="206">
        <f t="shared" ca="1" si="24"/>
        <v>45611</v>
      </c>
      <c r="PF14" s="206">
        <f t="shared" ca="1" si="24"/>
        <v>45612</v>
      </c>
      <c r="PG14" s="206">
        <f t="shared" ca="1" si="24"/>
        <v>45613</v>
      </c>
      <c r="PH14" s="206">
        <f t="shared" ca="1" si="24"/>
        <v>45614</v>
      </c>
      <c r="PI14" s="206">
        <f t="shared" ca="1" si="24"/>
        <v>45615</v>
      </c>
      <c r="PJ14" s="206">
        <f t="shared" ca="1" si="24"/>
        <v>45616</v>
      </c>
      <c r="PK14" s="206">
        <f t="shared" ca="1" si="24"/>
        <v>45617</v>
      </c>
      <c r="PL14" s="206">
        <f t="shared" ca="1" si="24"/>
        <v>45618</v>
      </c>
      <c r="PM14" s="206">
        <f t="shared" ca="1" si="24"/>
        <v>45619</v>
      </c>
      <c r="PN14" s="206">
        <f t="shared" ca="1" si="24"/>
        <v>45620</v>
      </c>
      <c r="PO14" s="206">
        <f t="shared" ca="1" si="24"/>
        <v>45621</v>
      </c>
      <c r="PP14" s="206">
        <f t="shared" ca="1" si="24"/>
        <v>45622</v>
      </c>
      <c r="PQ14" s="206">
        <f t="shared" ca="1" si="24"/>
        <v>45623</v>
      </c>
      <c r="PR14" s="206">
        <f t="shared" ca="1" si="24"/>
        <v>45624</v>
      </c>
      <c r="PS14" s="206">
        <f t="shared" ca="1" si="24"/>
        <v>45625</v>
      </c>
      <c r="PT14" s="206">
        <f t="shared" ca="1" si="24"/>
        <v>45626</v>
      </c>
      <c r="PU14" s="206">
        <f t="shared" ca="1" si="24"/>
        <v>45627</v>
      </c>
      <c r="PV14" s="206">
        <f t="shared" ca="1" si="24"/>
        <v>45628</v>
      </c>
      <c r="PW14" s="206">
        <f t="shared" ca="1" si="24"/>
        <v>45629</v>
      </c>
      <c r="PX14" s="206">
        <f t="shared" ca="1" si="24"/>
        <v>45630</v>
      </c>
      <c r="PY14" s="206">
        <f t="shared" ca="1" si="24"/>
        <v>45631</v>
      </c>
      <c r="PZ14" s="206">
        <f t="shared" ca="1" si="24"/>
        <v>45632</v>
      </c>
      <c r="QA14" s="206">
        <f t="shared" ca="1" si="24"/>
        <v>45633</v>
      </c>
      <c r="QB14" s="206">
        <f t="shared" ca="1" si="24"/>
        <v>45634</v>
      </c>
      <c r="QC14" s="206">
        <f t="shared" ca="1" si="24"/>
        <v>45635</v>
      </c>
      <c r="QD14" s="206">
        <f t="shared" ca="1" si="24"/>
        <v>45636</v>
      </c>
      <c r="QE14" s="206">
        <f t="shared" ca="1" si="24"/>
        <v>45637</v>
      </c>
      <c r="QF14" s="206">
        <f t="shared" ca="1" si="24"/>
        <v>45638</v>
      </c>
      <c r="QG14" s="206">
        <f t="shared" ca="1" si="24"/>
        <v>45639</v>
      </c>
      <c r="QH14" s="206">
        <f t="shared" ca="1" si="24"/>
        <v>45640</v>
      </c>
      <c r="QI14" s="206">
        <f t="shared" ca="1" si="24"/>
        <v>45641</v>
      </c>
      <c r="QJ14" s="206">
        <f t="shared" ca="1" si="24"/>
        <v>45642</v>
      </c>
      <c r="QK14" s="206">
        <f t="shared" ca="1" si="24"/>
        <v>45643</v>
      </c>
      <c r="QL14" s="206">
        <f t="shared" ca="1" si="24"/>
        <v>45644</v>
      </c>
      <c r="QM14" s="206">
        <f t="shared" ref="QM14:SX14" ca="1" si="25">OFFSET(QM14,0,-1)+1</f>
        <v>45645</v>
      </c>
      <c r="QN14" s="206">
        <f t="shared" ca="1" si="25"/>
        <v>45646</v>
      </c>
      <c r="QO14" s="206">
        <f t="shared" ca="1" si="25"/>
        <v>45647</v>
      </c>
      <c r="QP14" s="206">
        <f t="shared" ca="1" si="25"/>
        <v>45648</v>
      </c>
      <c r="QQ14" s="206">
        <f t="shared" ca="1" si="25"/>
        <v>45649</v>
      </c>
      <c r="QR14" s="206">
        <f t="shared" ca="1" si="25"/>
        <v>45650</v>
      </c>
      <c r="QS14" s="206">
        <f t="shared" ca="1" si="25"/>
        <v>45651</v>
      </c>
      <c r="QT14" s="206">
        <f t="shared" ca="1" si="25"/>
        <v>45652</v>
      </c>
      <c r="QU14" s="206">
        <f t="shared" ca="1" si="25"/>
        <v>45653</v>
      </c>
      <c r="QV14" s="206">
        <f t="shared" ca="1" si="25"/>
        <v>45654</v>
      </c>
      <c r="QW14" s="206">
        <f t="shared" ca="1" si="25"/>
        <v>45655</v>
      </c>
      <c r="QX14" s="206">
        <f t="shared" ca="1" si="25"/>
        <v>45656</v>
      </c>
      <c r="QY14" s="206">
        <f t="shared" ca="1" si="25"/>
        <v>45657</v>
      </c>
      <c r="QZ14" s="206">
        <f t="shared" ca="1" si="25"/>
        <v>45658</v>
      </c>
      <c r="RA14" s="206">
        <f t="shared" ca="1" si="25"/>
        <v>45659</v>
      </c>
      <c r="RB14" s="206">
        <f t="shared" ca="1" si="25"/>
        <v>45660</v>
      </c>
      <c r="RC14" s="206">
        <f t="shared" ca="1" si="25"/>
        <v>45661</v>
      </c>
      <c r="RD14" s="206">
        <f t="shared" ca="1" si="25"/>
        <v>45662</v>
      </c>
      <c r="RE14" s="206">
        <f t="shared" ca="1" si="25"/>
        <v>45663</v>
      </c>
      <c r="RF14" s="206">
        <f t="shared" ca="1" si="25"/>
        <v>45664</v>
      </c>
      <c r="RG14" s="206">
        <f t="shared" ca="1" si="25"/>
        <v>45665</v>
      </c>
      <c r="RH14" s="206">
        <f t="shared" ca="1" si="25"/>
        <v>45666</v>
      </c>
      <c r="RI14" s="206">
        <f t="shared" ca="1" si="25"/>
        <v>45667</v>
      </c>
      <c r="RJ14" s="206">
        <f t="shared" ca="1" si="25"/>
        <v>45668</v>
      </c>
      <c r="RK14" s="206">
        <f t="shared" ca="1" si="25"/>
        <v>45669</v>
      </c>
      <c r="RL14" s="206">
        <f t="shared" ca="1" si="25"/>
        <v>45670</v>
      </c>
      <c r="RM14" s="206">
        <f t="shared" ca="1" si="25"/>
        <v>45671</v>
      </c>
      <c r="RN14" s="206">
        <f t="shared" ca="1" si="25"/>
        <v>45672</v>
      </c>
      <c r="RO14" s="206">
        <f t="shared" ca="1" si="25"/>
        <v>45673</v>
      </c>
      <c r="RP14" s="206">
        <f t="shared" ca="1" si="25"/>
        <v>45674</v>
      </c>
      <c r="RQ14" s="206">
        <f t="shared" ca="1" si="25"/>
        <v>45675</v>
      </c>
      <c r="RR14" s="206">
        <f t="shared" ca="1" si="25"/>
        <v>45676</v>
      </c>
      <c r="RS14" s="206">
        <f t="shared" ca="1" si="25"/>
        <v>45677</v>
      </c>
      <c r="RT14" s="206">
        <f t="shared" ca="1" si="25"/>
        <v>45678</v>
      </c>
      <c r="RU14" s="206">
        <f t="shared" ca="1" si="25"/>
        <v>45679</v>
      </c>
      <c r="RV14" s="206">
        <f t="shared" ca="1" si="25"/>
        <v>45680</v>
      </c>
      <c r="RW14" s="206">
        <f t="shared" ca="1" si="25"/>
        <v>45681</v>
      </c>
      <c r="RX14" s="206">
        <f t="shared" ca="1" si="25"/>
        <v>45682</v>
      </c>
      <c r="RY14" s="206">
        <f t="shared" ca="1" si="25"/>
        <v>45683</v>
      </c>
      <c r="RZ14" s="206">
        <f t="shared" ca="1" si="25"/>
        <v>45684</v>
      </c>
      <c r="SA14" s="206">
        <f t="shared" ca="1" si="25"/>
        <v>45685</v>
      </c>
      <c r="SB14" s="206">
        <f t="shared" ca="1" si="25"/>
        <v>45686</v>
      </c>
      <c r="SC14" s="206">
        <f t="shared" ca="1" si="25"/>
        <v>45687</v>
      </c>
      <c r="SD14" s="206">
        <f t="shared" ca="1" si="25"/>
        <v>45688</v>
      </c>
      <c r="SE14" s="206">
        <f t="shared" ca="1" si="25"/>
        <v>45689</v>
      </c>
      <c r="SF14" s="206">
        <f t="shared" ca="1" si="25"/>
        <v>45690</v>
      </c>
      <c r="SG14" s="206">
        <f t="shared" ca="1" si="25"/>
        <v>45691</v>
      </c>
      <c r="SH14" s="206">
        <f t="shared" ca="1" si="25"/>
        <v>45692</v>
      </c>
      <c r="SI14" s="206">
        <f t="shared" ca="1" si="25"/>
        <v>45693</v>
      </c>
      <c r="SJ14" s="206">
        <f t="shared" ca="1" si="25"/>
        <v>45694</v>
      </c>
      <c r="SK14" s="206">
        <f t="shared" ca="1" si="25"/>
        <v>45695</v>
      </c>
      <c r="SL14" s="206">
        <f t="shared" ca="1" si="25"/>
        <v>45696</v>
      </c>
      <c r="SM14" s="206">
        <f t="shared" ca="1" si="25"/>
        <v>45697</v>
      </c>
      <c r="SN14" s="206">
        <f t="shared" ca="1" si="25"/>
        <v>45698</v>
      </c>
      <c r="SO14" s="206">
        <f t="shared" ca="1" si="25"/>
        <v>45699</v>
      </c>
      <c r="SP14" s="206">
        <f t="shared" ca="1" si="25"/>
        <v>45700</v>
      </c>
      <c r="SQ14" s="206">
        <f t="shared" ca="1" si="25"/>
        <v>45701</v>
      </c>
      <c r="SR14" s="206">
        <f t="shared" ca="1" si="25"/>
        <v>45702</v>
      </c>
      <c r="SS14" s="206">
        <f t="shared" ca="1" si="25"/>
        <v>45703</v>
      </c>
      <c r="ST14" s="206">
        <f t="shared" ca="1" si="25"/>
        <v>45704</v>
      </c>
      <c r="SU14" s="206">
        <f t="shared" ca="1" si="25"/>
        <v>45705</v>
      </c>
      <c r="SV14" s="206">
        <f t="shared" ca="1" si="25"/>
        <v>45706</v>
      </c>
      <c r="SW14" s="206">
        <f t="shared" ca="1" si="25"/>
        <v>45707</v>
      </c>
      <c r="SX14" s="206">
        <f t="shared" ca="1" si="25"/>
        <v>45708</v>
      </c>
      <c r="SY14" s="206">
        <f t="shared" ref="SY14:US14" ca="1" si="26">OFFSET(SY14,0,-1)+1</f>
        <v>45709</v>
      </c>
      <c r="SZ14" s="206">
        <f t="shared" ca="1" si="26"/>
        <v>45710</v>
      </c>
      <c r="TA14" s="206">
        <f t="shared" ca="1" si="26"/>
        <v>45711</v>
      </c>
      <c r="TB14" s="206">
        <f t="shared" ca="1" si="26"/>
        <v>45712</v>
      </c>
      <c r="TC14" s="206">
        <f t="shared" ca="1" si="26"/>
        <v>45713</v>
      </c>
      <c r="TD14" s="206">
        <f t="shared" ca="1" si="26"/>
        <v>45714</v>
      </c>
      <c r="TE14" s="206">
        <f t="shared" ca="1" si="26"/>
        <v>45715</v>
      </c>
      <c r="TF14" s="206">
        <f t="shared" ca="1" si="26"/>
        <v>45716</v>
      </c>
      <c r="TG14" s="206">
        <f t="shared" ca="1" si="26"/>
        <v>45717</v>
      </c>
      <c r="TH14" s="206">
        <f t="shared" ca="1" si="26"/>
        <v>45718</v>
      </c>
      <c r="TI14" s="206">
        <f t="shared" ca="1" si="26"/>
        <v>45719</v>
      </c>
      <c r="TJ14" s="206">
        <f t="shared" ca="1" si="26"/>
        <v>45720</v>
      </c>
      <c r="TK14" s="206">
        <f t="shared" ca="1" si="26"/>
        <v>45721</v>
      </c>
      <c r="TL14" s="206">
        <f t="shared" ca="1" si="26"/>
        <v>45722</v>
      </c>
      <c r="TM14" s="206">
        <f t="shared" ca="1" si="26"/>
        <v>45723</v>
      </c>
      <c r="TN14" s="206">
        <f t="shared" ca="1" si="26"/>
        <v>45724</v>
      </c>
      <c r="TO14" s="206">
        <f t="shared" ca="1" si="26"/>
        <v>45725</v>
      </c>
      <c r="TP14" s="206">
        <f t="shared" ca="1" si="26"/>
        <v>45726</v>
      </c>
      <c r="TQ14" s="206">
        <f t="shared" ca="1" si="26"/>
        <v>45727</v>
      </c>
      <c r="TR14" s="206">
        <f t="shared" ca="1" si="26"/>
        <v>45728</v>
      </c>
      <c r="TS14" s="206">
        <f t="shared" ca="1" si="26"/>
        <v>45729</v>
      </c>
      <c r="TT14" s="206">
        <f t="shared" ca="1" si="26"/>
        <v>45730</v>
      </c>
      <c r="TU14" s="206">
        <f t="shared" ca="1" si="26"/>
        <v>45731</v>
      </c>
      <c r="TV14" s="206">
        <f t="shared" ca="1" si="26"/>
        <v>45732</v>
      </c>
      <c r="TW14" s="206">
        <f t="shared" ca="1" si="26"/>
        <v>45733</v>
      </c>
      <c r="TX14" s="206">
        <f t="shared" ca="1" si="26"/>
        <v>45734</v>
      </c>
      <c r="TY14" s="206">
        <f t="shared" ca="1" si="26"/>
        <v>45735</v>
      </c>
      <c r="TZ14" s="206">
        <f t="shared" ca="1" si="26"/>
        <v>45736</v>
      </c>
      <c r="UA14" s="206">
        <f t="shared" ca="1" si="26"/>
        <v>45737</v>
      </c>
      <c r="UB14" s="206">
        <f t="shared" ca="1" si="26"/>
        <v>45738</v>
      </c>
      <c r="UC14" s="206">
        <f t="shared" ca="1" si="26"/>
        <v>45739</v>
      </c>
      <c r="UD14" s="206">
        <f t="shared" ca="1" si="26"/>
        <v>45740</v>
      </c>
      <c r="UE14" s="206">
        <f t="shared" ca="1" si="26"/>
        <v>45741</v>
      </c>
      <c r="UF14" s="206">
        <f t="shared" ca="1" si="26"/>
        <v>45742</v>
      </c>
      <c r="UG14" s="206">
        <f t="shared" ca="1" si="26"/>
        <v>45743</v>
      </c>
      <c r="UH14" s="206">
        <f t="shared" ca="1" si="26"/>
        <v>45744</v>
      </c>
      <c r="UI14" s="206">
        <f t="shared" ca="1" si="26"/>
        <v>45745</v>
      </c>
      <c r="UJ14" s="206">
        <f t="shared" ca="1" si="26"/>
        <v>45746</v>
      </c>
      <c r="UK14" s="206">
        <f t="shared" ca="1" si="26"/>
        <v>45747</v>
      </c>
      <c r="UL14" s="206">
        <f t="shared" ca="1" si="26"/>
        <v>45748</v>
      </c>
      <c r="UM14" s="206">
        <f t="shared" ca="1" si="26"/>
        <v>45749</v>
      </c>
      <c r="UN14" s="206">
        <f t="shared" ca="1" si="26"/>
        <v>45750</v>
      </c>
      <c r="UO14" s="206">
        <f t="shared" ca="1" si="26"/>
        <v>45751</v>
      </c>
      <c r="UP14" s="206">
        <f t="shared" ca="1" si="26"/>
        <v>45752</v>
      </c>
      <c r="UQ14" s="206">
        <f t="shared" ca="1" si="26"/>
        <v>45753</v>
      </c>
      <c r="UR14" s="206">
        <f t="shared" ca="1" si="26"/>
        <v>45754</v>
      </c>
      <c r="US14" s="209">
        <f t="shared" ca="1" si="26"/>
        <v>45755</v>
      </c>
      <c r="VA14" s="186"/>
      <c r="VB14" s="186"/>
      <c r="VC14" s="186"/>
    </row>
    <row r="15" spans="1:597" s="186" customFormat="1" ht="18" customHeight="1" thickBot="1" x14ac:dyDescent="0.35">
      <c r="A15" s="79"/>
      <c r="B15" s="98">
        <v>1</v>
      </c>
      <c r="C15" s="99" t="s">
        <v>118</v>
      </c>
      <c r="D15" s="99"/>
      <c r="E15" s="99"/>
      <c r="F15" s="322" t="e">
        <f>AVERAGE(F56:J56)</f>
        <v>#DIV/0!</v>
      </c>
      <c r="G15" s="323"/>
      <c r="H15" s="323"/>
      <c r="I15" s="323"/>
      <c r="J15" s="355"/>
      <c r="K15" s="322" t="e">
        <f>AVERAGE(K56:Q56)</f>
        <v>#DIV/0!</v>
      </c>
      <c r="L15" s="323"/>
      <c r="M15" s="323"/>
      <c r="N15" s="323"/>
      <c r="O15" s="323"/>
      <c r="P15" s="323"/>
      <c r="Q15" s="355"/>
      <c r="R15" s="322" t="e">
        <f>AVERAGE(R56:X56)</f>
        <v>#DIV/0!</v>
      </c>
      <c r="S15" s="323"/>
      <c r="T15" s="323"/>
      <c r="U15" s="323"/>
      <c r="V15" s="323"/>
      <c r="W15" s="323"/>
      <c r="X15" s="355"/>
      <c r="Y15" s="322" t="e">
        <f>AVERAGE(Y56:AE56)</f>
        <v>#DIV/0!</v>
      </c>
      <c r="Z15" s="323"/>
      <c r="AA15" s="323"/>
      <c r="AB15" s="323"/>
      <c r="AC15" s="323"/>
      <c r="AD15" s="323"/>
      <c r="AE15" s="355"/>
      <c r="AF15" s="322" t="e">
        <f>AVERAGE(AF56:AL56)</f>
        <v>#DIV/0!</v>
      </c>
      <c r="AG15" s="323"/>
      <c r="AH15" s="323"/>
      <c r="AI15" s="323"/>
      <c r="AJ15" s="323"/>
      <c r="AK15" s="323"/>
      <c r="AL15" s="355"/>
      <c r="AM15" s="322" t="e">
        <f>AVERAGE(AM56:AS56)</f>
        <v>#DIV/0!</v>
      </c>
      <c r="AN15" s="323"/>
      <c r="AO15" s="323"/>
      <c r="AP15" s="323"/>
      <c r="AQ15" s="323"/>
      <c r="AR15" s="323"/>
      <c r="AS15" s="355"/>
      <c r="AT15" s="322" t="e">
        <f>AVERAGE(AT56:AZ56)</f>
        <v>#DIV/0!</v>
      </c>
      <c r="AU15" s="323"/>
      <c r="AV15" s="323"/>
      <c r="AW15" s="323"/>
      <c r="AX15" s="323"/>
      <c r="AY15" s="323"/>
      <c r="AZ15" s="355"/>
      <c r="BA15" s="322" t="e">
        <f>AVERAGE(BA56:BG56)</f>
        <v>#DIV/0!</v>
      </c>
      <c r="BB15" s="323"/>
      <c r="BC15" s="323"/>
      <c r="BD15" s="323"/>
      <c r="BE15" s="323"/>
      <c r="BF15" s="323"/>
      <c r="BG15" s="355"/>
      <c r="BH15" s="322" t="e">
        <f>AVERAGE(BH56:BN56)</f>
        <v>#DIV/0!</v>
      </c>
      <c r="BI15" s="323"/>
      <c r="BJ15" s="323"/>
      <c r="BK15" s="323"/>
      <c r="BL15" s="323"/>
      <c r="BM15" s="323"/>
      <c r="BN15" s="355"/>
      <c r="BO15" s="322" t="e">
        <f>AVERAGE(BO56:BU56)</f>
        <v>#DIV/0!</v>
      </c>
      <c r="BP15" s="323"/>
      <c r="BQ15" s="323"/>
      <c r="BR15" s="323"/>
      <c r="BS15" s="323"/>
      <c r="BT15" s="323"/>
      <c r="BU15" s="355"/>
      <c r="BV15" s="322" t="e">
        <f>AVERAGE(BV56:CB56)</f>
        <v>#DIV/0!</v>
      </c>
      <c r="BW15" s="323"/>
      <c r="BX15" s="323"/>
      <c r="BY15" s="323"/>
      <c r="BZ15" s="323"/>
      <c r="CA15" s="323"/>
      <c r="CB15" s="355"/>
      <c r="CC15" s="322" t="e">
        <f>AVERAGE(CC56:CI56)</f>
        <v>#DIV/0!</v>
      </c>
      <c r="CD15" s="323"/>
      <c r="CE15" s="323"/>
      <c r="CF15" s="323"/>
      <c r="CG15" s="323"/>
      <c r="CH15" s="323"/>
      <c r="CI15" s="355"/>
      <c r="CJ15" s="322" t="e">
        <f>AVERAGE(CJ56:CP56)</f>
        <v>#DIV/0!</v>
      </c>
      <c r="CK15" s="323"/>
      <c r="CL15" s="323"/>
      <c r="CM15" s="323"/>
      <c r="CN15" s="323"/>
      <c r="CO15" s="323"/>
      <c r="CP15" s="355"/>
      <c r="CQ15" s="322" t="e">
        <f>AVERAGE(CQ56:CW56)</f>
        <v>#DIV/0!</v>
      </c>
      <c r="CR15" s="323"/>
      <c r="CS15" s="323"/>
      <c r="CT15" s="323"/>
      <c r="CU15" s="323"/>
      <c r="CV15" s="323"/>
      <c r="CW15" s="355"/>
      <c r="CX15" s="322" t="e">
        <f>AVERAGE(CX56:DD56)</f>
        <v>#DIV/0!</v>
      </c>
      <c r="CY15" s="323"/>
      <c r="CZ15" s="323"/>
      <c r="DA15" s="323"/>
      <c r="DB15" s="323"/>
      <c r="DC15" s="323"/>
      <c r="DD15" s="355"/>
      <c r="DE15" s="322" t="e">
        <f>AVERAGE(DE56:DK56)</f>
        <v>#DIV/0!</v>
      </c>
      <c r="DF15" s="323"/>
      <c r="DG15" s="323"/>
      <c r="DH15" s="323"/>
      <c r="DI15" s="323"/>
      <c r="DJ15" s="323"/>
      <c r="DK15" s="355"/>
      <c r="DL15" s="322" t="e">
        <f>AVERAGE(DL56:DR56)</f>
        <v>#DIV/0!</v>
      </c>
      <c r="DM15" s="323"/>
      <c r="DN15" s="323"/>
      <c r="DO15" s="323"/>
      <c r="DP15" s="323"/>
      <c r="DQ15" s="323"/>
      <c r="DR15" s="355"/>
      <c r="DS15" s="322" t="e">
        <f>AVERAGE(DS56:DY56)</f>
        <v>#DIV/0!</v>
      </c>
      <c r="DT15" s="323"/>
      <c r="DU15" s="323"/>
      <c r="DV15" s="323"/>
      <c r="DW15" s="323"/>
      <c r="DX15" s="323"/>
      <c r="DY15" s="355"/>
      <c r="DZ15" s="322" t="e">
        <f>AVERAGE(DZ56:EF56)</f>
        <v>#DIV/0!</v>
      </c>
      <c r="EA15" s="323"/>
      <c r="EB15" s="323"/>
      <c r="EC15" s="323"/>
      <c r="ED15" s="323"/>
      <c r="EE15" s="323"/>
      <c r="EF15" s="355"/>
      <c r="EG15" s="322" t="e">
        <f>AVERAGE(EG56:EM56)</f>
        <v>#DIV/0!</v>
      </c>
      <c r="EH15" s="323"/>
      <c r="EI15" s="323"/>
      <c r="EJ15" s="323"/>
      <c r="EK15" s="323"/>
      <c r="EL15" s="323"/>
      <c r="EM15" s="355"/>
      <c r="EN15" s="322" t="e">
        <f>AVERAGE(EN56:ET56)</f>
        <v>#DIV/0!</v>
      </c>
      <c r="EO15" s="323"/>
      <c r="EP15" s="323"/>
      <c r="EQ15" s="323"/>
      <c r="ER15" s="323"/>
      <c r="ES15" s="323"/>
      <c r="ET15" s="355"/>
      <c r="EU15" s="322" t="e">
        <f>AVERAGE(EU56:FA56)</f>
        <v>#DIV/0!</v>
      </c>
      <c r="EV15" s="323"/>
      <c r="EW15" s="323"/>
      <c r="EX15" s="323"/>
      <c r="EY15" s="323"/>
      <c r="EZ15" s="323"/>
      <c r="FA15" s="355"/>
      <c r="FB15" s="322" t="e">
        <f>AVERAGE(FB56:FH56)</f>
        <v>#DIV/0!</v>
      </c>
      <c r="FC15" s="323"/>
      <c r="FD15" s="323"/>
      <c r="FE15" s="323"/>
      <c r="FF15" s="323"/>
      <c r="FG15" s="323"/>
      <c r="FH15" s="355"/>
      <c r="FI15" s="322" t="e">
        <f>AVERAGE(FI56:FO56)</f>
        <v>#DIV/0!</v>
      </c>
      <c r="FJ15" s="323"/>
      <c r="FK15" s="323"/>
      <c r="FL15" s="323"/>
      <c r="FM15" s="323"/>
      <c r="FN15" s="323"/>
      <c r="FO15" s="355"/>
      <c r="FP15" s="322" t="e">
        <f>AVERAGE(FP56:FV56)</f>
        <v>#DIV/0!</v>
      </c>
      <c r="FQ15" s="323"/>
      <c r="FR15" s="323"/>
      <c r="FS15" s="323"/>
      <c r="FT15" s="323"/>
      <c r="FU15" s="323"/>
      <c r="FV15" s="355"/>
      <c r="FW15" s="322" t="e">
        <f>AVERAGE(FW56:GC56)</f>
        <v>#DIV/0!</v>
      </c>
      <c r="FX15" s="323"/>
      <c r="FY15" s="323"/>
      <c r="FZ15" s="323"/>
      <c r="GA15" s="323"/>
      <c r="GB15" s="323"/>
      <c r="GC15" s="355"/>
      <c r="GD15" s="322" t="e">
        <f>AVERAGE(GD56:GJ56)</f>
        <v>#DIV/0!</v>
      </c>
      <c r="GE15" s="323"/>
      <c r="GF15" s="323"/>
      <c r="GG15" s="323"/>
      <c r="GH15" s="323"/>
      <c r="GI15" s="323"/>
      <c r="GJ15" s="355"/>
      <c r="GK15" s="322" t="e">
        <f>AVERAGE(GK56:GQ56)</f>
        <v>#DIV/0!</v>
      </c>
      <c r="GL15" s="323"/>
      <c r="GM15" s="323"/>
      <c r="GN15" s="323"/>
      <c r="GO15" s="323"/>
      <c r="GP15" s="323"/>
      <c r="GQ15" s="355"/>
      <c r="GR15" s="322" t="e">
        <f>AVERAGE(GR56:GX56)</f>
        <v>#DIV/0!</v>
      </c>
      <c r="GS15" s="323"/>
      <c r="GT15" s="323"/>
      <c r="GU15" s="323"/>
      <c r="GV15" s="323"/>
      <c r="GW15" s="323"/>
      <c r="GX15" s="355"/>
      <c r="GY15" s="322" t="e">
        <f>AVERAGE(GY56:HE56)</f>
        <v>#DIV/0!</v>
      </c>
      <c r="GZ15" s="323"/>
      <c r="HA15" s="323"/>
      <c r="HB15" s="323"/>
      <c r="HC15" s="323"/>
      <c r="HD15" s="323"/>
      <c r="HE15" s="355"/>
      <c r="HF15" s="322" t="e">
        <f>AVERAGE(HF56:HL56)</f>
        <v>#DIV/0!</v>
      </c>
      <c r="HG15" s="323"/>
      <c r="HH15" s="323"/>
      <c r="HI15" s="323"/>
      <c r="HJ15" s="323"/>
      <c r="HK15" s="323"/>
      <c r="HL15" s="355"/>
      <c r="HM15" s="322" t="e">
        <f>AVERAGE(HM56:HS56)</f>
        <v>#DIV/0!</v>
      </c>
      <c r="HN15" s="323"/>
      <c r="HO15" s="323"/>
      <c r="HP15" s="323"/>
      <c r="HQ15" s="323"/>
      <c r="HR15" s="323"/>
      <c r="HS15" s="355"/>
      <c r="HT15" s="322" t="e">
        <f>AVERAGE(HT56:HZ56)</f>
        <v>#DIV/0!</v>
      </c>
      <c r="HU15" s="323"/>
      <c r="HV15" s="323"/>
      <c r="HW15" s="323"/>
      <c r="HX15" s="323"/>
      <c r="HY15" s="323"/>
      <c r="HZ15" s="355"/>
      <c r="IA15" s="322" t="e">
        <f>AVERAGE(IA56:IG56)</f>
        <v>#DIV/0!</v>
      </c>
      <c r="IB15" s="323"/>
      <c r="IC15" s="323"/>
      <c r="ID15" s="323"/>
      <c r="IE15" s="323"/>
      <c r="IF15" s="323"/>
      <c r="IG15" s="355"/>
      <c r="IH15" s="322" t="e">
        <f>AVERAGE(IH56:IN56)</f>
        <v>#DIV/0!</v>
      </c>
      <c r="II15" s="323"/>
      <c r="IJ15" s="323"/>
      <c r="IK15" s="323"/>
      <c r="IL15" s="323"/>
      <c r="IM15" s="323"/>
      <c r="IN15" s="355"/>
      <c r="IO15" s="322" t="e">
        <f>AVERAGE(IO56:IU56)</f>
        <v>#DIV/0!</v>
      </c>
      <c r="IP15" s="323"/>
      <c r="IQ15" s="323"/>
      <c r="IR15" s="323"/>
      <c r="IS15" s="323"/>
      <c r="IT15" s="323"/>
      <c r="IU15" s="355"/>
      <c r="IV15" s="322" t="e">
        <f>AVERAGE(IV56:JB56)</f>
        <v>#DIV/0!</v>
      </c>
      <c r="IW15" s="323"/>
      <c r="IX15" s="323"/>
      <c r="IY15" s="323"/>
      <c r="IZ15" s="323"/>
      <c r="JA15" s="323"/>
      <c r="JB15" s="355"/>
      <c r="JC15" s="322" t="e">
        <f>AVERAGE(JC56:JI56)</f>
        <v>#DIV/0!</v>
      </c>
      <c r="JD15" s="323"/>
      <c r="JE15" s="323"/>
      <c r="JF15" s="323"/>
      <c r="JG15" s="323"/>
      <c r="JH15" s="323"/>
      <c r="JI15" s="355"/>
      <c r="JJ15" s="322" t="e">
        <f>AVERAGE(JJ56:JP56)</f>
        <v>#DIV/0!</v>
      </c>
      <c r="JK15" s="323"/>
      <c r="JL15" s="323"/>
      <c r="JM15" s="323"/>
      <c r="JN15" s="323"/>
      <c r="JO15" s="323"/>
      <c r="JP15" s="355"/>
      <c r="JQ15" s="322" t="e">
        <f>AVERAGE(JQ56:JW56)</f>
        <v>#DIV/0!</v>
      </c>
      <c r="JR15" s="323"/>
      <c r="JS15" s="323"/>
      <c r="JT15" s="323"/>
      <c r="JU15" s="323"/>
      <c r="JV15" s="323"/>
      <c r="JW15" s="355"/>
      <c r="JX15" s="322" t="e">
        <f>AVERAGE(JX56:KD56)</f>
        <v>#DIV/0!</v>
      </c>
      <c r="JY15" s="323"/>
      <c r="JZ15" s="323"/>
      <c r="KA15" s="323"/>
      <c r="KB15" s="323"/>
      <c r="KC15" s="323"/>
      <c r="KD15" s="355"/>
      <c r="KE15" s="322" t="e">
        <f>AVERAGE(KE56:KK56)</f>
        <v>#DIV/0!</v>
      </c>
      <c r="KF15" s="323"/>
      <c r="KG15" s="323"/>
      <c r="KH15" s="323"/>
      <c r="KI15" s="323"/>
      <c r="KJ15" s="323"/>
      <c r="KK15" s="355"/>
      <c r="KL15" s="322" t="e">
        <f>AVERAGE(KL56:KR56)</f>
        <v>#DIV/0!</v>
      </c>
      <c r="KM15" s="323"/>
      <c r="KN15" s="323"/>
      <c r="KO15" s="323"/>
      <c r="KP15" s="323"/>
      <c r="KQ15" s="323"/>
      <c r="KR15" s="355"/>
      <c r="KS15" s="322" t="e">
        <f>AVERAGE(KS56:KY56)</f>
        <v>#DIV/0!</v>
      </c>
      <c r="KT15" s="323"/>
      <c r="KU15" s="323"/>
      <c r="KV15" s="323"/>
      <c r="KW15" s="323"/>
      <c r="KX15" s="323"/>
      <c r="KY15" s="355"/>
      <c r="KZ15" s="322" t="e">
        <f>AVERAGE(KZ56:LF56)</f>
        <v>#DIV/0!</v>
      </c>
      <c r="LA15" s="323"/>
      <c r="LB15" s="323"/>
      <c r="LC15" s="323"/>
      <c r="LD15" s="323"/>
      <c r="LE15" s="323"/>
      <c r="LF15" s="355"/>
      <c r="LG15" s="322" t="e">
        <f>AVERAGE(LG56:LM56)</f>
        <v>#DIV/0!</v>
      </c>
      <c r="LH15" s="323"/>
      <c r="LI15" s="323"/>
      <c r="LJ15" s="323"/>
      <c r="LK15" s="323"/>
      <c r="LL15" s="323"/>
      <c r="LM15" s="355"/>
      <c r="LN15" s="322" t="e">
        <f>AVERAGE(LN56:LT56)</f>
        <v>#DIV/0!</v>
      </c>
      <c r="LO15" s="323"/>
      <c r="LP15" s="323"/>
      <c r="LQ15" s="323"/>
      <c r="LR15" s="323"/>
      <c r="LS15" s="323"/>
      <c r="LT15" s="355"/>
      <c r="LU15" s="322" t="e">
        <f>AVERAGE(LU56:MA56)</f>
        <v>#DIV/0!</v>
      </c>
      <c r="LV15" s="323"/>
      <c r="LW15" s="323"/>
      <c r="LX15" s="323"/>
      <c r="LY15" s="323"/>
      <c r="LZ15" s="323"/>
      <c r="MA15" s="355"/>
      <c r="MB15" s="322" t="e">
        <f>AVERAGE(MB56:MH56)</f>
        <v>#DIV/0!</v>
      </c>
      <c r="MC15" s="323"/>
      <c r="MD15" s="323"/>
      <c r="ME15" s="323"/>
      <c r="MF15" s="323"/>
      <c r="MG15" s="323"/>
      <c r="MH15" s="355"/>
      <c r="MI15" s="322" t="e">
        <f>AVERAGE(MI56:MO56)</f>
        <v>#DIV/0!</v>
      </c>
      <c r="MJ15" s="323"/>
      <c r="MK15" s="323"/>
      <c r="ML15" s="323"/>
      <c r="MM15" s="323"/>
      <c r="MN15" s="323"/>
      <c r="MO15" s="355"/>
      <c r="MP15" s="322" t="e">
        <f>AVERAGE(MP56:MV56)</f>
        <v>#DIV/0!</v>
      </c>
      <c r="MQ15" s="323"/>
      <c r="MR15" s="323"/>
      <c r="MS15" s="323"/>
      <c r="MT15" s="323"/>
      <c r="MU15" s="323"/>
      <c r="MV15" s="355"/>
      <c r="MW15" s="322" t="e">
        <f>AVERAGE(MW56:NC56)</f>
        <v>#DIV/0!</v>
      </c>
      <c r="MX15" s="323"/>
      <c r="MY15" s="323"/>
      <c r="MZ15" s="323"/>
      <c r="NA15" s="323"/>
      <c r="NB15" s="323"/>
      <c r="NC15" s="355"/>
      <c r="ND15" s="322" t="e">
        <f>AVERAGE(ND56:NJ56)</f>
        <v>#DIV/0!</v>
      </c>
      <c r="NE15" s="323"/>
      <c r="NF15" s="323"/>
      <c r="NG15" s="323"/>
      <c r="NH15" s="323"/>
      <c r="NI15" s="323"/>
      <c r="NJ15" s="355"/>
      <c r="NK15" s="322" t="e">
        <f>AVERAGE(NK56:NQ56)</f>
        <v>#DIV/0!</v>
      </c>
      <c r="NL15" s="323"/>
      <c r="NM15" s="323"/>
      <c r="NN15" s="323"/>
      <c r="NO15" s="323"/>
      <c r="NP15" s="323"/>
      <c r="NQ15" s="355"/>
      <c r="NR15" s="322" t="e">
        <f>AVERAGE(NR56:NX56)</f>
        <v>#DIV/0!</v>
      </c>
      <c r="NS15" s="323"/>
      <c r="NT15" s="323"/>
      <c r="NU15" s="323"/>
      <c r="NV15" s="323"/>
      <c r="NW15" s="323"/>
      <c r="NX15" s="355"/>
      <c r="NY15" s="322" t="e">
        <f>AVERAGE(NY56:OE56)</f>
        <v>#DIV/0!</v>
      </c>
      <c r="NZ15" s="323"/>
      <c r="OA15" s="323"/>
      <c r="OB15" s="323"/>
      <c r="OC15" s="323"/>
      <c r="OD15" s="323"/>
      <c r="OE15" s="355"/>
      <c r="OF15" s="322" t="e">
        <f>AVERAGE(OF56:OL56)</f>
        <v>#DIV/0!</v>
      </c>
      <c r="OG15" s="323"/>
      <c r="OH15" s="323"/>
      <c r="OI15" s="323"/>
      <c r="OJ15" s="323"/>
      <c r="OK15" s="323"/>
      <c r="OL15" s="355"/>
      <c r="OM15" s="322" t="e">
        <f>AVERAGE(OM56:OS56)</f>
        <v>#DIV/0!</v>
      </c>
      <c r="ON15" s="323"/>
      <c r="OO15" s="323"/>
      <c r="OP15" s="323"/>
      <c r="OQ15" s="323"/>
      <c r="OR15" s="323"/>
      <c r="OS15" s="355"/>
      <c r="OT15" s="322" t="e">
        <f>AVERAGE(OT56:OZ56)</f>
        <v>#DIV/0!</v>
      </c>
      <c r="OU15" s="323"/>
      <c r="OV15" s="323"/>
      <c r="OW15" s="323"/>
      <c r="OX15" s="323"/>
      <c r="OY15" s="323"/>
      <c r="OZ15" s="355"/>
      <c r="PA15" s="322" t="e">
        <f>AVERAGE(PA56:PG56)</f>
        <v>#DIV/0!</v>
      </c>
      <c r="PB15" s="323"/>
      <c r="PC15" s="323"/>
      <c r="PD15" s="323"/>
      <c r="PE15" s="323"/>
      <c r="PF15" s="323"/>
      <c r="PG15" s="355"/>
      <c r="PH15" s="322" t="e">
        <f>AVERAGE(PH56:PN56)</f>
        <v>#DIV/0!</v>
      </c>
      <c r="PI15" s="323"/>
      <c r="PJ15" s="323"/>
      <c r="PK15" s="323"/>
      <c r="PL15" s="323"/>
      <c r="PM15" s="323"/>
      <c r="PN15" s="355"/>
      <c r="PO15" s="322" t="e">
        <f>AVERAGE(PO56:PU56)</f>
        <v>#DIV/0!</v>
      </c>
      <c r="PP15" s="323"/>
      <c r="PQ15" s="323"/>
      <c r="PR15" s="323"/>
      <c r="PS15" s="323"/>
      <c r="PT15" s="323"/>
      <c r="PU15" s="355"/>
      <c r="PV15" s="322" t="e">
        <f>AVERAGE(PV56:QB56)</f>
        <v>#DIV/0!</v>
      </c>
      <c r="PW15" s="323"/>
      <c r="PX15" s="323"/>
      <c r="PY15" s="323"/>
      <c r="PZ15" s="323"/>
      <c r="QA15" s="323"/>
      <c r="QB15" s="355"/>
      <c r="QC15" s="322" t="e">
        <f>AVERAGE(QC56:QI56)</f>
        <v>#DIV/0!</v>
      </c>
      <c r="QD15" s="323"/>
      <c r="QE15" s="323"/>
      <c r="QF15" s="323"/>
      <c r="QG15" s="323"/>
      <c r="QH15" s="323"/>
      <c r="QI15" s="355"/>
      <c r="QJ15" s="322" t="e">
        <f>AVERAGE(QJ56:QP56)</f>
        <v>#DIV/0!</v>
      </c>
      <c r="QK15" s="323"/>
      <c r="QL15" s="323"/>
      <c r="QM15" s="323"/>
      <c r="QN15" s="323"/>
      <c r="QO15" s="323"/>
      <c r="QP15" s="355"/>
      <c r="QQ15" s="322" t="e">
        <f>AVERAGE(QQ56:QW56)</f>
        <v>#DIV/0!</v>
      </c>
      <c r="QR15" s="323"/>
      <c r="QS15" s="323"/>
      <c r="QT15" s="323"/>
      <c r="QU15" s="323"/>
      <c r="QV15" s="323"/>
      <c r="QW15" s="355"/>
      <c r="QX15" s="322" t="e">
        <f>AVERAGE(QX56:RD56)</f>
        <v>#DIV/0!</v>
      </c>
      <c r="QY15" s="323"/>
      <c r="QZ15" s="323"/>
      <c r="RA15" s="323"/>
      <c r="RB15" s="323"/>
      <c r="RC15" s="323"/>
      <c r="RD15" s="355"/>
      <c r="RE15" s="322" t="e">
        <f>AVERAGE(RE56:RK56)</f>
        <v>#DIV/0!</v>
      </c>
      <c r="RF15" s="323"/>
      <c r="RG15" s="323"/>
      <c r="RH15" s="323"/>
      <c r="RI15" s="323"/>
      <c r="RJ15" s="323"/>
      <c r="RK15" s="355"/>
      <c r="RL15" s="322" t="e">
        <f>AVERAGE(RL56:RR56)</f>
        <v>#DIV/0!</v>
      </c>
      <c r="RM15" s="323"/>
      <c r="RN15" s="323"/>
      <c r="RO15" s="323"/>
      <c r="RP15" s="323"/>
      <c r="RQ15" s="323"/>
      <c r="RR15" s="355"/>
      <c r="RS15" s="322" t="e">
        <f>AVERAGE(RS56:RY56)</f>
        <v>#DIV/0!</v>
      </c>
      <c r="RT15" s="323"/>
      <c r="RU15" s="323"/>
      <c r="RV15" s="323"/>
      <c r="RW15" s="323"/>
      <c r="RX15" s="323"/>
      <c r="RY15" s="355"/>
      <c r="RZ15" s="322" t="e">
        <f>AVERAGE(RZ56:SF56)</f>
        <v>#DIV/0!</v>
      </c>
      <c r="SA15" s="323"/>
      <c r="SB15" s="323"/>
      <c r="SC15" s="323"/>
      <c r="SD15" s="323"/>
      <c r="SE15" s="323"/>
      <c r="SF15" s="355"/>
      <c r="SG15" s="322" t="e">
        <f>AVERAGE(SG56:SM56)</f>
        <v>#DIV/0!</v>
      </c>
      <c r="SH15" s="323"/>
      <c r="SI15" s="323"/>
      <c r="SJ15" s="323"/>
      <c r="SK15" s="323"/>
      <c r="SL15" s="323"/>
      <c r="SM15" s="355"/>
      <c r="SN15" s="322" t="e">
        <f>AVERAGE(SN56:ST56)</f>
        <v>#DIV/0!</v>
      </c>
      <c r="SO15" s="323"/>
      <c r="SP15" s="323"/>
      <c r="SQ15" s="323"/>
      <c r="SR15" s="323"/>
      <c r="SS15" s="323"/>
      <c r="ST15" s="355"/>
      <c r="SU15" s="322" t="e">
        <f>AVERAGE(SU56:TA56)</f>
        <v>#DIV/0!</v>
      </c>
      <c r="SV15" s="323"/>
      <c r="SW15" s="323"/>
      <c r="SX15" s="323"/>
      <c r="SY15" s="323"/>
      <c r="SZ15" s="323"/>
      <c r="TA15" s="355"/>
      <c r="TB15" s="322" t="e">
        <f>AVERAGE(TB56:TH56)</f>
        <v>#DIV/0!</v>
      </c>
      <c r="TC15" s="323"/>
      <c r="TD15" s="323"/>
      <c r="TE15" s="323"/>
      <c r="TF15" s="323"/>
      <c r="TG15" s="323"/>
      <c r="TH15" s="355"/>
      <c r="TI15" s="322" t="e">
        <f>AVERAGE(TI56:TO56)</f>
        <v>#DIV/0!</v>
      </c>
      <c r="TJ15" s="323"/>
      <c r="TK15" s="323"/>
      <c r="TL15" s="323"/>
      <c r="TM15" s="323"/>
      <c r="TN15" s="323"/>
      <c r="TO15" s="355"/>
      <c r="TP15" s="322" t="e">
        <f>AVERAGE(TP56:TV56)</f>
        <v>#DIV/0!</v>
      </c>
      <c r="TQ15" s="323"/>
      <c r="TR15" s="323"/>
      <c r="TS15" s="323"/>
      <c r="TT15" s="323"/>
      <c r="TU15" s="323"/>
      <c r="TV15" s="355"/>
      <c r="TW15" s="322" t="e">
        <f>AVERAGE(TW56:UC56)</f>
        <v>#DIV/0!</v>
      </c>
      <c r="TX15" s="323"/>
      <c r="TY15" s="323"/>
      <c r="TZ15" s="323"/>
      <c r="UA15" s="323"/>
      <c r="UB15" s="323"/>
      <c r="UC15" s="355"/>
      <c r="UD15" s="322" t="e">
        <f>AVERAGE(UD56:UJ56)</f>
        <v>#DIV/0!</v>
      </c>
      <c r="UE15" s="323"/>
      <c r="UF15" s="323"/>
      <c r="UG15" s="323"/>
      <c r="UH15" s="323"/>
      <c r="UI15" s="323"/>
      <c r="UJ15" s="355"/>
      <c r="UK15" s="322" t="e">
        <f>AVERAGE(UK56:UQ56)</f>
        <v>#DIV/0!</v>
      </c>
      <c r="UL15" s="323"/>
      <c r="UM15" s="323"/>
      <c r="UN15" s="323"/>
      <c r="UO15" s="323"/>
      <c r="UP15" s="323"/>
      <c r="UQ15" s="355"/>
      <c r="UR15" s="210" t="e">
        <f>AVERAGE(UR56:UX56)</f>
        <v>#DIV/0!</v>
      </c>
      <c r="US15" s="211"/>
    </row>
    <row r="16" spans="1:597" ht="15.75" customHeight="1" x14ac:dyDescent="0.3">
      <c r="B16" s="100" t="s">
        <v>87</v>
      </c>
      <c r="C16" s="101" t="s">
        <v>86</v>
      </c>
      <c r="D16" s="102" t="str">
        <f t="shared" ref="D16:D21" si="27">IFERROR(E16/$E$55,"")</f>
        <v/>
      </c>
      <c r="E16" s="103" t="str">
        <f>IFERROR(AVERAGE(F16:UU16),"")</f>
        <v/>
      </c>
      <c r="F16" s="212"/>
      <c r="G16" s="212"/>
      <c r="H16" s="212"/>
      <c r="I16" s="212"/>
      <c r="J16" s="212"/>
      <c r="K16" s="212"/>
      <c r="L16" s="212"/>
      <c r="M16" s="212"/>
      <c r="N16" s="212"/>
      <c r="O16" s="212"/>
      <c r="P16" s="213"/>
      <c r="Q16" s="213"/>
      <c r="R16" s="212"/>
      <c r="S16" s="212"/>
      <c r="T16" s="212"/>
      <c r="U16" s="212"/>
      <c r="V16" s="212"/>
      <c r="W16" s="213"/>
      <c r="X16" s="213"/>
      <c r="Y16" s="212"/>
      <c r="Z16" s="212"/>
      <c r="AA16" s="212"/>
      <c r="AB16" s="213"/>
      <c r="AC16" s="213"/>
      <c r="AD16" s="213"/>
      <c r="AE16" s="213"/>
      <c r="AF16" s="213"/>
      <c r="AG16" s="213"/>
      <c r="AH16" s="212"/>
      <c r="AI16" s="212"/>
      <c r="AJ16" s="212"/>
      <c r="AK16" s="213"/>
      <c r="AL16" s="213"/>
      <c r="AM16" s="212"/>
      <c r="AN16" s="212"/>
      <c r="AO16" s="212"/>
      <c r="AP16" s="212"/>
      <c r="AQ16" s="212"/>
      <c r="AR16" s="212"/>
      <c r="AS16" s="212"/>
      <c r="AT16" s="212"/>
      <c r="AV16" s="212"/>
      <c r="AW16" s="212"/>
      <c r="AX16" s="212"/>
      <c r="AY16" s="212"/>
      <c r="AZ16" s="212"/>
      <c r="BA16" s="212"/>
      <c r="BB16" s="212"/>
      <c r="BC16" s="212"/>
      <c r="BD16" s="212"/>
      <c r="BE16" s="212"/>
      <c r="BF16" s="212"/>
      <c r="BG16" s="212"/>
      <c r="BH16" s="212"/>
      <c r="BI16" s="212"/>
      <c r="BJ16" s="212"/>
      <c r="BK16" s="212"/>
      <c r="BL16" s="212"/>
      <c r="BM16" s="212"/>
      <c r="BN16" s="212"/>
      <c r="BO16" s="212"/>
      <c r="BP16" s="212"/>
      <c r="BQ16" s="212"/>
      <c r="BR16" s="212"/>
      <c r="BS16" s="212"/>
      <c r="BT16" s="212"/>
      <c r="BU16" s="212"/>
      <c r="BV16" s="212"/>
      <c r="BW16" s="212"/>
      <c r="BX16" s="212"/>
      <c r="BY16" s="212"/>
      <c r="BZ16" s="212"/>
      <c r="CA16" s="212"/>
      <c r="CB16" s="212"/>
      <c r="CC16" s="212"/>
      <c r="CD16" s="212"/>
      <c r="CE16" s="212"/>
      <c r="CF16" s="212"/>
      <c r="CG16" s="212"/>
      <c r="CH16" s="212"/>
      <c r="CI16" s="212"/>
      <c r="CJ16" s="212"/>
      <c r="CK16" s="212"/>
      <c r="CL16" s="212"/>
      <c r="CM16" s="212"/>
      <c r="CN16" s="212"/>
      <c r="CO16" s="212"/>
      <c r="CP16" s="212"/>
      <c r="CQ16" s="212"/>
      <c r="CR16" s="212"/>
      <c r="CS16" s="212"/>
      <c r="CT16" s="212"/>
      <c r="CU16" s="212"/>
      <c r="CV16" s="212"/>
      <c r="CW16" s="212"/>
      <c r="CX16" s="212"/>
      <c r="CY16" s="212"/>
      <c r="CZ16" s="212"/>
      <c r="DA16" s="212"/>
      <c r="DB16" s="212"/>
      <c r="DC16" s="212"/>
      <c r="DD16" s="212"/>
      <c r="DE16" s="212"/>
      <c r="DF16" s="212"/>
      <c r="DG16" s="212"/>
      <c r="DH16" s="212"/>
      <c r="DI16" s="212"/>
      <c r="DJ16" s="212"/>
      <c r="DK16" s="212"/>
      <c r="DL16" s="212"/>
      <c r="DM16" s="212"/>
      <c r="DN16" s="212"/>
      <c r="DO16" s="212"/>
      <c r="DP16" s="212"/>
      <c r="DQ16" s="212"/>
      <c r="DR16" s="212"/>
      <c r="DS16" s="212"/>
      <c r="DT16" s="212"/>
      <c r="DU16" s="212"/>
      <c r="DV16" s="212"/>
      <c r="DW16" s="212"/>
      <c r="DX16" s="212"/>
      <c r="DY16" s="212"/>
      <c r="DZ16" s="212"/>
      <c r="EA16" s="212"/>
      <c r="EB16" s="212"/>
      <c r="EC16" s="212"/>
      <c r="ED16" s="212"/>
      <c r="EE16" s="212"/>
      <c r="EF16" s="212"/>
      <c r="EG16" s="212"/>
      <c r="EH16" s="212"/>
      <c r="EI16" s="212"/>
      <c r="EJ16" s="212"/>
      <c r="EK16" s="212"/>
      <c r="EL16" s="212"/>
      <c r="EM16" s="212"/>
      <c r="EN16" s="212"/>
      <c r="EO16" s="212"/>
      <c r="EP16" s="212"/>
      <c r="EQ16" s="212"/>
      <c r="ER16" s="212"/>
      <c r="ES16" s="212"/>
      <c r="ET16" s="212"/>
      <c r="EU16" s="212"/>
      <c r="EV16" s="212"/>
      <c r="EW16" s="212"/>
      <c r="EX16" s="212"/>
      <c r="EY16" s="212"/>
      <c r="EZ16" s="212"/>
      <c r="FA16" s="212"/>
      <c r="FB16" s="212"/>
      <c r="FC16" s="212"/>
      <c r="FD16" s="212"/>
      <c r="FE16" s="212"/>
      <c r="FF16" s="212"/>
      <c r="FG16" s="212"/>
      <c r="FH16" s="212"/>
      <c r="FI16" s="212"/>
      <c r="FJ16" s="212"/>
      <c r="FK16" s="212"/>
      <c r="FL16" s="212"/>
      <c r="FM16" s="212"/>
      <c r="FN16" s="212"/>
      <c r="FO16" s="212"/>
      <c r="FP16" s="212"/>
      <c r="FQ16" s="212"/>
      <c r="FR16" s="212"/>
      <c r="FS16" s="212"/>
      <c r="FT16" s="212"/>
      <c r="FU16" s="212"/>
      <c r="FV16" s="212"/>
      <c r="FW16" s="212"/>
      <c r="FX16" s="212"/>
      <c r="FY16" s="212"/>
      <c r="FZ16" s="212"/>
      <c r="GA16" s="212"/>
      <c r="GB16" s="212"/>
      <c r="GC16" s="212"/>
      <c r="GD16" s="212"/>
      <c r="GE16" s="212"/>
      <c r="GF16" s="212"/>
      <c r="GG16" s="212"/>
      <c r="GH16" s="212"/>
      <c r="GI16" s="212"/>
      <c r="GJ16" s="212"/>
      <c r="GK16" s="212"/>
      <c r="GL16" s="212"/>
      <c r="GM16" s="212"/>
      <c r="GN16" s="212"/>
      <c r="GO16" s="212"/>
      <c r="GP16" s="212"/>
      <c r="GQ16" s="212"/>
      <c r="GR16" s="212"/>
      <c r="GS16" s="212"/>
      <c r="GT16" s="212"/>
      <c r="GU16" s="212"/>
      <c r="GV16" s="212"/>
      <c r="GW16" s="212"/>
      <c r="GX16" s="212"/>
      <c r="GY16" s="212"/>
      <c r="GZ16" s="212"/>
      <c r="HA16" s="212"/>
      <c r="HB16" s="212"/>
      <c r="HC16" s="212"/>
      <c r="HD16" s="212"/>
      <c r="HE16" s="212"/>
      <c r="HF16" s="212"/>
      <c r="HG16" s="212"/>
      <c r="HH16" s="212"/>
      <c r="HI16" s="212"/>
      <c r="HJ16" s="212"/>
      <c r="HK16" s="212"/>
      <c r="HL16" s="212"/>
      <c r="HM16" s="212"/>
      <c r="HN16" s="212"/>
      <c r="HO16" s="212"/>
      <c r="HP16" s="212"/>
      <c r="HQ16" s="212"/>
      <c r="HR16" s="212"/>
      <c r="HS16" s="212"/>
      <c r="HT16" s="212"/>
      <c r="HU16" s="212"/>
      <c r="HV16" s="212"/>
      <c r="HW16" s="212"/>
      <c r="HX16" s="212"/>
      <c r="HY16" s="212"/>
      <c r="HZ16" s="212"/>
      <c r="IA16" s="212"/>
      <c r="IB16" s="212"/>
      <c r="IC16" s="212"/>
      <c r="ID16" s="212"/>
      <c r="IE16" s="212"/>
      <c r="IF16" s="212"/>
      <c r="IG16" s="212"/>
      <c r="IH16" s="212"/>
      <c r="II16" s="212"/>
      <c r="IJ16" s="212"/>
      <c r="IK16" s="212"/>
      <c r="IL16" s="212"/>
      <c r="IM16" s="212"/>
      <c r="IN16" s="212"/>
      <c r="IO16" s="212"/>
      <c r="IP16" s="212"/>
      <c r="IQ16" s="212"/>
      <c r="IR16" s="212"/>
      <c r="IS16" s="212"/>
      <c r="IT16" s="212"/>
      <c r="IU16" s="212"/>
      <c r="IV16" s="212"/>
      <c r="IW16" s="212"/>
      <c r="IX16" s="212"/>
      <c r="IY16" s="212"/>
      <c r="IZ16" s="212"/>
      <c r="JA16" s="212"/>
      <c r="JB16" s="212"/>
      <c r="JC16" s="212"/>
      <c r="JD16" s="212"/>
      <c r="JE16" s="212"/>
      <c r="JF16" s="212"/>
      <c r="JG16" s="212"/>
      <c r="JH16" s="212"/>
      <c r="JI16" s="212"/>
      <c r="JJ16" s="212"/>
      <c r="JK16" s="212"/>
      <c r="JL16" s="212"/>
      <c r="JM16" s="212"/>
      <c r="JN16" s="212"/>
      <c r="JO16" s="212"/>
      <c r="JP16" s="212"/>
      <c r="JQ16" s="212"/>
      <c r="JR16" s="212"/>
      <c r="JS16" s="212"/>
      <c r="JT16" s="212"/>
      <c r="JU16" s="212"/>
      <c r="JV16" s="212"/>
      <c r="JW16" s="212"/>
      <c r="JX16" s="212"/>
      <c r="JY16" s="212"/>
      <c r="JZ16" s="212"/>
      <c r="KA16" s="212"/>
      <c r="KB16" s="212"/>
      <c r="KC16" s="212"/>
      <c r="KD16" s="212"/>
      <c r="KE16" s="212"/>
      <c r="KF16" s="212"/>
      <c r="KG16" s="212"/>
      <c r="KH16" s="212"/>
      <c r="KI16" s="212"/>
      <c r="KJ16" s="212"/>
      <c r="KK16" s="212"/>
      <c r="KL16" s="212"/>
      <c r="KM16" s="212"/>
      <c r="KN16" s="212"/>
      <c r="KO16" s="212"/>
      <c r="KP16" s="212"/>
      <c r="KQ16" s="212"/>
      <c r="KR16" s="212"/>
      <c r="KS16" s="212"/>
      <c r="KT16" s="212"/>
      <c r="KU16" s="212"/>
      <c r="KV16" s="212"/>
      <c r="KW16" s="212"/>
      <c r="KX16" s="212"/>
      <c r="KY16" s="212"/>
      <c r="KZ16" s="212"/>
      <c r="LA16" s="212"/>
      <c r="LB16" s="212"/>
      <c r="LC16" s="212"/>
      <c r="LD16" s="212"/>
      <c r="LE16" s="212"/>
      <c r="LF16" s="212"/>
      <c r="LG16" s="212"/>
      <c r="LH16" s="212"/>
      <c r="LI16" s="212"/>
      <c r="LJ16" s="212"/>
      <c r="LK16" s="212"/>
      <c r="LL16" s="212"/>
      <c r="LM16" s="212"/>
      <c r="LN16" s="212"/>
      <c r="LO16" s="212"/>
      <c r="LP16" s="212"/>
      <c r="LQ16" s="212"/>
      <c r="LR16" s="212"/>
      <c r="LS16" s="212"/>
      <c r="LT16" s="212"/>
      <c r="LU16" s="212"/>
      <c r="LV16" s="212"/>
      <c r="LW16" s="212"/>
      <c r="LX16" s="212"/>
      <c r="LY16" s="212"/>
      <c r="LZ16" s="212"/>
      <c r="MA16" s="212"/>
      <c r="MB16" s="212"/>
      <c r="MC16" s="212"/>
      <c r="MD16" s="212"/>
      <c r="ME16" s="212"/>
      <c r="MF16" s="212"/>
      <c r="MG16" s="212"/>
      <c r="MH16" s="212"/>
      <c r="MI16" s="212"/>
      <c r="MJ16" s="212"/>
      <c r="MK16" s="212"/>
      <c r="ML16" s="212"/>
      <c r="MM16" s="212"/>
      <c r="MN16" s="212"/>
      <c r="MO16" s="212"/>
      <c r="MP16" s="212"/>
      <c r="MQ16" s="212"/>
      <c r="MR16" s="212"/>
      <c r="MS16" s="212"/>
      <c r="MT16" s="212"/>
      <c r="MU16" s="212"/>
      <c r="MV16" s="212"/>
      <c r="MW16" s="212"/>
      <c r="MX16" s="212"/>
      <c r="MY16" s="212"/>
      <c r="MZ16" s="212"/>
      <c r="NA16" s="212"/>
      <c r="NB16" s="212"/>
      <c r="NC16" s="212"/>
      <c r="ND16" s="212"/>
      <c r="NE16" s="212"/>
      <c r="NF16" s="212"/>
      <c r="NG16" s="212"/>
      <c r="NH16" s="212"/>
      <c r="NI16" s="212"/>
      <c r="NJ16" s="212"/>
      <c r="NK16" s="212"/>
      <c r="NL16" s="212"/>
      <c r="NM16" s="212"/>
      <c r="NN16" s="212"/>
      <c r="NO16" s="212"/>
      <c r="NP16" s="212"/>
      <c r="NQ16" s="212"/>
      <c r="NR16" s="212"/>
      <c r="NS16" s="212"/>
      <c r="NT16" s="212"/>
      <c r="NU16" s="212"/>
      <c r="NV16" s="212"/>
      <c r="NW16" s="212"/>
      <c r="NX16" s="212"/>
      <c r="NY16" s="212"/>
      <c r="NZ16" s="212"/>
      <c r="OA16" s="212"/>
      <c r="OB16" s="212"/>
      <c r="OC16" s="212"/>
      <c r="OD16" s="212"/>
      <c r="OE16" s="212"/>
      <c r="OF16" s="212"/>
      <c r="OG16" s="212"/>
      <c r="OH16" s="212"/>
      <c r="OI16" s="212"/>
      <c r="OJ16" s="212"/>
      <c r="OK16" s="212"/>
      <c r="OL16" s="212"/>
      <c r="OM16" s="212"/>
      <c r="ON16" s="212"/>
      <c r="OO16" s="212"/>
      <c r="OP16" s="212"/>
      <c r="OQ16" s="212"/>
      <c r="OR16" s="212"/>
      <c r="OS16" s="212"/>
      <c r="OT16" s="212"/>
      <c r="OU16" s="212"/>
      <c r="OV16" s="212"/>
      <c r="OW16" s="212"/>
      <c r="OX16" s="212"/>
      <c r="OY16" s="212"/>
      <c r="OZ16" s="212"/>
      <c r="PA16" s="212"/>
      <c r="PB16" s="212"/>
      <c r="PC16" s="212"/>
      <c r="PD16" s="212"/>
      <c r="PE16" s="212"/>
      <c r="PF16" s="212"/>
      <c r="PG16" s="212"/>
      <c r="PH16" s="212"/>
      <c r="PI16" s="212"/>
      <c r="PJ16" s="212"/>
      <c r="PK16" s="212"/>
      <c r="PL16" s="212"/>
      <c r="PM16" s="212"/>
      <c r="PN16" s="212"/>
      <c r="PO16" s="212"/>
      <c r="PP16" s="212"/>
      <c r="PQ16" s="212"/>
      <c r="PR16" s="212"/>
      <c r="PS16" s="212"/>
      <c r="PT16" s="212"/>
      <c r="PU16" s="212"/>
      <c r="PV16" s="212"/>
      <c r="PW16" s="212"/>
      <c r="PX16" s="212"/>
      <c r="PY16" s="212"/>
      <c r="PZ16" s="212"/>
      <c r="QA16" s="212"/>
      <c r="QB16" s="212"/>
      <c r="QC16" s="212"/>
      <c r="QD16" s="212"/>
      <c r="QE16" s="212"/>
      <c r="QF16" s="212"/>
      <c r="QG16" s="212"/>
      <c r="QH16" s="212"/>
      <c r="QI16" s="212"/>
      <c r="QJ16" s="212"/>
      <c r="QK16" s="212"/>
      <c r="QL16" s="212"/>
      <c r="QM16" s="212"/>
      <c r="QN16" s="212"/>
      <c r="QO16" s="212"/>
      <c r="QP16" s="212"/>
      <c r="QQ16" s="212"/>
      <c r="QR16" s="212"/>
      <c r="QS16" s="212"/>
      <c r="QT16" s="212"/>
      <c r="QU16" s="212"/>
      <c r="QV16" s="212"/>
      <c r="QW16" s="212"/>
      <c r="QX16" s="212"/>
      <c r="QY16" s="212"/>
      <c r="QZ16" s="212"/>
      <c r="RA16" s="212"/>
      <c r="RB16" s="212"/>
      <c r="RC16" s="212"/>
      <c r="RD16" s="212"/>
      <c r="RE16" s="212"/>
      <c r="RF16" s="212"/>
      <c r="RG16" s="212"/>
      <c r="RH16" s="212"/>
      <c r="RI16" s="212"/>
      <c r="RJ16" s="212"/>
      <c r="RK16" s="212"/>
      <c r="RL16" s="212"/>
      <c r="RM16" s="212"/>
      <c r="RN16" s="212"/>
      <c r="RO16" s="212"/>
      <c r="RP16" s="212"/>
      <c r="RQ16" s="212"/>
      <c r="RR16" s="212"/>
      <c r="RS16" s="212"/>
      <c r="RT16" s="212"/>
      <c r="RU16" s="212"/>
      <c r="RV16" s="212"/>
      <c r="RW16" s="212"/>
      <c r="RX16" s="212"/>
      <c r="RY16" s="212"/>
      <c r="RZ16" s="212"/>
      <c r="SA16" s="212"/>
      <c r="SB16" s="212"/>
      <c r="SC16" s="212"/>
      <c r="SD16" s="212"/>
      <c r="SE16" s="212"/>
      <c r="SF16" s="212"/>
      <c r="SG16" s="212"/>
      <c r="SH16" s="212"/>
      <c r="SI16" s="212"/>
      <c r="SJ16" s="212"/>
      <c r="SK16" s="212"/>
      <c r="SL16" s="212"/>
      <c r="SM16" s="212"/>
      <c r="SN16" s="212"/>
      <c r="SO16" s="212"/>
      <c r="SP16" s="212"/>
      <c r="SQ16" s="212"/>
      <c r="SR16" s="212"/>
      <c r="SS16" s="212"/>
      <c r="ST16" s="212"/>
      <c r="SU16" s="212"/>
      <c r="SV16" s="212"/>
      <c r="SW16" s="212"/>
      <c r="SX16" s="212"/>
      <c r="SY16" s="212"/>
      <c r="SZ16" s="212"/>
      <c r="TA16" s="212"/>
      <c r="TB16" s="212"/>
      <c r="TC16" s="212"/>
      <c r="TD16" s="212"/>
      <c r="TE16" s="212"/>
      <c r="TF16" s="212"/>
      <c r="TG16" s="212"/>
      <c r="TH16" s="212"/>
      <c r="TI16" s="212"/>
      <c r="TJ16" s="212"/>
      <c r="TK16" s="212"/>
      <c r="TL16" s="212"/>
      <c r="TM16" s="212"/>
      <c r="TN16" s="212"/>
      <c r="TO16" s="212"/>
      <c r="TP16" s="212"/>
      <c r="TQ16" s="212"/>
      <c r="TR16" s="212"/>
      <c r="TS16" s="212"/>
      <c r="TT16" s="212"/>
      <c r="TU16" s="212"/>
      <c r="TV16" s="212"/>
      <c r="TW16" s="212"/>
      <c r="TX16" s="212"/>
      <c r="TY16" s="212"/>
      <c r="TZ16" s="212"/>
      <c r="UA16" s="212"/>
      <c r="UB16" s="212"/>
      <c r="UC16" s="212"/>
      <c r="UD16" s="212"/>
      <c r="UE16" s="212"/>
      <c r="UF16" s="212"/>
      <c r="UG16" s="212"/>
      <c r="UH16" s="212"/>
      <c r="UI16" s="212"/>
      <c r="UJ16" s="212"/>
      <c r="UK16" s="212"/>
      <c r="UL16" s="212"/>
      <c r="UM16" s="212"/>
      <c r="UN16" s="212"/>
      <c r="UO16" s="212"/>
      <c r="UP16" s="212"/>
      <c r="UQ16" s="212"/>
      <c r="UR16" s="212"/>
      <c r="US16" s="212"/>
      <c r="UT16" s="212"/>
      <c r="UU16" s="212"/>
      <c r="VA16" s="186"/>
      <c r="VB16" s="186"/>
    </row>
    <row r="17" spans="2:566" ht="15.75" customHeight="1" x14ac:dyDescent="0.3">
      <c r="B17" s="106" t="s">
        <v>85</v>
      </c>
      <c r="C17" s="107" t="s">
        <v>84</v>
      </c>
      <c r="D17" s="102" t="str">
        <f t="shared" si="27"/>
        <v/>
      </c>
      <c r="E17" s="103" t="str">
        <f>IFERROR(AVERAGE(F17:US17),"")</f>
        <v/>
      </c>
      <c r="F17" s="212"/>
      <c r="G17" s="212"/>
      <c r="H17" s="212"/>
      <c r="I17" s="212"/>
      <c r="J17" s="212"/>
      <c r="K17" s="212"/>
      <c r="L17" s="212"/>
      <c r="M17" s="212"/>
      <c r="N17" s="212"/>
      <c r="O17" s="212"/>
      <c r="P17" s="213"/>
      <c r="Q17" s="213"/>
      <c r="R17" s="212"/>
      <c r="S17" s="212"/>
      <c r="T17" s="212"/>
      <c r="U17" s="212"/>
      <c r="V17" s="212"/>
      <c r="W17" s="213"/>
      <c r="X17" s="213"/>
      <c r="Y17" s="212"/>
      <c r="Z17" s="212"/>
      <c r="AA17" s="212"/>
      <c r="AB17" s="213"/>
      <c r="AC17" s="213"/>
      <c r="AD17" s="213"/>
      <c r="AE17" s="213"/>
      <c r="AF17" s="213"/>
      <c r="AG17" s="213"/>
      <c r="AH17" s="212"/>
      <c r="AI17" s="212"/>
      <c r="AJ17" s="212"/>
      <c r="AK17" s="213"/>
      <c r="AL17" s="213"/>
      <c r="AM17" s="212"/>
      <c r="AN17" s="212"/>
      <c r="AO17" s="212"/>
      <c r="AP17" s="212"/>
      <c r="AQ17" s="212"/>
      <c r="AR17" s="212"/>
      <c r="AS17" s="212"/>
      <c r="AT17" s="212"/>
      <c r="AU17" s="212"/>
      <c r="AV17" s="212"/>
      <c r="AW17" s="212"/>
      <c r="AX17" s="212"/>
      <c r="AY17" s="212"/>
      <c r="AZ17" s="212"/>
      <c r="BA17" s="212"/>
      <c r="BB17" s="212"/>
      <c r="BC17" s="212"/>
      <c r="BD17" s="212"/>
      <c r="BE17" s="212"/>
      <c r="BF17" s="212"/>
      <c r="BG17" s="212"/>
      <c r="BH17" s="212"/>
      <c r="BI17" s="212"/>
      <c r="BJ17" s="212"/>
      <c r="BK17" s="212"/>
      <c r="BL17" s="212"/>
      <c r="BM17" s="212"/>
      <c r="BN17" s="212"/>
      <c r="BO17" s="212"/>
      <c r="BP17" s="212"/>
      <c r="BQ17" s="212"/>
      <c r="BR17" s="212"/>
      <c r="BS17" s="212"/>
      <c r="BT17" s="212"/>
      <c r="BU17" s="212"/>
      <c r="BV17" s="212"/>
      <c r="BW17" s="212"/>
      <c r="BX17" s="212"/>
      <c r="BY17" s="212"/>
      <c r="BZ17" s="212"/>
      <c r="CA17" s="212"/>
      <c r="CB17" s="212"/>
      <c r="CC17" s="212"/>
      <c r="CD17" s="212"/>
      <c r="CE17" s="212"/>
      <c r="CF17" s="212"/>
      <c r="CG17" s="212"/>
      <c r="CH17" s="212"/>
      <c r="CI17" s="212"/>
      <c r="CJ17" s="212"/>
      <c r="CK17" s="212"/>
      <c r="CL17" s="212"/>
      <c r="CM17" s="212"/>
      <c r="CN17" s="212"/>
      <c r="CO17" s="212"/>
      <c r="CP17" s="212"/>
      <c r="CQ17" s="212"/>
      <c r="CR17" s="212"/>
      <c r="CS17" s="212"/>
      <c r="CT17" s="212"/>
      <c r="CU17" s="212"/>
      <c r="CV17" s="212"/>
      <c r="CW17" s="212"/>
      <c r="CX17" s="212"/>
      <c r="CY17" s="212"/>
      <c r="CZ17" s="212"/>
      <c r="DA17" s="212"/>
      <c r="DB17" s="212"/>
      <c r="DC17" s="212"/>
      <c r="DD17" s="212"/>
      <c r="DE17" s="212"/>
      <c r="DF17" s="212"/>
      <c r="DG17" s="212"/>
      <c r="DH17" s="212"/>
      <c r="DI17" s="212"/>
      <c r="DJ17" s="212"/>
      <c r="DK17" s="212"/>
      <c r="DL17" s="212"/>
      <c r="DM17" s="212"/>
      <c r="DN17" s="212"/>
      <c r="DO17" s="212"/>
      <c r="DP17" s="212"/>
      <c r="DQ17" s="212"/>
      <c r="DR17" s="212"/>
      <c r="DS17" s="212"/>
      <c r="DT17" s="212"/>
      <c r="DU17" s="212"/>
      <c r="DV17" s="212"/>
      <c r="DW17" s="212"/>
      <c r="DX17" s="212"/>
      <c r="DY17" s="212"/>
      <c r="DZ17" s="212"/>
      <c r="EA17" s="212"/>
      <c r="EB17" s="212"/>
      <c r="EC17" s="212"/>
      <c r="ED17" s="212"/>
      <c r="EE17" s="212"/>
      <c r="EF17" s="212"/>
      <c r="EG17" s="212"/>
      <c r="EH17" s="212"/>
      <c r="EI17" s="212"/>
      <c r="EJ17" s="212"/>
      <c r="EK17" s="212"/>
      <c r="EL17" s="212"/>
      <c r="EM17" s="212"/>
      <c r="EN17" s="212"/>
      <c r="EO17" s="212"/>
      <c r="EP17" s="212"/>
      <c r="EQ17" s="212"/>
      <c r="ER17" s="212"/>
      <c r="ES17" s="212"/>
      <c r="ET17" s="212"/>
      <c r="EU17" s="212"/>
      <c r="EV17" s="212"/>
      <c r="EW17" s="212"/>
      <c r="EX17" s="212"/>
      <c r="EY17" s="212"/>
      <c r="EZ17" s="212"/>
      <c r="FA17" s="212"/>
      <c r="FB17" s="212"/>
      <c r="FC17" s="212"/>
      <c r="FD17" s="212"/>
      <c r="FE17" s="212"/>
      <c r="FF17" s="212"/>
      <c r="FG17" s="212"/>
      <c r="FH17" s="212"/>
      <c r="FI17" s="212"/>
      <c r="FJ17" s="212"/>
      <c r="FK17" s="212"/>
      <c r="FL17" s="212"/>
      <c r="FM17" s="212"/>
      <c r="FN17" s="212"/>
      <c r="FO17" s="212"/>
      <c r="FP17" s="212"/>
      <c r="FQ17" s="212"/>
      <c r="FR17" s="212"/>
      <c r="FS17" s="212"/>
      <c r="FT17" s="212"/>
      <c r="FU17" s="212"/>
      <c r="FV17" s="212"/>
      <c r="FW17" s="212"/>
      <c r="FX17" s="212"/>
      <c r="FY17" s="212"/>
      <c r="FZ17" s="212"/>
      <c r="GA17" s="212"/>
      <c r="GB17" s="212"/>
      <c r="GC17" s="212"/>
      <c r="GD17" s="212"/>
      <c r="GE17" s="212"/>
      <c r="GF17" s="212"/>
      <c r="GG17" s="212"/>
      <c r="GH17" s="212"/>
      <c r="GI17" s="212"/>
      <c r="GJ17" s="212"/>
      <c r="GK17" s="212"/>
      <c r="GL17" s="212"/>
      <c r="GM17" s="212"/>
      <c r="GN17" s="212"/>
      <c r="GO17" s="212"/>
      <c r="GP17" s="212"/>
      <c r="GQ17" s="212"/>
      <c r="GR17" s="212"/>
      <c r="GS17" s="212"/>
      <c r="GT17" s="212"/>
      <c r="GU17" s="212"/>
      <c r="GV17" s="212"/>
      <c r="GW17" s="212"/>
      <c r="GX17" s="212"/>
      <c r="GY17" s="212"/>
      <c r="GZ17" s="212"/>
      <c r="HA17" s="212"/>
      <c r="HB17" s="212"/>
      <c r="HC17" s="212"/>
      <c r="HD17" s="212"/>
      <c r="HE17" s="212"/>
      <c r="HF17" s="212"/>
      <c r="HG17" s="212"/>
      <c r="HH17" s="212"/>
      <c r="HI17" s="212"/>
      <c r="HJ17" s="212"/>
      <c r="HK17" s="212"/>
      <c r="HL17" s="212"/>
      <c r="HM17" s="212"/>
      <c r="HN17" s="212"/>
      <c r="HO17" s="212"/>
      <c r="HP17" s="212"/>
      <c r="HQ17" s="212"/>
      <c r="HR17" s="212"/>
      <c r="HS17" s="212"/>
      <c r="HT17" s="212"/>
      <c r="HU17" s="212"/>
      <c r="HV17" s="212"/>
      <c r="HW17" s="212"/>
      <c r="HX17" s="212"/>
      <c r="HY17" s="212"/>
      <c r="HZ17" s="212"/>
      <c r="IA17" s="212"/>
      <c r="IB17" s="212"/>
      <c r="IC17" s="212"/>
      <c r="ID17" s="212"/>
      <c r="IE17" s="212"/>
      <c r="IF17" s="212"/>
      <c r="IG17" s="212"/>
      <c r="IH17" s="212"/>
      <c r="II17" s="212"/>
      <c r="IJ17" s="212"/>
      <c r="IK17" s="212"/>
      <c r="IL17" s="212"/>
      <c r="IM17" s="212"/>
      <c r="IN17" s="212"/>
      <c r="IO17" s="212"/>
      <c r="IP17" s="212"/>
      <c r="IQ17" s="212"/>
      <c r="IR17" s="212"/>
      <c r="IS17" s="212"/>
      <c r="IT17" s="212"/>
      <c r="IU17" s="212"/>
      <c r="IV17" s="212"/>
      <c r="IW17" s="212"/>
      <c r="IX17" s="212"/>
      <c r="IY17" s="212"/>
      <c r="IZ17" s="212"/>
      <c r="JA17" s="212"/>
      <c r="JB17" s="212"/>
      <c r="JC17" s="212"/>
      <c r="JD17" s="212"/>
      <c r="JE17" s="212"/>
      <c r="JF17" s="212"/>
      <c r="JG17" s="212"/>
      <c r="JH17" s="212"/>
      <c r="JI17" s="212"/>
      <c r="JJ17" s="212"/>
      <c r="JK17" s="212"/>
      <c r="JL17" s="212"/>
      <c r="JM17" s="212"/>
      <c r="JN17" s="212"/>
      <c r="JO17" s="212"/>
      <c r="JP17" s="212"/>
      <c r="JQ17" s="212"/>
      <c r="JR17" s="212"/>
      <c r="JS17" s="212"/>
      <c r="JT17" s="212"/>
      <c r="JU17" s="212"/>
      <c r="JV17" s="212"/>
      <c r="JW17" s="212"/>
      <c r="JX17" s="212"/>
      <c r="JY17" s="212"/>
      <c r="JZ17" s="212"/>
      <c r="KA17" s="212"/>
      <c r="KB17" s="212"/>
      <c r="KC17" s="212"/>
      <c r="KD17" s="212"/>
      <c r="KE17" s="212"/>
      <c r="KF17" s="212"/>
      <c r="KG17" s="212"/>
      <c r="KH17" s="212"/>
      <c r="KI17" s="212"/>
      <c r="KJ17" s="212"/>
      <c r="KK17" s="212"/>
      <c r="KL17" s="212"/>
      <c r="KM17" s="212"/>
      <c r="KN17" s="212"/>
      <c r="KO17" s="212"/>
      <c r="KP17" s="212"/>
      <c r="KQ17" s="212"/>
      <c r="KR17" s="212"/>
      <c r="KS17" s="212"/>
      <c r="KT17" s="212"/>
      <c r="KU17" s="212"/>
      <c r="KV17" s="212"/>
      <c r="KW17" s="212"/>
      <c r="KX17" s="212"/>
      <c r="KY17" s="212"/>
      <c r="KZ17" s="212"/>
      <c r="LA17" s="212"/>
      <c r="LB17" s="212"/>
      <c r="LC17" s="212"/>
      <c r="LD17" s="212"/>
      <c r="LE17" s="212"/>
      <c r="LF17" s="212"/>
      <c r="LG17" s="212"/>
      <c r="LH17" s="212"/>
      <c r="LI17" s="212"/>
      <c r="LJ17" s="212"/>
      <c r="LK17" s="212"/>
      <c r="LL17" s="212"/>
      <c r="LM17" s="212"/>
      <c r="LN17" s="212"/>
      <c r="LO17" s="212"/>
      <c r="LP17" s="212"/>
      <c r="LQ17" s="212"/>
      <c r="LR17" s="212"/>
      <c r="LS17" s="212"/>
      <c r="LT17" s="212"/>
      <c r="LU17" s="212"/>
      <c r="LV17" s="212"/>
      <c r="LW17" s="212"/>
      <c r="LX17" s="212"/>
      <c r="LY17" s="212"/>
      <c r="LZ17" s="212"/>
      <c r="MA17" s="212"/>
      <c r="MB17" s="212"/>
      <c r="MC17" s="212"/>
      <c r="MD17" s="212"/>
      <c r="ME17" s="212"/>
      <c r="MF17" s="212"/>
      <c r="MG17" s="212"/>
      <c r="MH17" s="212"/>
      <c r="MI17" s="212"/>
      <c r="MJ17" s="212"/>
      <c r="MK17" s="212"/>
      <c r="ML17" s="212"/>
      <c r="MM17" s="212"/>
      <c r="MN17" s="212"/>
      <c r="MO17" s="212"/>
      <c r="MP17" s="212"/>
      <c r="MQ17" s="212"/>
      <c r="MR17" s="212"/>
      <c r="MS17" s="212"/>
      <c r="MT17" s="212"/>
      <c r="MU17" s="212"/>
      <c r="MV17" s="212"/>
      <c r="MW17" s="212"/>
      <c r="MX17" s="212"/>
      <c r="MY17" s="212"/>
      <c r="MZ17" s="212"/>
      <c r="NA17" s="212"/>
      <c r="NB17" s="212"/>
      <c r="NC17" s="212"/>
      <c r="ND17" s="212"/>
      <c r="NE17" s="212"/>
      <c r="NF17" s="212"/>
      <c r="NG17" s="212"/>
      <c r="NH17" s="212"/>
      <c r="NI17" s="212"/>
      <c r="NJ17" s="212"/>
      <c r="NK17" s="212"/>
      <c r="NL17" s="212"/>
      <c r="NM17" s="212"/>
      <c r="NN17" s="212"/>
      <c r="NO17" s="212"/>
      <c r="NP17" s="212"/>
      <c r="NQ17" s="212"/>
      <c r="NR17" s="212"/>
      <c r="NS17" s="212"/>
      <c r="NT17" s="212"/>
      <c r="NU17" s="212"/>
      <c r="NV17" s="212"/>
      <c r="NW17" s="212"/>
      <c r="NX17" s="212"/>
      <c r="NY17" s="212"/>
      <c r="NZ17" s="212"/>
      <c r="OA17" s="212"/>
      <c r="OB17" s="212"/>
      <c r="OC17" s="212"/>
      <c r="OD17" s="212"/>
      <c r="OE17" s="212"/>
      <c r="OF17" s="212"/>
      <c r="OG17" s="212"/>
      <c r="OH17" s="212"/>
      <c r="OI17" s="212"/>
      <c r="OJ17" s="212"/>
      <c r="OK17" s="212"/>
      <c r="OL17" s="212"/>
      <c r="OM17" s="212"/>
      <c r="ON17" s="212"/>
      <c r="OO17" s="212"/>
      <c r="OP17" s="212"/>
      <c r="OQ17" s="212"/>
      <c r="OR17" s="212"/>
      <c r="OS17" s="212"/>
      <c r="OT17" s="212"/>
      <c r="OU17" s="212"/>
      <c r="OV17" s="212"/>
      <c r="OW17" s="212"/>
      <c r="OX17" s="212"/>
      <c r="OY17" s="212"/>
      <c r="OZ17" s="212"/>
      <c r="PA17" s="212"/>
      <c r="PB17" s="212"/>
      <c r="PC17" s="212"/>
      <c r="PD17" s="212"/>
      <c r="PE17" s="212"/>
      <c r="PF17" s="212"/>
      <c r="PG17" s="212"/>
      <c r="PH17" s="212"/>
      <c r="PI17" s="212"/>
      <c r="PJ17" s="212"/>
      <c r="PK17" s="212"/>
      <c r="PL17" s="212"/>
      <c r="PM17" s="212"/>
      <c r="PN17" s="212"/>
      <c r="PO17" s="212"/>
      <c r="PP17" s="212"/>
      <c r="PQ17" s="212"/>
      <c r="PR17" s="212"/>
      <c r="PS17" s="212"/>
      <c r="PT17" s="212"/>
      <c r="PU17" s="212"/>
      <c r="PV17" s="212"/>
      <c r="PW17" s="212"/>
      <c r="PX17" s="212"/>
      <c r="PY17" s="212"/>
      <c r="PZ17" s="212"/>
      <c r="QA17" s="212"/>
      <c r="QB17" s="212"/>
      <c r="QC17" s="212"/>
      <c r="QD17" s="212"/>
      <c r="QE17" s="212"/>
      <c r="QF17" s="212"/>
      <c r="QG17" s="212"/>
      <c r="QH17" s="212"/>
      <c r="QI17" s="212"/>
      <c r="QJ17" s="212"/>
      <c r="QK17" s="212"/>
      <c r="QL17" s="212"/>
      <c r="QM17" s="212"/>
      <c r="QN17" s="212"/>
      <c r="QO17" s="212"/>
      <c r="QP17" s="212"/>
      <c r="QQ17" s="212"/>
      <c r="QR17" s="212"/>
      <c r="QS17" s="212"/>
      <c r="QT17" s="212"/>
      <c r="QU17" s="212"/>
      <c r="QV17" s="212"/>
      <c r="QW17" s="212"/>
      <c r="QX17" s="212"/>
      <c r="QY17" s="212"/>
      <c r="QZ17" s="212"/>
      <c r="RA17" s="212"/>
      <c r="RB17" s="212"/>
      <c r="RC17" s="212"/>
      <c r="RD17" s="212"/>
      <c r="RE17" s="212"/>
      <c r="RF17" s="212"/>
      <c r="RG17" s="212"/>
      <c r="RH17" s="212"/>
      <c r="RI17" s="212"/>
      <c r="RJ17" s="212"/>
      <c r="RK17" s="212"/>
      <c r="RL17" s="212"/>
      <c r="RM17" s="212"/>
      <c r="RN17" s="212"/>
      <c r="RO17" s="212"/>
      <c r="RP17" s="212"/>
      <c r="RQ17" s="212"/>
      <c r="RR17" s="212"/>
      <c r="RS17" s="212"/>
      <c r="RT17" s="212"/>
      <c r="RU17" s="212"/>
      <c r="RV17" s="212"/>
      <c r="RW17" s="212"/>
      <c r="RX17" s="212"/>
      <c r="RY17" s="212"/>
      <c r="RZ17" s="212"/>
      <c r="SA17" s="212"/>
      <c r="SB17" s="212"/>
      <c r="SC17" s="212"/>
      <c r="SD17" s="212"/>
      <c r="SE17" s="212"/>
      <c r="SF17" s="212"/>
      <c r="SG17" s="212"/>
      <c r="SH17" s="212"/>
      <c r="SI17" s="212"/>
      <c r="SJ17" s="212"/>
      <c r="SK17" s="212"/>
      <c r="SL17" s="212"/>
      <c r="SM17" s="212"/>
      <c r="SN17" s="212"/>
      <c r="SO17" s="212"/>
      <c r="SP17" s="212"/>
      <c r="SQ17" s="212"/>
      <c r="SR17" s="212"/>
      <c r="SS17" s="212"/>
      <c r="ST17" s="212"/>
      <c r="SU17" s="212"/>
      <c r="SV17" s="212"/>
      <c r="SW17" s="212"/>
      <c r="SX17" s="212"/>
      <c r="SY17" s="212"/>
      <c r="SZ17" s="212"/>
      <c r="TA17" s="212"/>
      <c r="TB17" s="212"/>
      <c r="TC17" s="212"/>
      <c r="TD17" s="212"/>
      <c r="TE17" s="212"/>
      <c r="TF17" s="212"/>
      <c r="TG17" s="212"/>
      <c r="TH17" s="212"/>
      <c r="TI17" s="212"/>
      <c r="TJ17" s="212"/>
      <c r="TK17" s="212"/>
      <c r="TL17" s="212"/>
      <c r="TM17" s="212"/>
      <c r="TN17" s="212"/>
      <c r="TO17" s="212"/>
      <c r="TP17" s="212"/>
      <c r="TQ17" s="212"/>
      <c r="TR17" s="212"/>
      <c r="TS17" s="212"/>
      <c r="TT17" s="212"/>
      <c r="TU17" s="212"/>
      <c r="TV17" s="212"/>
      <c r="TW17" s="212"/>
      <c r="TX17" s="212"/>
      <c r="TY17" s="212"/>
      <c r="TZ17" s="212"/>
      <c r="UA17" s="212"/>
      <c r="UB17" s="212"/>
      <c r="UC17" s="212"/>
      <c r="UD17" s="212"/>
      <c r="UE17" s="212"/>
      <c r="UF17" s="212"/>
      <c r="UG17" s="212"/>
      <c r="UH17" s="212"/>
      <c r="UI17" s="212"/>
      <c r="UJ17" s="212"/>
      <c r="UK17" s="212"/>
      <c r="UL17" s="212"/>
      <c r="UM17" s="212"/>
      <c r="UN17" s="212"/>
      <c r="UO17" s="212"/>
      <c r="UP17" s="212"/>
      <c r="UQ17" s="212"/>
      <c r="UR17" s="212"/>
      <c r="US17" s="212"/>
    </row>
    <row r="18" spans="2:566" ht="15.75" customHeight="1" x14ac:dyDescent="0.3">
      <c r="B18" s="106" t="s">
        <v>83</v>
      </c>
      <c r="C18" s="107" t="s">
        <v>148</v>
      </c>
      <c r="D18" s="102" t="str">
        <f t="shared" si="27"/>
        <v/>
      </c>
      <c r="E18" s="103" t="str">
        <f>IFERROR(AVERAGE(F18:US18),"")</f>
        <v/>
      </c>
      <c r="F18" s="212"/>
      <c r="G18" s="212"/>
      <c r="H18" s="212"/>
      <c r="I18" s="212"/>
      <c r="J18" s="212"/>
      <c r="K18" s="212"/>
      <c r="L18" s="212"/>
      <c r="M18" s="212"/>
      <c r="N18" s="212"/>
      <c r="O18" s="212"/>
      <c r="P18" s="213"/>
      <c r="Q18" s="213"/>
      <c r="R18" s="212"/>
      <c r="S18" s="212"/>
      <c r="T18" s="212"/>
      <c r="U18" s="212"/>
      <c r="V18" s="212"/>
      <c r="W18" s="213"/>
      <c r="X18" s="213"/>
      <c r="Y18" s="212"/>
      <c r="Z18" s="212"/>
      <c r="AA18" s="212"/>
      <c r="AB18" s="213"/>
      <c r="AC18" s="213"/>
      <c r="AD18" s="213"/>
      <c r="AE18" s="213"/>
      <c r="AF18" s="213"/>
      <c r="AG18" s="213"/>
      <c r="AH18" s="212"/>
      <c r="AI18" s="212"/>
      <c r="AJ18" s="212"/>
      <c r="AK18" s="213"/>
      <c r="AL18" s="213"/>
      <c r="AM18" s="212"/>
      <c r="AN18" s="212"/>
      <c r="AO18" s="212"/>
      <c r="AP18" s="212"/>
      <c r="AQ18" s="212"/>
      <c r="AR18" s="212"/>
      <c r="AS18" s="212"/>
      <c r="AT18" s="212"/>
      <c r="AU18" s="212"/>
      <c r="AV18" s="212"/>
      <c r="AW18" s="212"/>
      <c r="AX18" s="212"/>
      <c r="AY18" s="212"/>
      <c r="AZ18" s="212"/>
      <c r="BA18" s="212"/>
      <c r="BB18" s="212"/>
      <c r="BC18" s="212"/>
      <c r="BD18" s="212"/>
      <c r="BE18" s="212"/>
      <c r="BF18" s="212"/>
      <c r="BG18" s="212"/>
      <c r="BH18" s="212"/>
      <c r="BI18" s="214"/>
      <c r="BJ18" s="214"/>
      <c r="BK18" s="214"/>
      <c r="BL18" s="214"/>
      <c r="BM18" s="212"/>
      <c r="BN18" s="212"/>
      <c r="BO18" s="212"/>
      <c r="BP18" s="212"/>
      <c r="BQ18" s="212"/>
      <c r="BR18" s="212"/>
      <c r="BS18" s="212"/>
      <c r="BT18" s="212"/>
      <c r="BU18" s="212"/>
      <c r="BV18" s="212"/>
      <c r="BW18" s="212"/>
      <c r="BX18" s="212"/>
      <c r="BY18" s="212"/>
      <c r="BZ18" s="212"/>
      <c r="CA18" s="212"/>
      <c r="CB18" s="212"/>
      <c r="CC18" s="212"/>
      <c r="CD18" s="212"/>
      <c r="CE18" s="212"/>
      <c r="CF18" s="212"/>
      <c r="CG18" s="212"/>
      <c r="CH18" s="212"/>
      <c r="CI18" s="212"/>
      <c r="CJ18" s="212"/>
      <c r="CK18" s="212"/>
      <c r="CL18" s="212"/>
      <c r="CM18" s="212"/>
      <c r="CN18" s="212"/>
      <c r="CO18" s="212"/>
      <c r="CP18" s="212"/>
      <c r="CQ18" s="212"/>
      <c r="CR18" s="212"/>
      <c r="CS18" s="212"/>
      <c r="CT18" s="212"/>
      <c r="CU18" s="215"/>
      <c r="CV18" s="212"/>
      <c r="CW18" s="212"/>
      <c r="CX18" s="212"/>
      <c r="CY18" s="212"/>
      <c r="CZ18" s="212"/>
      <c r="DA18" s="212"/>
      <c r="DB18" s="212"/>
      <c r="DC18" s="212"/>
      <c r="DD18" s="212"/>
      <c r="DE18" s="212"/>
      <c r="DF18" s="212"/>
      <c r="DG18" s="212"/>
      <c r="DH18" s="212"/>
      <c r="DI18" s="212"/>
      <c r="DJ18" s="212"/>
      <c r="DK18" s="212"/>
      <c r="DL18" s="212"/>
      <c r="DM18" s="212"/>
      <c r="DN18" s="212"/>
      <c r="DO18" s="212"/>
      <c r="DP18" s="212"/>
      <c r="DQ18" s="212"/>
      <c r="DR18" s="212"/>
      <c r="DS18" s="212"/>
      <c r="DT18" s="212"/>
      <c r="DU18" s="212"/>
      <c r="DV18" s="212"/>
      <c r="DW18" s="212"/>
      <c r="DX18" s="212"/>
      <c r="DY18" s="212"/>
      <c r="DZ18" s="212"/>
      <c r="EA18" s="212"/>
      <c r="EB18" s="215"/>
      <c r="EC18" s="212"/>
      <c r="ED18" s="212"/>
      <c r="EE18" s="212"/>
      <c r="EF18" s="212"/>
      <c r="EG18" s="212"/>
      <c r="EH18" s="212"/>
      <c r="EI18" s="212"/>
      <c r="EJ18" s="212"/>
      <c r="EK18" s="212"/>
      <c r="EL18" s="212"/>
      <c r="EM18" s="212"/>
      <c r="EN18" s="212"/>
      <c r="EO18" s="212"/>
      <c r="EP18" s="212"/>
      <c r="EQ18" s="212"/>
      <c r="ER18" s="212"/>
      <c r="ES18" s="212"/>
      <c r="ET18" s="212"/>
      <c r="EU18" s="212"/>
      <c r="EV18" s="212"/>
      <c r="EW18" s="212"/>
      <c r="EX18" s="212"/>
      <c r="EY18" s="212"/>
      <c r="EZ18" s="212"/>
      <c r="FA18" s="212"/>
      <c r="FB18" s="212"/>
      <c r="FC18" s="212"/>
      <c r="FD18" s="212"/>
      <c r="FE18" s="212"/>
      <c r="FF18" s="212"/>
      <c r="FG18" s="212"/>
      <c r="FH18" s="212"/>
      <c r="FI18" s="212"/>
      <c r="FJ18" s="212"/>
      <c r="FK18" s="212"/>
      <c r="FL18" s="212"/>
      <c r="FM18" s="212"/>
      <c r="FN18" s="212"/>
      <c r="FO18" s="212"/>
      <c r="FP18" s="212"/>
      <c r="FQ18" s="212"/>
      <c r="FR18" s="212"/>
      <c r="FS18" s="212"/>
      <c r="FT18" s="212"/>
      <c r="FU18" s="212"/>
      <c r="FV18" s="212"/>
      <c r="FW18" s="212"/>
      <c r="FX18" s="212"/>
      <c r="FY18" s="212"/>
      <c r="FZ18" s="212"/>
      <c r="GA18" s="212"/>
      <c r="GB18" s="212"/>
      <c r="GC18" s="212"/>
      <c r="GD18" s="212"/>
      <c r="GE18" s="212"/>
      <c r="GF18" s="212"/>
      <c r="GG18" s="212"/>
      <c r="GH18" s="212"/>
      <c r="GI18" s="212"/>
      <c r="GJ18" s="212"/>
      <c r="GK18" s="212"/>
      <c r="GL18" s="212"/>
      <c r="GM18" s="212"/>
      <c r="GN18" s="212"/>
      <c r="GO18" s="212"/>
      <c r="GP18" s="212"/>
      <c r="GQ18" s="212"/>
      <c r="GR18" s="212"/>
      <c r="GS18" s="212"/>
      <c r="GT18" s="212"/>
      <c r="GU18" s="212"/>
      <c r="GV18" s="212"/>
      <c r="GW18" s="212"/>
      <c r="GX18" s="212"/>
      <c r="GY18" s="212"/>
      <c r="GZ18" s="212"/>
      <c r="HA18" s="212"/>
      <c r="HB18" s="212"/>
      <c r="HC18" s="212"/>
      <c r="HD18" s="212"/>
      <c r="HE18" s="212"/>
      <c r="HF18" s="212"/>
      <c r="HG18" s="212"/>
      <c r="HH18" s="212"/>
      <c r="HI18" s="212"/>
      <c r="HJ18" s="212"/>
      <c r="HK18" s="212"/>
      <c r="HL18" s="212"/>
      <c r="HM18" s="212"/>
      <c r="HN18" s="212"/>
      <c r="HO18" s="212"/>
      <c r="HP18" s="212"/>
      <c r="HQ18" s="212"/>
      <c r="HR18" s="212"/>
      <c r="HS18" s="212"/>
      <c r="HT18" s="212"/>
      <c r="HU18" s="212"/>
      <c r="HV18" s="212"/>
      <c r="HW18" s="212"/>
      <c r="HX18" s="212"/>
      <c r="HY18" s="212"/>
      <c r="HZ18" s="212"/>
      <c r="IA18" s="212"/>
      <c r="IB18" s="212"/>
      <c r="IC18" s="212"/>
      <c r="ID18" s="212"/>
      <c r="IE18" s="212"/>
      <c r="IF18" s="212"/>
      <c r="IG18" s="212"/>
      <c r="IH18" s="212"/>
      <c r="II18" s="212"/>
      <c r="IJ18" s="212"/>
      <c r="IK18" s="212"/>
      <c r="IL18" s="212"/>
      <c r="IM18" s="212"/>
      <c r="IN18" s="212"/>
      <c r="IO18" s="212"/>
      <c r="IP18" s="212"/>
      <c r="IQ18" s="212"/>
      <c r="IR18" s="212"/>
      <c r="IS18" s="212"/>
      <c r="IT18" s="212"/>
      <c r="IU18" s="212"/>
      <c r="IV18" s="212"/>
      <c r="IW18" s="212"/>
      <c r="IX18" s="212"/>
      <c r="IY18" s="212"/>
      <c r="IZ18" s="212"/>
      <c r="JA18" s="212"/>
      <c r="JB18" s="212"/>
      <c r="JC18" s="212"/>
      <c r="JD18" s="212"/>
      <c r="JE18" s="212"/>
      <c r="JF18" s="212"/>
      <c r="JG18" s="212"/>
      <c r="JH18" s="212"/>
      <c r="JI18" s="212"/>
      <c r="JJ18" s="212"/>
      <c r="JK18" s="212"/>
      <c r="JL18" s="212"/>
      <c r="JM18" s="212"/>
      <c r="JN18" s="212"/>
      <c r="JO18" s="212"/>
      <c r="JP18" s="212"/>
      <c r="JQ18" s="212"/>
      <c r="JR18" s="212"/>
      <c r="JS18" s="212"/>
      <c r="JT18" s="212"/>
      <c r="JU18" s="212"/>
      <c r="JV18" s="212"/>
      <c r="JW18" s="212"/>
      <c r="JX18" s="212"/>
      <c r="JY18" s="212"/>
      <c r="JZ18" s="212"/>
      <c r="KA18" s="212"/>
      <c r="KB18" s="212"/>
      <c r="KC18" s="212"/>
      <c r="KD18" s="212"/>
      <c r="KE18" s="212"/>
      <c r="KF18" s="212"/>
      <c r="KG18" s="212"/>
      <c r="KH18" s="212"/>
      <c r="KI18" s="212"/>
      <c r="KJ18" s="212"/>
      <c r="KK18" s="212"/>
      <c r="KL18" s="212"/>
      <c r="KM18" s="212"/>
      <c r="KN18" s="212"/>
      <c r="KO18" s="212"/>
      <c r="KP18" s="212"/>
      <c r="KQ18" s="212"/>
      <c r="KR18" s="212"/>
      <c r="KS18" s="212"/>
      <c r="KT18" s="212"/>
      <c r="KU18" s="212"/>
      <c r="KV18" s="212"/>
      <c r="KW18" s="212"/>
      <c r="KX18" s="212"/>
      <c r="KY18" s="212"/>
      <c r="KZ18" s="212"/>
      <c r="LA18" s="212"/>
      <c r="LB18" s="212"/>
      <c r="LC18" s="212"/>
      <c r="LD18" s="212"/>
      <c r="LE18" s="212"/>
      <c r="LF18" s="212"/>
      <c r="LG18" s="212"/>
      <c r="LH18" s="212"/>
      <c r="LI18" s="212"/>
      <c r="LJ18" s="212"/>
      <c r="LK18" s="212"/>
      <c r="LL18" s="212"/>
      <c r="LM18" s="212"/>
      <c r="LN18" s="212"/>
      <c r="LO18" s="212"/>
      <c r="LP18" s="212"/>
      <c r="LQ18" s="212"/>
      <c r="LR18" s="212"/>
      <c r="LS18" s="212"/>
      <c r="LT18" s="212"/>
      <c r="LU18" s="212"/>
      <c r="LV18" s="212"/>
      <c r="LW18" s="212"/>
      <c r="LX18" s="212"/>
      <c r="LY18" s="212"/>
      <c r="LZ18" s="212"/>
      <c r="MA18" s="212"/>
      <c r="MB18" s="212"/>
      <c r="MC18" s="212"/>
      <c r="MD18" s="212"/>
      <c r="ME18" s="212"/>
      <c r="MF18" s="212"/>
      <c r="MG18" s="212"/>
      <c r="MH18" s="212"/>
      <c r="MI18" s="212"/>
      <c r="MJ18" s="212"/>
      <c r="MK18" s="212"/>
      <c r="ML18" s="212"/>
      <c r="MM18" s="212"/>
      <c r="MN18" s="212"/>
      <c r="MO18" s="212"/>
      <c r="MP18" s="212"/>
      <c r="MQ18" s="212"/>
      <c r="MR18" s="212"/>
      <c r="MS18" s="212"/>
      <c r="MT18" s="212"/>
      <c r="MU18" s="212"/>
      <c r="MV18" s="212"/>
      <c r="MW18" s="212"/>
      <c r="MX18" s="212"/>
      <c r="MY18" s="212"/>
      <c r="MZ18" s="212"/>
      <c r="NA18" s="212"/>
      <c r="NB18" s="212"/>
      <c r="NC18" s="212"/>
      <c r="ND18" s="212"/>
      <c r="NE18" s="212"/>
      <c r="NF18" s="212"/>
      <c r="NG18" s="212"/>
      <c r="NH18" s="212"/>
      <c r="NI18" s="212"/>
      <c r="NJ18" s="212"/>
      <c r="NK18" s="212"/>
      <c r="NL18" s="212"/>
      <c r="NM18" s="212"/>
      <c r="NN18" s="212"/>
      <c r="NO18" s="212"/>
      <c r="NP18" s="212"/>
      <c r="NQ18" s="212"/>
      <c r="NR18" s="212"/>
      <c r="NS18" s="212"/>
      <c r="NT18" s="212"/>
      <c r="NU18" s="212"/>
      <c r="NV18" s="212"/>
      <c r="NW18" s="212"/>
      <c r="NX18" s="212"/>
      <c r="NY18" s="212"/>
      <c r="NZ18" s="212"/>
      <c r="OA18" s="212"/>
      <c r="OB18" s="212"/>
      <c r="OC18" s="212"/>
      <c r="OD18" s="212"/>
      <c r="OE18" s="212"/>
      <c r="OF18" s="212"/>
      <c r="OG18" s="212"/>
      <c r="OH18" s="212"/>
      <c r="OI18" s="212"/>
      <c r="OJ18" s="212"/>
      <c r="OK18" s="212"/>
      <c r="OL18" s="212"/>
      <c r="OM18" s="212"/>
      <c r="ON18" s="212"/>
      <c r="OO18" s="212"/>
      <c r="OP18" s="212"/>
      <c r="OQ18" s="212"/>
      <c r="OR18" s="212"/>
      <c r="OS18" s="212"/>
      <c r="OT18" s="212"/>
      <c r="OU18" s="212"/>
      <c r="OV18" s="212"/>
      <c r="OW18" s="212"/>
      <c r="OX18" s="212"/>
      <c r="OY18" s="212"/>
      <c r="OZ18" s="212"/>
      <c r="PA18" s="212"/>
      <c r="PB18" s="212"/>
      <c r="PC18" s="212"/>
      <c r="PD18" s="212"/>
      <c r="PE18" s="212"/>
      <c r="PF18" s="212"/>
      <c r="PG18" s="212"/>
      <c r="PH18" s="212"/>
      <c r="PI18" s="212"/>
      <c r="PJ18" s="212"/>
      <c r="PK18" s="212"/>
      <c r="PL18" s="212"/>
      <c r="PM18" s="212"/>
      <c r="PN18" s="212"/>
      <c r="PO18" s="212"/>
      <c r="PP18" s="212"/>
      <c r="PQ18" s="212"/>
      <c r="PR18" s="212"/>
      <c r="PS18" s="212"/>
      <c r="PT18" s="212"/>
      <c r="PU18" s="212"/>
      <c r="PV18" s="212"/>
      <c r="PW18" s="212"/>
      <c r="PX18" s="212"/>
      <c r="PY18" s="212"/>
      <c r="PZ18" s="212"/>
      <c r="QA18" s="212"/>
      <c r="QB18" s="212"/>
      <c r="QC18" s="212"/>
      <c r="QD18" s="212"/>
      <c r="QE18" s="212"/>
      <c r="QF18" s="212"/>
      <c r="QG18" s="212"/>
      <c r="QH18" s="212"/>
      <c r="QI18" s="212"/>
      <c r="QJ18" s="212"/>
      <c r="QK18" s="212"/>
      <c r="QL18" s="212"/>
      <c r="QM18" s="212"/>
      <c r="QN18" s="212"/>
      <c r="QO18" s="212"/>
      <c r="QP18" s="212"/>
      <c r="QQ18" s="212"/>
      <c r="QR18" s="212"/>
      <c r="QS18" s="212"/>
      <c r="QT18" s="212"/>
      <c r="QU18" s="212"/>
      <c r="QV18" s="212"/>
      <c r="QW18" s="212"/>
      <c r="QX18" s="212"/>
      <c r="QY18" s="212"/>
      <c r="QZ18" s="212"/>
      <c r="RA18" s="212"/>
      <c r="RB18" s="212"/>
      <c r="RC18" s="212"/>
      <c r="RD18" s="212"/>
      <c r="RE18" s="212"/>
      <c r="RF18" s="212"/>
      <c r="RG18" s="212"/>
      <c r="RH18" s="212"/>
      <c r="RI18" s="212"/>
      <c r="RJ18" s="212"/>
      <c r="RK18" s="212"/>
      <c r="RL18" s="212"/>
      <c r="RM18" s="212"/>
      <c r="RN18" s="212"/>
      <c r="RO18" s="212"/>
      <c r="RP18" s="212"/>
      <c r="RQ18" s="212"/>
      <c r="RR18" s="212"/>
      <c r="RS18" s="212"/>
      <c r="RT18" s="212"/>
      <c r="RU18" s="212"/>
      <c r="RV18" s="212"/>
      <c r="RW18" s="212"/>
      <c r="RX18" s="212"/>
      <c r="RY18" s="212"/>
      <c r="RZ18" s="212"/>
      <c r="SA18" s="212"/>
      <c r="SB18" s="212"/>
      <c r="SC18" s="212"/>
      <c r="SD18" s="212"/>
      <c r="SE18" s="212"/>
      <c r="SF18" s="212"/>
      <c r="SG18" s="212"/>
      <c r="SH18" s="212"/>
      <c r="SI18" s="212"/>
      <c r="SJ18" s="212"/>
      <c r="SK18" s="212"/>
      <c r="SL18" s="212"/>
      <c r="SM18" s="212"/>
      <c r="SN18" s="212"/>
      <c r="SO18" s="212"/>
      <c r="SP18" s="212"/>
      <c r="SQ18" s="212"/>
      <c r="SR18" s="212"/>
      <c r="SS18" s="212"/>
      <c r="ST18" s="212"/>
      <c r="SU18" s="212"/>
      <c r="SV18" s="212"/>
      <c r="SW18" s="212"/>
      <c r="SX18" s="212"/>
      <c r="SY18" s="212"/>
      <c r="SZ18" s="212"/>
      <c r="TA18" s="212"/>
      <c r="TB18" s="212"/>
      <c r="TC18" s="212"/>
      <c r="TD18" s="212"/>
      <c r="TE18" s="212"/>
      <c r="TF18" s="212"/>
      <c r="TG18" s="212"/>
      <c r="TH18" s="212"/>
      <c r="TI18" s="212"/>
      <c r="TJ18" s="212"/>
      <c r="TK18" s="212"/>
      <c r="TL18" s="212"/>
      <c r="TM18" s="212"/>
      <c r="TN18" s="212"/>
      <c r="TO18" s="212"/>
      <c r="TP18" s="212"/>
      <c r="TQ18" s="212"/>
      <c r="TR18" s="212"/>
      <c r="TS18" s="212"/>
      <c r="TT18" s="212"/>
      <c r="TU18" s="212"/>
      <c r="TV18" s="212"/>
      <c r="TW18" s="212"/>
      <c r="TX18" s="212"/>
      <c r="TY18" s="212"/>
      <c r="TZ18" s="212"/>
      <c r="UA18" s="212"/>
      <c r="UB18" s="212"/>
      <c r="UC18" s="212"/>
      <c r="UD18" s="212"/>
      <c r="UE18" s="212"/>
      <c r="UF18" s="212"/>
      <c r="UG18" s="212"/>
      <c r="UH18" s="212"/>
      <c r="UI18" s="212"/>
      <c r="UJ18" s="212"/>
      <c r="UK18" s="212"/>
      <c r="UL18" s="212"/>
      <c r="UM18" s="212"/>
      <c r="UN18" s="212"/>
      <c r="UO18" s="212"/>
      <c r="UP18" s="212"/>
      <c r="UQ18" s="212"/>
      <c r="UR18" s="212"/>
      <c r="US18" s="212"/>
      <c r="UT18" s="194"/>
    </row>
    <row r="19" spans="2:566" ht="15.75" customHeight="1" x14ac:dyDescent="0.3">
      <c r="B19" s="106" t="s">
        <v>81</v>
      </c>
      <c r="C19" s="107" t="s">
        <v>80</v>
      </c>
      <c r="D19" s="102" t="str">
        <f t="shared" si="27"/>
        <v/>
      </c>
      <c r="E19" s="103" t="str">
        <f>IFERROR(AVERAGE(F19:US19),"")</f>
        <v/>
      </c>
      <c r="F19" s="212"/>
      <c r="G19" s="212"/>
      <c r="H19" s="212"/>
      <c r="I19" s="212"/>
      <c r="J19" s="212"/>
      <c r="K19" s="212"/>
      <c r="L19" s="212"/>
      <c r="M19" s="212"/>
      <c r="N19" s="212"/>
      <c r="O19" s="212"/>
      <c r="P19" s="213"/>
      <c r="Q19" s="213"/>
      <c r="R19" s="212"/>
      <c r="S19" s="212"/>
      <c r="T19" s="212"/>
      <c r="U19" s="212"/>
      <c r="V19" s="212"/>
      <c r="W19" s="213"/>
      <c r="X19" s="213"/>
      <c r="Y19" s="212"/>
      <c r="Z19" s="212"/>
      <c r="AA19" s="212"/>
      <c r="AB19" s="213"/>
      <c r="AC19" s="213"/>
      <c r="AD19" s="213"/>
      <c r="AE19" s="213"/>
      <c r="AF19" s="213"/>
      <c r="AG19" s="213"/>
      <c r="AH19" s="212"/>
      <c r="AI19" s="212"/>
      <c r="AJ19" s="212"/>
      <c r="AK19" s="213"/>
      <c r="AL19" s="213"/>
      <c r="AM19" s="212"/>
      <c r="AN19" s="212"/>
      <c r="AO19" s="212"/>
      <c r="AP19" s="212"/>
      <c r="AQ19" s="212"/>
      <c r="AR19" s="212"/>
      <c r="AS19" s="212"/>
      <c r="AT19" s="212"/>
      <c r="AU19" s="212"/>
      <c r="AV19" s="212"/>
      <c r="AW19" s="212"/>
      <c r="AX19" s="212"/>
      <c r="AY19" s="212"/>
      <c r="AZ19" s="212"/>
      <c r="BA19" s="212"/>
      <c r="BB19" s="212"/>
      <c r="BC19" s="212"/>
      <c r="BD19" s="212"/>
      <c r="BE19" s="212"/>
      <c r="BF19" s="212"/>
      <c r="BG19" s="212"/>
      <c r="BH19" s="212"/>
      <c r="BI19" s="214"/>
      <c r="BJ19" s="214"/>
      <c r="BK19" s="214"/>
      <c r="BL19" s="214"/>
      <c r="BM19" s="212"/>
      <c r="BN19" s="212"/>
      <c r="BO19" s="212"/>
      <c r="BP19" s="212"/>
      <c r="BQ19" s="212"/>
      <c r="BR19" s="212"/>
      <c r="BS19" s="212"/>
      <c r="BT19" s="212"/>
      <c r="BU19" s="212"/>
      <c r="BV19" s="212"/>
      <c r="BW19" s="212"/>
      <c r="BX19" s="212"/>
      <c r="BY19" s="212"/>
      <c r="BZ19" s="212"/>
      <c r="CA19" s="212"/>
      <c r="CB19" s="212"/>
      <c r="CC19" s="212"/>
      <c r="CD19" s="212"/>
      <c r="CE19" s="212"/>
      <c r="CF19" s="212"/>
      <c r="CG19" s="212"/>
      <c r="CH19" s="212"/>
      <c r="CI19" s="212"/>
      <c r="CJ19" s="212"/>
      <c r="CK19" s="212"/>
      <c r="CL19" s="212"/>
      <c r="CM19" s="212"/>
      <c r="CN19" s="212"/>
      <c r="CO19" s="212"/>
      <c r="CP19" s="212"/>
      <c r="CQ19" s="212"/>
      <c r="CR19" s="212"/>
      <c r="CS19" s="212"/>
      <c r="CT19" s="212"/>
      <c r="CU19" s="214"/>
      <c r="CV19" s="212"/>
      <c r="CW19" s="212"/>
      <c r="CX19" s="212"/>
      <c r="CY19" s="212"/>
      <c r="CZ19" s="212"/>
      <c r="DA19" s="212"/>
      <c r="DB19" s="212"/>
      <c r="DC19" s="212"/>
      <c r="DD19" s="212"/>
      <c r="DE19" s="212"/>
      <c r="DF19" s="212"/>
      <c r="DG19" s="212"/>
      <c r="DH19" s="212"/>
      <c r="DI19" s="212"/>
      <c r="DJ19" s="212"/>
      <c r="DK19" s="212"/>
      <c r="DL19" s="212"/>
      <c r="DM19" s="212"/>
      <c r="DN19" s="212"/>
      <c r="DO19" s="212"/>
      <c r="DP19" s="212"/>
      <c r="DQ19" s="212"/>
      <c r="DR19" s="212"/>
      <c r="DS19" s="212"/>
      <c r="DT19" s="212"/>
      <c r="DU19" s="212"/>
      <c r="DV19" s="212"/>
      <c r="DW19" s="212"/>
      <c r="DX19" s="212"/>
      <c r="DY19" s="212"/>
      <c r="DZ19" s="212"/>
      <c r="EA19" s="212"/>
      <c r="EB19" s="214"/>
      <c r="EC19" s="212"/>
      <c r="ED19" s="212"/>
      <c r="EE19" s="212"/>
      <c r="EF19" s="212"/>
      <c r="EG19" s="212"/>
      <c r="EH19" s="212"/>
      <c r="EI19" s="212"/>
      <c r="EJ19" s="212"/>
      <c r="EK19" s="212"/>
      <c r="EL19" s="212"/>
      <c r="EM19" s="212"/>
      <c r="EN19" s="212"/>
      <c r="EO19" s="212"/>
      <c r="EP19" s="212"/>
      <c r="EQ19" s="212"/>
      <c r="ER19" s="212"/>
      <c r="ES19" s="212"/>
      <c r="ET19" s="212"/>
      <c r="EU19" s="212"/>
      <c r="EV19" s="212"/>
      <c r="EW19" s="212"/>
      <c r="EX19" s="212"/>
      <c r="EY19" s="212"/>
      <c r="EZ19" s="212"/>
      <c r="FA19" s="212"/>
      <c r="FB19" s="212"/>
      <c r="FC19" s="212"/>
      <c r="FD19" s="212"/>
      <c r="FE19" s="212"/>
      <c r="FF19" s="212"/>
      <c r="FG19" s="212"/>
      <c r="FH19" s="212"/>
      <c r="FI19" s="212"/>
      <c r="FJ19" s="212"/>
      <c r="FK19" s="212"/>
      <c r="FL19" s="212"/>
      <c r="FM19" s="212"/>
      <c r="FN19" s="212"/>
      <c r="FO19" s="212"/>
      <c r="FP19" s="212"/>
      <c r="FQ19" s="212"/>
      <c r="FR19" s="212"/>
      <c r="FS19" s="212"/>
      <c r="FT19" s="212"/>
      <c r="FU19" s="212"/>
      <c r="FV19" s="212"/>
      <c r="FW19" s="212"/>
      <c r="FX19" s="212"/>
      <c r="FY19" s="212"/>
      <c r="FZ19" s="212"/>
      <c r="GA19" s="212"/>
      <c r="GB19" s="212"/>
      <c r="GC19" s="212"/>
      <c r="GD19" s="212"/>
      <c r="GE19" s="212"/>
      <c r="GF19" s="212"/>
      <c r="GG19" s="212"/>
      <c r="GH19" s="212"/>
      <c r="GI19" s="212"/>
      <c r="GJ19" s="212"/>
      <c r="GK19" s="212"/>
      <c r="GL19" s="212"/>
      <c r="GM19" s="212"/>
      <c r="GN19" s="212"/>
      <c r="GO19" s="212"/>
      <c r="GP19" s="212"/>
      <c r="GQ19" s="212"/>
      <c r="GR19" s="212"/>
      <c r="GS19" s="212"/>
      <c r="GT19" s="212"/>
      <c r="GU19" s="212"/>
      <c r="GV19" s="212"/>
      <c r="GW19" s="212"/>
      <c r="GX19" s="212"/>
      <c r="GY19" s="212"/>
      <c r="GZ19" s="212"/>
      <c r="HA19" s="212"/>
      <c r="HB19" s="212"/>
      <c r="HC19" s="212"/>
      <c r="HD19" s="212"/>
      <c r="HE19" s="212"/>
      <c r="HF19" s="212"/>
      <c r="HG19" s="212"/>
      <c r="HH19" s="212"/>
      <c r="HI19" s="212"/>
      <c r="HJ19" s="212"/>
      <c r="HK19" s="212"/>
      <c r="HL19" s="212"/>
      <c r="HM19" s="212"/>
      <c r="HN19" s="212"/>
      <c r="HO19" s="212"/>
      <c r="HP19" s="212"/>
      <c r="HQ19" s="212"/>
      <c r="HR19" s="212"/>
      <c r="HS19" s="212"/>
      <c r="HT19" s="212"/>
      <c r="HU19" s="212"/>
      <c r="HV19" s="212"/>
      <c r="HW19" s="212"/>
      <c r="HX19" s="212"/>
      <c r="HY19" s="212"/>
      <c r="HZ19" s="212"/>
      <c r="IA19" s="212"/>
      <c r="IB19" s="212"/>
      <c r="IC19" s="212"/>
      <c r="ID19" s="212"/>
      <c r="IE19" s="212"/>
      <c r="IF19" s="212"/>
      <c r="IG19" s="212"/>
      <c r="IH19" s="212"/>
      <c r="II19" s="212"/>
      <c r="IJ19" s="212"/>
      <c r="IK19" s="212"/>
      <c r="IL19" s="212"/>
      <c r="IM19" s="212"/>
      <c r="IN19" s="212"/>
      <c r="IO19" s="212"/>
      <c r="IP19" s="212"/>
      <c r="IQ19" s="212"/>
      <c r="IR19" s="212"/>
      <c r="IS19" s="212"/>
      <c r="IT19" s="212"/>
      <c r="IU19" s="212"/>
      <c r="IV19" s="212"/>
      <c r="IW19" s="212"/>
      <c r="IX19" s="212"/>
      <c r="IY19" s="212"/>
      <c r="IZ19" s="212"/>
      <c r="JA19" s="212"/>
      <c r="JB19" s="212"/>
      <c r="JC19" s="212"/>
      <c r="JD19" s="212"/>
      <c r="JE19" s="212"/>
      <c r="JF19" s="212"/>
      <c r="JG19" s="212"/>
      <c r="JH19" s="212"/>
      <c r="JI19" s="212"/>
      <c r="JJ19" s="212"/>
      <c r="JK19" s="212"/>
      <c r="JL19" s="212"/>
      <c r="JM19" s="212"/>
      <c r="JN19" s="212"/>
      <c r="JO19" s="212"/>
      <c r="JP19" s="212"/>
      <c r="JQ19" s="212"/>
      <c r="JR19" s="212"/>
      <c r="JS19" s="212"/>
      <c r="JT19" s="212"/>
      <c r="JU19" s="212"/>
      <c r="JV19" s="212"/>
      <c r="JW19" s="212"/>
      <c r="JX19" s="212"/>
      <c r="JY19" s="212"/>
      <c r="JZ19" s="212"/>
      <c r="KA19" s="212"/>
      <c r="KB19" s="212"/>
      <c r="KC19" s="212"/>
      <c r="KD19" s="212"/>
      <c r="KE19" s="212"/>
      <c r="KF19" s="212"/>
      <c r="KG19" s="212"/>
      <c r="KH19" s="212"/>
      <c r="KI19" s="212"/>
      <c r="KJ19" s="212"/>
      <c r="KK19" s="212"/>
      <c r="KL19" s="212"/>
      <c r="KM19" s="212"/>
      <c r="KN19" s="212"/>
      <c r="KO19" s="212"/>
      <c r="KP19" s="212"/>
      <c r="KQ19" s="212"/>
      <c r="KR19" s="212"/>
      <c r="KS19" s="212"/>
      <c r="KT19" s="212"/>
      <c r="KU19" s="212"/>
      <c r="KV19" s="212"/>
      <c r="KW19" s="212"/>
      <c r="KX19" s="212"/>
      <c r="KY19" s="212"/>
      <c r="KZ19" s="212"/>
      <c r="LA19" s="212"/>
      <c r="LB19" s="212"/>
      <c r="LC19" s="212"/>
      <c r="LD19" s="212"/>
      <c r="LE19" s="212"/>
      <c r="LF19" s="212"/>
      <c r="LG19" s="212"/>
      <c r="LH19" s="212"/>
      <c r="LI19" s="212"/>
      <c r="LJ19" s="212"/>
      <c r="LK19" s="212"/>
      <c r="LL19" s="212"/>
      <c r="LM19" s="212"/>
      <c r="LN19" s="212"/>
      <c r="LO19" s="212"/>
      <c r="LP19" s="212"/>
      <c r="LQ19" s="212"/>
      <c r="LR19" s="212"/>
      <c r="LS19" s="212"/>
      <c r="LT19" s="212"/>
      <c r="LU19" s="212"/>
      <c r="LV19" s="212"/>
      <c r="LW19" s="212"/>
      <c r="LX19" s="212"/>
      <c r="LY19" s="212"/>
      <c r="LZ19" s="212"/>
      <c r="MA19" s="212"/>
      <c r="MB19" s="212"/>
      <c r="MC19" s="212"/>
      <c r="MD19" s="212"/>
      <c r="ME19" s="212"/>
      <c r="MF19" s="212"/>
      <c r="MG19" s="212"/>
      <c r="MH19" s="212"/>
      <c r="MI19" s="212"/>
      <c r="MJ19" s="212"/>
      <c r="MK19" s="212"/>
      <c r="ML19" s="212"/>
      <c r="MM19" s="212"/>
      <c r="MN19" s="212"/>
      <c r="MO19" s="212"/>
      <c r="MP19" s="212"/>
      <c r="MQ19" s="212"/>
      <c r="MR19" s="212"/>
      <c r="MS19" s="212"/>
      <c r="MT19" s="212"/>
      <c r="MU19" s="212"/>
      <c r="MV19" s="212"/>
      <c r="MW19" s="212"/>
      <c r="MX19" s="212"/>
      <c r="MY19" s="212"/>
      <c r="MZ19" s="212"/>
      <c r="NA19" s="212"/>
      <c r="NB19" s="212"/>
      <c r="NC19" s="212"/>
      <c r="ND19" s="212"/>
      <c r="NE19" s="212"/>
      <c r="NF19" s="212"/>
      <c r="NG19" s="212"/>
      <c r="NH19" s="212"/>
      <c r="NI19" s="212"/>
      <c r="NJ19" s="212"/>
      <c r="NK19" s="212"/>
      <c r="NL19" s="212"/>
      <c r="NM19" s="212"/>
      <c r="NN19" s="212"/>
      <c r="NO19" s="212"/>
      <c r="NP19" s="212"/>
      <c r="NQ19" s="212"/>
      <c r="NR19" s="212"/>
      <c r="NS19" s="212"/>
      <c r="NT19" s="212"/>
      <c r="NU19" s="212"/>
      <c r="NV19" s="212"/>
      <c r="NW19" s="212"/>
      <c r="NX19" s="212"/>
      <c r="NY19" s="212"/>
      <c r="NZ19" s="212"/>
      <c r="OA19" s="212"/>
      <c r="OB19" s="212"/>
      <c r="OC19" s="212"/>
      <c r="OD19" s="212"/>
      <c r="OE19" s="212"/>
      <c r="OF19" s="212"/>
      <c r="OG19" s="212"/>
      <c r="OH19" s="212"/>
      <c r="OI19" s="212"/>
      <c r="OJ19" s="212"/>
      <c r="OK19" s="212"/>
      <c r="OL19" s="212"/>
      <c r="OM19" s="212"/>
      <c r="ON19" s="212"/>
      <c r="OO19" s="212"/>
      <c r="OP19" s="212"/>
      <c r="OQ19" s="212"/>
      <c r="OR19" s="212"/>
      <c r="OS19" s="212"/>
      <c r="OT19" s="212"/>
      <c r="OU19" s="212"/>
      <c r="OV19" s="212"/>
      <c r="OW19" s="212"/>
      <c r="OX19" s="212"/>
      <c r="OY19" s="212"/>
      <c r="OZ19" s="212"/>
      <c r="PA19" s="212"/>
      <c r="PB19" s="212"/>
      <c r="PC19" s="212"/>
      <c r="PD19" s="212"/>
      <c r="PE19" s="212"/>
      <c r="PF19" s="212"/>
      <c r="PG19" s="212"/>
      <c r="PH19" s="212"/>
      <c r="PI19" s="212"/>
      <c r="PJ19" s="212"/>
      <c r="PK19" s="212"/>
      <c r="PL19" s="212"/>
      <c r="PM19" s="212"/>
      <c r="PN19" s="212"/>
      <c r="PO19" s="212"/>
      <c r="PP19" s="212"/>
      <c r="PQ19" s="212"/>
      <c r="PR19" s="212"/>
      <c r="PS19" s="212"/>
      <c r="PT19" s="212"/>
      <c r="PU19" s="212"/>
      <c r="PV19" s="212"/>
      <c r="PW19" s="212"/>
      <c r="PX19" s="212"/>
      <c r="PY19" s="212"/>
      <c r="PZ19" s="212"/>
      <c r="QA19" s="212"/>
      <c r="QB19" s="212"/>
      <c r="QC19" s="212"/>
      <c r="QD19" s="212"/>
      <c r="QE19" s="212"/>
      <c r="QF19" s="212"/>
      <c r="QG19" s="212"/>
      <c r="QH19" s="212"/>
      <c r="QI19" s="212"/>
      <c r="QJ19" s="212"/>
      <c r="QK19" s="212"/>
      <c r="QL19" s="212"/>
      <c r="QM19" s="212"/>
      <c r="QN19" s="212"/>
      <c r="QO19" s="212"/>
      <c r="QP19" s="212"/>
      <c r="QQ19" s="212"/>
      <c r="QR19" s="212"/>
      <c r="QS19" s="212"/>
      <c r="QT19" s="212"/>
      <c r="QU19" s="212"/>
      <c r="QV19" s="212"/>
      <c r="QW19" s="212"/>
      <c r="QX19" s="212"/>
      <c r="QY19" s="212"/>
      <c r="QZ19" s="212"/>
      <c r="RA19" s="212"/>
      <c r="RB19" s="212"/>
      <c r="RC19" s="212"/>
      <c r="RD19" s="212"/>
      <c r="RE19" s="212"/>
      <c r="RF19" s="212"/>
      <c r="RG19" s="212"/>
      <c r="RH19" s="212"/>
      <c r="RI19" s="212"/>
      <c r="RJ19" s="212"/>
      <c r="RK19" s="212"/>
      <c r="RL19" s="212"/>
      <c r="RM19" s="212"/>
      <c r="RN19" s="212"/>
      <c r="RO19" s="212"/>
      <c r="RP19" s="212"/>
      <c r="RQ19" s="212"/>
      <c r="RR19" s="212"/>
      <c r="RS19" s="212"/>
      <c r="RT19" s="212"/>
      <c r="RU19" s="212"/>
      <c r="RV19" s="212"/>
      <c r="RW19" s="212"/>
      <c r="RX19" s="212"/>
      <c r="RY19" s="212"/>
      <c r="RZ19" s="212"/>
      <c r="SA19" s="212"/>
      <c r="SB19" s="212"/>
      <c r="SC19" s="212"/>
      <c r="SD19" s="212"/>
      <c r="SE19" s="212"/>
      <c r="SF19" s="212"/>
      <c r="SG19" s="212"/>
      <c r="SH19" s="212"/>
      <c r="SI19" s="212"/>
      <c r="SJ19" s="212"/>
      <c r="SK19" s="212"/>
      <c r="SL19" s="212"/>
      <c r="SM19" s="212"/>
      <c r="SN19" s="212"/>
      <c r="SO19" s="212"/>
      <c r="SP19" s="212"/>
      <c r="SQ19" s="212"/>
      <c r="SR19" s="212"/>
      <c r="SS19" s="212"/>
      <c r="ST19" s="212"/>
      <c r="SU19" s="212"/>
      <c r="SV19" s="212"/>
      <c r="SW19" s="212"/>
      <c r="SX19" s="212"/>
      <c r="SY19" s="212"/>
      <c r="SZ19" s="212"/>
      <c r="TA19" s="212"/>
      <c r="TB19" s="212"/>
      <c r="TC19" s="212"/>
      <c r="TD19" s="212"/>
      <c r="TE19" s="212"/>
      <c r="TF19" s="212"/>
      <c r="TG19" s="212"/>
      <c r="TH19" s="212"/>
      <c r="TI19" s="212"/>
      <c r="TJ19" s="212"/>
      <c r="TK19" s="212"/>
      <c r="TL19" s="212"/>
      <c r="TM19" s="212"/>
      <c r="TN19" s="212"/>
      <c r="TO19" s="212"/>
      <c r="TP19" s="212"/>
      <c r="TQ19" s="212"/>
      <c r="TR19" s="212"/>
      <c r="TS19" s="212"/>
      <c r="TT19" s="212"/>
      <c r="TU19" s="212"/>
      <c r="TV19" s="212"/>
      <c r="TW19" s="212"/>
      <c r="TX19" s="212"/>
      <c r="TY19" s="212"/>
      <c r="TZ19" s="212"/>
      <c r="UA19" s="212"/>
      <c r="UB19" s="212"/>
      <c r="UC19" s="212"/>
      <c r="UD19" s="212"/>
      <c r="UE19" s="212"/>
      <c r="UF19" s="212"/>
      <c r="UG19" s="212"/>
      <c r="UH19" s="212"/>
      <c r="UI19" s="212"/>
      <c r="UJ19" s="212"/>
      <c r="UK19" s="212"/>
      <c r="UL19" s="212"/>
      <c r="UM19" s="212"/>
      <c r="UN19" s="212"/>
      <c r="UO19" s="212"/>
      <c r="UP19" s="212"/>
      <c r="UQ19" s="212"/>
      <c r="UR19" s="212"/>
      <c r="US19" s="212"/>
      <c r="UT19" s="194"/>
    </row>
    <row r="20" spans="2:566" ht="15.75" customHeight="1" x14ac:dyDescent="0.3">
      <c r="B20" s="106" t="s">
        <v>79</v>
      </c>
      <c r="C20" s="107" t="s">
        <v>82</v>
      </c>
      <c r="D20" s="102" t="str">
        <f t="shared" si="27"/>
        <v/>
      </c>
      <c r="E20" s="103" t="str">
        <f>IFERROR(AVERAGE(F20:US20),"")</f>
        <v/>
      </c>
      <c r="F20" s="212"/>
      <c r="G20" s="212"/>
      <c r="H20" s="212"/>
      <c r="I20" s="212"/>
      <c r="J20" s="212"/>
      <c r="K20" s="212"/>
      <c r="L20" s="212"/>
      <c r="M20" s="212"/>
      <c r="N20" s="212"/>
      <c r="O20" s="212"/>
      <c r="P20" s="213"/>
      <c r="Q20" s="213"/>
      <c r="R20" s="212"/>
      <c r="S20" s="212"/>
      <c r="T20" s="212"/>
      <c r="U20" s="212"/>
      <c r="V20" s="212"/>
      <c r="W20" s="213"/>
      <c r="X20" s="213"/>
      <c r="Y20" s="212"/>
      <c r="Z20" s="212"/>
      <c r="AA20" s="212"/>
      <c r="AB20" s="213"/>
      <c r="AC20" s="213"/>
      <c r="AD20" s="213"/>
      <c r="AE20" s="213"/>
      <c r="AF20" s="213"/>
      <c r="AG20" s="213"/>
      <c r="AH20" s="212"/>
      <c r="AI20" s="212"/>
      <c r="AJ20" s="212"/>
      <c r="AK20" s="213"/>
      <c r="AL20" s="213"/>
      <c r="AM20" s="212"/>
      <c r="AN20" s="212"/>
      <c r="AO20" s="212"/>
      <c r="AP20" s="212"/>
      <c r="AQ20" s="212"/>
      <c r="AR20" s="212"/>
      <c r="AS20" s="212"/>
      <c r="AT20" s="212"/>
      <c r="AU20" s="212"/>
      <c r="AV20" s="212"/>
      <c r="AW20" s="212"/>
      <c r="AX20" s="212"/>
      <c r="AY20" s="212"/>
      <c r="AZ20" s="212"/>
      <c r="BA20" s="212"/>
      <c r="BB20" s="212"/>
      <c r="BC20" s="212"/>
      <c r="BD20" s="212"/>
      <c r="BE20" s="212"/>
      <c r="BF20" s="212"/>
      <c r="BG20" s="212"/>
      <c r="BH20" s="212"/>
      <c r="BI20" s="214"/>
      <c r="BJ20" s="214"/>
      <c r="BK20" s="214"/>
      <c r="BL20" s="214"/>
      <c r="BM20" s="212"/>
      <c r="BN20" s="212"/>
      <c r="BO20" s="212"/>
      <c r="BP20" s="212"/>
      <c r="BQ20" s="212"/>
      <c r="BR20" s="212"/>
      <c r="BS20" s="212"/>
      <c r="BT20" s="212"/>
      <c r="BU20" s="212"/>
      <c r="BV20" s="212"/>
      <c r="BW20" s="212"/>
      <c r="BX20" s="212"/>
      <c r="BY20" s="212"/>
      <c r="BZ20" s="212"/>
      <c r="CA20" s="212"/>
      <c r="CB20" s="212"/>
      <c r="CC20" s="212"/>
      <c r="CD20" s="212"/>
      <c r="CE20" s="212"/>
      <c r="CF20" s="212"/>
      <c r="CG20" s="212"/>
      <c r="CH20" s="212"/>
      <c r="CI20" s="212"/>
      <c r="CJ20" s="212"/>
      <c r="CK20" s="212"/>
      <c r="CL20" s="212"/>
      <c r="CM20" s="212"/>
      <c r="CN20" s="212"/>
      <c r="CO20" s="212"/>
      <c r="CP20" s="212"/>
      <c r="CQ20" s="212"/>
      <c r="CR20" s="212"/>
      <c r="CS20" s="212"/>
      <c r="CT20" s="212"/>
      <c r="CU20" s="214"/>
      <c r="CV20" s="212"/>
      <c r="CW20" s="212"/>
      <c r="CX20" s="212"/>
      <c r="CY20" s="212"/>
      <c r="CZ20" s="212"/>
      <c r="DA20" s="212"/>
      <c r="DB20" s="212"/>
      <c r="DC20" s="212"/>
      <c r="DD20" s="212"/>
      <c r="DE20" s="212"/>
      <c r="DF20" s="212"/>
      <c r="DG20" s="212"/>
      <c r="DH20" s="212"/>
      <c r="DI20" s="212"/>
      <c r="DJ20" s="212"/>
      <c r="DK20" s="212"/>
      <c r="DL20" s="212"/>
      <c r="DM20" s="212"/>
      <c r="DN20" s="212"/>
      <c r="DO20" s="212"/>
      <c r="DP20" s="212"/>
      <c r="DQ20" s="212"/>
      <c r="DR20" s="212"/>
      <c r="DS20" s="212"/>
      <c r="DT20" s="212"/>
      <c r="DU20" s="212"/>
      <c r="DV20" s="212"/>
      <c r="DW20" s="212"/>
      <c r="DX20" s="212"/>
      <c r="DY20" s="212"/>
      <c r="DZ20" s="212"/>
      <c r="EA20" s="212"/>
      <c r="EB20" s="214"/>
      <c r="EC20" s="212"/>
      <c r="ED20" s="212"/>
      <c r="EE20" s="212"/>
      <c r="EF20" s="212"/>
      <c r="EG20" s="212"/>
      <c r="EH20" s="212"/>
      <c r="EI20" s="212"/>
      <c r="EJ20" s="212"/>
      <c r="EK20" s="212"/>
      <c r="EL20" s="212"/>
      <c r="EM20" s="212"/>
      <c r="EN20" s="212"/>
      <c r="EO20" s="212"/>
      <c r="EP20" s="212"/>
      <c r="EQ20" s="212"/>
      <c r="ER20" s="212"/>
      <c r="ES20" s="212"/>
      <c r="ET20" s="212"/>
      <c r="EU20" s="212"/>
      <c r="EV20" s="212"/>
      <c r="EW20" s="212"/>
      <c r="EX20" s="212"/>
      <c r="EY20" s="212"/>
      <c r="EZ20" s="212"/>
      <c r="FA20" s="212"/>
      <c r="FB20" s="212"/>
      <c r="FC20" s="212"/>
      <c r="FD20" s="212"/>
      <c r="FE20" s="212"/>
      <c r="FF20" s="212"/>
      <c r="FG20" s="212"/>
      <c r="FH20" s="212"/>
      <c r="FI20" s="212"/>
      <c r="FJ20" s="212"/>
      <c r="FK20" s="212"/>
      <c r="FL20" s="212"/>
      <c r="FM20" s="212"/>
      <c r="FN20" s="212"/>
      <c r="FO20" s="212"/>
      <c r="FP20" s="212"/>
      <c r="FQ20" s="212"/>
      <c r="FR20" s="212"/>
      <c r="FS20" s="212"/>
      <c r="FT20" s="212"/>
      <c r="FU20" s="212"/>
      <c r="FV20" s="212"/>
      <c r="FW20" s="212"/>
      <c r="FX20" s="212"/>
      <c r="FY20" s="212"/>
      <c r="FZ20" s="212"/>
      <c r="GA20" s="212"/>
      <c r="GB20" s="212"/>
      <c r="GC20" s="212"/>
      <c r="GD20" s="212"/>
      <c r="GE20" s="212"/>
      <c r="GF20" s="212"/>
      <c r="GG20" s="212"/>
      <c r="GH20" s="212"/>
      <c r="GI20" s="212"/>
      <c r="GJ20" s="212"/>
      <c r="GK20" s="212"/>
      <c r="GL20" s="212"/>
      <c r="GM20" s="212"/>
      <c r="GN20" s="212"/>
      <c r="GO20" s="212"/>
      <c r="GP20" s="212"/>
      <c r="GQ20" s="212"/>
      <c r="GR20" s="212"/>
      <c r="GS20" s="212"/>
      <c r="GT20" s="212"/>
      <c r="GU20" s="212"/>
      <c r="GV20" s="212"/>
      <c r="GW20" s="212"/>
      <c r="GX20" s="212"/>
      <c r="GY20" s="212"/>
      <c r="GZ20" s="212"/>
      <c r="HA20" s="212"/>
      <c r="HB20" s="212"/>
      <c r="HC20" s="212"/>
      <c r="HD20" s="212"/>
      <c r="HE20" s="212"/>
      <c r="HF20" s="212"/>
      <c r="HG20" s="212"/>
      <c r="HH20" s="212"/>
      <c r="HI20" s="212"/>
      <c r="HJ20" s="212"/>
      <c r="HK20" s="212"/>
      <c r="HL20" s="212"/>
      <c r="HM20" s="212"/>
      <c r="HN20" s="212"/>
      <c r="HO20" s="212"/>
      <c r="HP20" s="212"/>
      <c r="HQ20" s="212"/>
      <c r="HR20" s="212"/>
      <c r="HS20" s="212"/>
      <c r="HT20" s="212"/>
      <c r="HU20" s="212"/>
      <c r="HV20" s="212"/>
      <c r="HW20" s="212"/>
      <c r="HX20" s="212"/>
      <c r="HY20" s="212"/>
      <c r="HZ20" s="212"/>
      <c r="IA20" s="212"/>
      <c r="IB20" s="212"/>
      <c r="IC20" s="212"/>
      <c r="ID20" s="212"/>
      <c r="IE20" s="212"/>
      <c r="IF20" s="212"/>
      <c r="IG20" s="212"/>
      <c r="IH20" s="212"/>
      <c r="II20" s="212"/>
      <c r="IJ20" s="212"/>
      <c r="IK20" s="212"/>
      <c r="IL20" s="212"/>
      <c r="IM20" s="212"/>
      <c r="IN20" s="212"/>
      <c r="IO20" s="212"/>
      <c r="IP20" s="212"/>
      <c r="IQ20" s="212"/>
      <c r="IR20" s="212"/>
      <c r="IS20" s="212"/>
      <c r="IT20" s="212"/>
      <c r="IU20" s="212"/>
      <c r="IV20" s="212"/>
      <c r="IW20" s="212"/>
      <c r="IX20" s="212"/>
      <c r="IY20" s="212"/>
      <c r="IZ20" s="212"/>
      <c r="JA20" s="212"/>
      <c r="JB20" s="212"/>
      <c r="JC20" s="212"/>
      <c r="JD20" s="212"/>
      <c r="JE20" s="212"/>
      <c r="JF20" s="212"/>
      <c r="JG20" s="212"/>
      <c r="JH20" s="212"/>
      <c r="JI20" s="212"/>
      <c r="JJ20" s="212"/>
      <c r="JK20" s="212"/>
      <c r="JL20" s="212"/>
      <c r="JM20" s="212"/>
      <c r="JN20" s="212"/>
      <c r="JO20" s="212"/>
      <c r="JP20" s="212"/>
      <c r="JQ20" s="212"/>
      <c r="JR20" s="212"/>
      <c r="JS20" s="212"/>
      <c r="JT20" s="212"/>
      <c r="JU20" s="212"/>
      <c r="JV20" s="212"/>
      <c r="JW20" s="212"/>
      <c r="JX20" s="212"/>
      <c r="JY20" s="212"/>
      <c r="JZ20" s="212"/>
      <c r="KA20" s="212"/>
      <c r="KB20" s="212"/>
      <c r="KC20" s="212"/>
      <c r="KD20" s="212"/>
      <c r="KE20" s="212"/>
      <c r="KF20" s="212"/>
      <c r="KG20" s="212"/>
      <c r="KH20" s="212"/>
      <c r="KI20" s="212"/>
      <c r="KJ20" s="212"/>
      <c r="KK20" s="212"/>
      <c r="KL20" s="212"/>
      <c r="KM20" s="212"/>
      <c r="KN20" s="212"/>
      <c r="KO20" s="212"/>
      <c r="KP20" s="212"/>
      <c r="KQ20" s="212"/>
      <c r="KR20" s="212"/>
      <c r="KS20" s="212"/>
      <c r="KT20" s="212"/>
      <c r="KU20" s="212"/>
      <c r="KV20" s="212"/>
      <c r="KW20" s="212"/>
      <c r="KX20" s="212"/>
      <c r="KY20" s="212"/>
      <c r="KZ20" s="212"/>
      <c r="LA20" s="212"/>
      <c r="LB20" s="212"/>
      <c r="LC20" s="212"/>
      <c r="LD20" s="212"/>
      <c r="LE20" s="212"/>
      <c r="LF20" s="212"/>
      <c r="LG20" s="212"/>
      <c r="LH20" s="212"/>
      <c r="LI20" s="212"/>
      <c r="LJ20" s="212"/>
      <c r="LK20" s="212"/>
      <c r="LL20" s="212"/>
      <c r="LM20" s="212"/>
      <c r="LN20" s="212"/>
      <c r="LO20" s="212"/>
      <c r="LP20" s="212"/>
      <c r="LQ20" s="212"/>
      <c r="LR20" s="212"/>
      <c r="LS20" s="212"/>
      <c r="LT20" s="212"/>
      <c r="LU20" s="212"/>
      <c r="LV20" s="212"/>
      <c r="LW20" s="212"/>
      <c r="LX20" s="212"/>
      <c r="LY20" s="212"/>
      <c r="LZ20" s="212"/>
      <c r="MA20" s="212"/>
      <c r="MB20" s="212"/>
      <c r="MC20" s="212"/>
      <c r="MD20" s="212"/>
      <c r="ME20" s="212"/>
      <c r="MF20" s="212"/>
      <c r="MG20" s="212"/>
      <c r="MH20" s="212"/>
      <c r="MI20" s="212"/>
      <c r="MJ20" s="212"/>
      <c r="MK20" s="212"/>
      <c r="ML20" s="212"/>
      <c r="MM20" s="212"/>
      <c r="MN20" s="212"/>
      <c r="MO20" s="212"/>
      <c r="MP20" s="212"/>
      <c r="MQ20" s="212"/>
      <c r="MR20" s="212"/>
      <c r="MS20" s="212"/>
      <c r="MT20" s="212"/>
      <c r="MU20" s="212"/>
      <c r="MV20" s="212"/>
      <c r="MW20" s="212"/>
      <c r="MX20" s="212"/>
      <c r="MY20" s="212"/>
      <c r="MZ20" s="212"/>
      <c r="NA20" s="212"/>
      <c r="NB20" s="212"/>
      <c r="NC20" s="212"/>
      <c r="ND20" s="212"/>
      <c r="NE20" s="212"/>
      <c r="NF20" s="212"/>
      <c r="NG20" s="212"/>
      <c r="NH20" s="212"/>
      <c r="NI20" s="212"/>
      <c r="NJ20" s="212"/>
      <c r="NK20" s="212"/>
      <c r="NL20" s="212"/>
      <c r="NM20" s="212"/>
      <c r="NN20" s="212"/>
      <c r="NO20" s="212"/>
      <c r="NP20" s="212"/>
      <c r="NQ20" s="212"/>
      <c r="NR20" s="212"/>
      <c r="NS20" s="212"/>
      <c r="NT20" s="212"/>
      <c r="NU20" s="212"/>
      <c r="NV20" s="212"/>
      <c r="NW20" s="212"/>
      <c r="NX20" s="212"/>
      <c r="NY20" s="212"/>
      <c r="NZ20" s="212"/>
      <c r="OA20" s="212"/>
      <c r="OB20" s="212"/>
      <c r="OC20" s="212"/>
      <c r="OD20" s="212"/>
      <c r="OE20" s="212"/>
      <c r="OF20" s="212"/>
      <c r="OG20" s="212"/>
      <c r="OH20" s="212"/>
      <c r="OI20" s="212"/>
      <c r="OJ20" s="212"/>
      <c r="OK20" s="212"/>
      <c r="OL20" s="212"/>
      <c r="OM20" s="212"/>
      <c r="ON20" s="212"/>
      <c r="OO20" s="212"/>
      <c r="OP20" s="212"/>
      <c r="OQ20" s="212"/>
      <c r="OR20" s="212"/>
      <c r="OS20" s="212"/>
      <c r="OT20" s="212"/>
      <c r="OU20" s="212"/>
      <c r="OV20" s="212"/>
      <c r="OW20" s="212"/>
      <c r="OX20" s="212"/>
      <c r="OY20" s="212"/>
      <c r="OZ20" s="212"/>
      <c r="PA20" s="212"/>
      <c r="PB20" s="212"/>
      <c r="PC20" s="212"/>
      <c r="PD20" s="212"/>
      <c r="PE20" s="212"/>
      <c r="PF20" s="212"/>
      <c r="PG20" s="212"/>
      <c r="PH20" s="212"/>
      <c r="PI20" s="212"/>
      <c r="PJ20" s="212"/>
      <c r="PK20" s="212"/>
      <c r="PL20" s="212"/>
      <c r="PM20" s="212"/>
      <c r="PN20" s="212"/>
      <c r="PO20" s="212"/>
      <c r="PP20" s="212"/>
      <c r="PQ20" s="212"/>
      <c r="PR20" s="212"/>
      <c r="PS20" s="212"/>
      <c r="PT20" s="212"/>
      <c r="PU20" s="212"/>
      <c r="PV20" s="212"/>
      <c r="PW20" s="212"/>
      <c r="PX20" s="212"/>
      <c r="PY20" s="212"/>
      <c r="PZ20" s="212"/>
      <c r="QA20" s="212"/>
      <c r="QB20" s="212"/>
      <c r="QC20" s="212"/>
      <c r="QD20" s="212"/>
      <c r="QE20" s="212"/>
      <c r="QF20" s="212"/>
      <c r="QG20" s="212"/>
      <c r="QH20" s="212"/>
      <c r="QI20" s="212"/>
      <c r="QJ20" s="212"/>
      <c r="QK20" s="212"/>
      <c r="QL20" s="212"/>
      <c r="QM20" s="212"/>
      <c r="QN20" s="212"/>
      <c r="QO20" s="212"/>
      <c r="QP20" s="212"/>
      <c r="QQ20" s="212"/>
      <c r="QR20" s="212"/>
      <c r="QS20" s="212"/>
      <c r="QT20" s="212"/>
      <c r="QU20" s="212"/>
      <c r="QV20" s="212"/>
      <c r="QW20" s="212"/>
      <c r="QX20" s="212"/>
      <c r="QY20" s="212"/>
      <c r="QZ20" s="212"/>
      <c r="RA20" s="212"/>
      <c r="RB20" s="212"/>
      <c r="RC20" s="212"/>
      <c r="RD20" s="212"/>
      <c r="RE20" s="212"/>
      <c r="RF20" s="212"/>
      <c r="RG20" s="212"/>
      <c r="RH20" s="212"/>
      <c r="RI20" s="212"/>
      <c r="RJ20" s="212"/>
      <c r="RK20" s="212"/>
      <c r="RL20" s="212"/>
      <c r="RM20" s="212"/>
      <c r="RN20" s="212"/>
      <c r="RO20" s="212"/>
      <c r="RP20" s="212"/>
      <c r="RQ20" s="212"/>
      <c r="RR20" s="212"/>
      <c r="RS20" s="212"/>
      <c r="RT20" s="212"/>
      <c r="RU20" s="212"/>
      <c r="RV20" s="212"/>
      <c r="RW20" s="212"/>
      <c r="RX20" s="212"/>
      <c r="RY20" s="212"/>
      <c r="RZ20" s="212"/>
      <c r="SA20" s="212"/>
      <c r="SB20" s="212"/>
      <c r="SC20" s="212"/>
      <c r="SD20" s="212"/>
      <c r="SE20" s="212"/>
      <c r="SF20" s="212"/>
      <c r="SG20" s="212"/>
      <c r="SH20" s="212"/>
      <c r="SI20" s="212"/>
      <c r="SJ20" s="212"/>
      <c r="SK20" s="212"/>
      <c r="SL20" s="212"/>
      <c r="SM20" s="212"/>
      <c r="SN20" s="212"/>
      <c r="SO20" s="212"/>
      <c r="SP20" s="212"/>
      <c r="SQ20" s="212"/>
      <c r="SR20" s="212"/>
      <c r="SS20" s="212"/>
      <c r="ST20" s="212"/>
      <c r="SU20" s="212"/>
      <c r="SV20" s="212"/>
      <c r="SW20" s="212"/>
      <c r="SX20" s="212"/>
      <c r="SY20" s="212"/>
      <c r="SZ20" s="212"/>
      <c r="TA20" s="212"/>
      <c r="TB20" s="212"/>
      <c r="TC20" s="212"/>
      <c r="TD20" s="212"/>
      <c r="TE20" s="212"/>
      <c r="TF20" s="212"/>
      <c r="TG20" s="212"/>
      <c r="TH20" s="212"/>
      <c r="TI20" s="212"/>
      <c r="TJ20" s="212"/>
      <c r="TK20" s="212"/>
      <c r="TL20" s="212"/>
      <c r="TM20" s="212"/>
      <c r="TN20" s="212"/>
      <c r="TO20" s="212"/>
      <c r="TP20" s="212"/>
      <c r="TQ20" s="212"/>
      <c r="TR20" s="212"/>
      <c r="TS20" s="212"/>
      <c r="TT20" s="212"/>
      <c r="TU20" s="212"/>
      <c r="TV20" s="212"/>
      <c r="TW20" s="212"/>
      <c r="TX20" s="212"/>
      <c r="TY20" s="212"/>
      <c r="TZ20" s="212"/>
      <c r="UA20" s="212"/>
      <c r="UB20" s="212"/>
      <c r="UC20" s="212"/>
      <c r="UD20" s="212"/>
      <c r="UE20" s="212"/>
      <c r="UF20" s="212"/>
      <c r="UG20" s="212"/>
      <c r="UH20" s="212"/>
      <c r="UI20" s="212"/>
      <c r="UJ20" s="212"/>
      <c r="UK20" s="212"/>
      <c r="UL20" s="212"/>
      <c r="UM20" s="212"/>
      <c r="UN20" s="212"/>
      <c r="UO20" s="212"/>
      <c r="UP20" s="212"/>
      <c r="UQ20" s="212"/>
      <c r="UR20" s="212"/>
      <c r="US20" s="212"/>
      <c r="UT20" s="194"/>
    </row>
    <row r="21" spans="2:566" ht="15.75" customHeight="1" thickBot="1" x14ac:dyDescent="0.35">
      <c r="B21" s="112" t="s">
        <v>78</v>
      </c>
      <c r="C21" s="113" t="s">
        <v>77</v>
      </c>
      <c r="D21" s="102" t="str">
        <f t="shared" si="27"/>
        <v/>
      </c>
      <c r="E21" s="103" t="str">
        <f>IFERROR(AVERAGE(F21:US21),"")</f>
        <v/>
      </c>
      <c r="F21" s="212"/>
      <c r="G21" s="212"/>
      <c r="H21" s="212"/>
      <c r="I21" s="212"/>
      <c r="J21" s="212"/>
      <c r="K21" s="212"/>
      <c r="L21" s="212"/>
      <c r="M21" s="212"/>
      <c r="N21" s="212"/>
      <c r="O21" s="212"/>
      <c r="P21" s="213"/>
      <c r="Q21" s="213"/>
      <c r="R21" s="212"/>
      <c r="S21" s="212"/>
      <c r="T21" s="212"/>
      <c r="U21" s="212"/>
      <c r="V21" s="212"/>
      <c r="W21" s="213"/>
      <c r="X21" s="213"/>
      <c r="Y21" s="212"/>
      <c r="Z21" s="212"/>
      <c r="AA21" s="212"/>
      <c r="AB21" s="213"/>
      <c r="AC21" s="213"/>
      <c r="AD21" s="213"/>
      <c r="AE21" s="213"/>
      <c r="AF21" s="213"/>
      <c r="AG21" s="213"/>
      <c r="AH21" s="212"/>
      <c r="AI21" s="212"/>
      <c r="AJ21" s="212"/>
      <c r="AK21" s="213"/>
      <c r="AL21" s="213"/>
      <c r="AM21" s="212"/>
      <c r="AN21" s="212"/>
      <c r="AO21" s="212"/>
      <c r="AP21" s="212"/>
      <c r="AQ21" s="212"/>
      <c r="AR21" s="212"/>
      <c r="AS21" s="212"/>
      <c r="AT21" s="212"/>
      <c r="AU21" s="212"/>
      <c r="AV21" s="212"/>
      <c r="AW21" s="212"/>
      <c r="AX21" s="212"/>
      <c r="AY21" s="212"/>
      <c r="AZ21" s="212"/>
      <c r="BA21" s="212"/>
      <c r="BB21" s="212"/>
      <c r="BC21" s="212"/>
      <c r="BD21" s="212"/>
      <c r="BE21" s="212"/>
      <c r="BF21" s="212"/>
      <c r="BG21" s="212"/>
      <c r="BH21" s="212"/>
      <c r="BI21" s="214"/>
      <c r="BJ21" s="214"/>
      <c r="BK21" s="214"/>
      <c r="BL21" s="214"/>
      <c r="BM21" s="212"/>
      <c r="BN21" s="212"/>
      <c r="BO21" s="212"/>
      <c r="BP21" s="212"/>
      <c r="BQ21" s="212"/>
      <c r="BR21" s="212"/>
      <c r="BS21" s="212"/>
      <c r="BT21" s="212"/>
      <c r="BU21" s="212"/>
      <c r="BV21" s="212"/>
      <c r="BW21" s="212"/>
      <c r="BX21" s="212"/>
      <c r="BY21" s="212"/>
      <c r="BZ21" s="212"/>
      <c r="CA21" s="212"/>
      <c r="CB21" s="212"/>
      <c r="CC21" s="212"/>
      <c r="CD21" s="212"/>
      <c r="CE21" s="212"/>
      <c r="CF21" s="212"/>
      <c r="CG21" s="212"/>
      <c r="CH21" s="212"/>
      <c r="CI21" s="212"/>
      <c r="CJ21" s="212"/>
      <c r="CK21" s="212"/>
      <c r="CL21" s="212"/>
      <c r="CM21" s="212"/>
      <c r="CN21" s="212"/>
      <c r="CO21" s="212"/>
      <c r="CP21" s="212"/>
      <c r="CQ21" s="212"/>
      <c r="CR21" s="212"/>
      <c r="CS21" s="212"/>
      <c r="CT21" s="212"/>
      <c r="CU21" s="214"/>
      <c r="CV21" s="212"/>
      <c r="CW21" s="212"/>
      <c r="CX21" s="212"/>
      <c r="CY21" s="212"/>
      <c r="CZ21" s="212"/>
      <c r="DA21" s="212"/>
      <c r="DB21" s="212"/>
      <c r="DC21" s="212"/>
      <c r="DD21" s="212"/>
      <c r="DE21" s="212"/>
      <c r="DF21" s="212"/>
      <c r="DG21" s="212"/>
      <c r="DH21" s="212"/>
      <c r="DI21" s="212"/>
      <c r="DJ21" s="212"/>
      <c r="DK21" s="212"/>
      <c r="DL21" s="212"/>
      <c r="DM21" s="212"/>
      <c r="DN21" s="212"/>
      <c r="DO21" s="212"/>
      <c r="DP21" s="212"/>
      <c r="DQ21" s="212"/>
      <c r="DR21" s="212"/>
      <c r="DS21" s="212"/>
      <c r="DT21" s="212"/>
      <c r="DU21" s="212"/>
      <c r="DV21" s="212"/>
      <c r="DW21" s="212"/>
      <c r="DX21" s="212"/>
      <c r="DY21" s="212"/>
      <c r="DZ21" s="212"/>
      <c r="EA21" s="212"/>
      <c r="EB21" s="214"/>
      <c r="EC21" s="212"/>
      <c r="ED21" s="212"/>
      <c r="EE21" s="212"/>
      <c r="EF21" s="212"/>
      <c r="EG21" s="212"/>
      <c r="EH21" s="212"/>
      <c r="EI21" s="212"/>
      <c r="EJ21" s="212"/>
      <c r="EK21" s="212"/>
      <c r="EL21" s="212"/>
      <c r="EM21" s="212"/>
      <c r="EN21" s="212"/>
      <c r="EO21" s="212"/>
      <c r="EP21" s="212"/>
      <c r="EQ21" s="212"/>
      <c r="ER21" s="212"/>
      <c r="ES21" s="212"/>
      <c r="ET21" s="212"/>
      <c r="EU21" s="212"/>
      <c r="EV21" s="212"/>
      <c r="EW21" s="212"/>
      <c r="EX21" s="212"/>
      <c r="EY21" s="212"/>
      <c r="EZ21" s="212"/>
      <c r="FA21" s="212"/>
      <c r="FB21" s="212"/>
      <c r="FC21" s="212"/>
      <c r="FD21" s="212"/>
      <c r="FE21" s="212"/>
      <c r="FF21" s="212"/>
      <c r="FG21" s="212"/>
      <c r="FH21" s="212"/>
      <c r="FI21" s="212"/>
      <c r="FJ21" s="212"/>
      <c r="FK21" s="212"/>
      <c r="FL21" s="212"/>
      <c r="FM21" s="212"/>
      <c r="FN21" s="212"/>
      <c r="FO21" s="212"/>
      <c r="FP21" s="212"/>
      <c r="FQ21" s="212"/>
      <c r="FR21" s="212"/>
      <c r="FS21" s="212"/>
      <c r="FT21" s="212"/>
      <c r="FU21" s="212"/>
      <c r="FV21" s="212"/>
      <c r="FW21" s="212"/>
      <c r="FX21" s="212"/>
      <c r="FY21" s="212"/>
      <c r="FZ21" s="212"/>
      <c r="GA21" s="212"/>
      <c r="GB21" s="212"/>
      <c r="GC21" s="212"/>
      <c r="GD21" s="212"/>
      <c r="GE21" s="212"/>
      <c r="GF21" s="212"/>
      <c r="GG21" s="212"/>
      <c r="GH21" s="212"/>
      <c r="GI21" s="212"/>
      <c r="GJ21" s="212"/>
      <c r="GK21" s="212"/>
      <c r="GL21" s="212"/>
      <c r="GM21" s="212"/>
      <c r="GN21" s="212"/>
      <c r="GO21" s="212"/>
      <c r="GP21" s="212"/>
      <c r="GQ21" s="212"/>
      <c r="GR21" s="212"/>
      <c r="GS21" s="212"/>
      <c r="GT21" s="212"/>
      <c r="GU21" s="212"/>
      <c r="GV21" s="212"/>
      <c r="GW21" s="212"/>
      <c r="GX21" s="212"/>
      <c r="GY21" s="212"/>
      <c r="GZ21" s="212"/>
      <c r="HA21" s="212"/>
      <c r="HB21" s="212"/>
      <c r="HC21" s="212"/>
      <c r="HD21" s="212"/>
      <c r="HE21" s="212"/>
      <c r="HF21" s="212"/>
      <c r="HG21" s="212"/>
      <c r="HH21" s="212"/>
      <c r="HI21" s="212"/>
      <c r="HJ21" s="212"/>
      <c r="HK21" s="212"/>
      <c r="HL21" s="212"/>
      <c r="HM21" s="212"/>
      <c r="HN21" s="212"/>
      <c r="HO21" s="212"/>
      <c r="HP21" s="212"/>
      <c r="HQ21" s="212"/>
      <c r="HR21" s="212"/>
      <c r="HS21" s="212"/>
      <c r="HT21" s="212"/>
      <c r="HU21" s="212"/>
      <c r="HV21" s="212"/>
      <c r="HW21" s="212"/>
      <c r="HX21" s="212"/>
      <c r="HY21" s="212"/>
      <c r="HZ21" s="212"/>
      <c r="IA21" s="212"/>
      <c r="IB21" s="212"/>
      <c r="IC21" s="212"/>
      <c r="ID21" s="212"/>
      <c r="IE21" s="212"/>
      <c r="IF21" s="212"/>
      <c r="IG21" s="212"/>
      <c r="IH21" s="212"/>
      <c r="II21" s="212"/>
      <c r="IJ21" s="212"/>
      <c r="IK21" s="212"/>
      <c r="IL21" s="212"/>
      <c r="IM21" s="212"/>
      <c r="IN21" s="212"/>
      <c r="IO21" s="212"/>
      <c r="IP21" s="212"/>
      <c r="IQ21" s="212"/>
      <c r="IR21" s="212"/>
      <c r="IS21" s="212"/>
      <c r="IT21" s="212"/>
      <c r="IU21" s="212"/>
      <c r="IV21" s="212"/>
      <c r="IW21" s="212"/>
      <c r="IX21" s="212"/>
      <c r="IY21" s="212"/>
      <c r="IZ21" s="212"/>
      <c r="JA21" s="212"/>
      <c r="JB21" s="212"/>
      <c r="JC21" s="212"/>
      <c r="JD21" s="212"/>
      <c r="JE21" s="212"/>
      <c r="JF21" s="212"/>
      <c r="JG21" s="212"/>
      <c r="JH21" s="212"/>
      <c r="JI21" s="212"/>
      <c r="JJ21" s="212"/>
      <c r="JK21" s="212"/>
      <c r="JL21" s="212"/>
      <c r="JM21" s="212"/>
      <c r="JN21" s="212"/>
      <c r="JO21" s="212"/>
      <c r="JP21" s="212"/>
      <c r="JQ21" s="212"/>
      <c r="JR21" s="212"/>
      <c r="JS21" s="212"/>
      <c r="JT21" s="212"/>
      <c r="JU21" s="212"/>
      <c r="JV21" s="212"/>
      <c r="JW21" s="212"/>
      <c r="JX21" s="212"/>
      <c r="JY21" s="212"/>
      <c r="JZ21" s="212"/>
      <c r="KA21" s="212"/>
      <c r="KB21" s="212"/>
      <c r="KC21" s="212"/>
      <c r="KD21" s="212"/>
      <c r="KE21" s="212"/>
      <c r="KF21" s="212"/>
      <c r="KG21" s="212"/>
      <c r="KH21" s="212"/>
      <c r="KI21" s="212"/>
      <c r="KJ21" s="212"/>
      <c r="KK21" s="212"/>
      <c r="KL21" s="212"/>
      <c r="KM21" s="212"/>
      <c r="KN21" s="212"/>
      <c r="KO21" s="212"/>
      <c r="KP21" s="212"/>
      <c r="KQ21" s="212"/>
      <c r="KR21" s="212"/>
      <c r="KS21" s="212"/>
      <c r="KT21" s="212"/>
      <c r="KU21" s="212"/>
      <c r="KV21" s="212"/>
      <c r="KW21" s="212"/>
      <c r="KX21" s="212"/>
      <c r="KY21" s="212"/>
      <c r="KZ21" s="212"/>
      <c r="LA21" s="212"/>
      <c r="LB21" s="212"/>
      <c r="LC21" s="212"/>
      <c r="LD21" s="212"/>
      <c r="LE21" s="212"/>
      <c r="LF21" s="212"/>
      <c r="LG21" s="212"/>
      <c r="LH21" s="212"/>
      <c r="LI21" s="212"/>
      <c r="LJ21" s="212"/>
      <c r="LK21" s="212"/>
      <c r="LL21" s="212"/>
      <c r="LM21" s="212"/>
      <c r="LN21" s="212"/>
      <c r="LO21" s="212"/>
      <c r="LP21" s="212"/>
      <c r="LQ21" s="212"/>
      <c r="LR21" s="212"/>
      <c r="LS21" s="212"/>
      <c r="LT21" s="212"/>
      <c r="LU21" s="212"/>
      <c r="LV21" s="212"/>
      <c r="LW21" s="212"/>
      <c r="LX21" s="212"/>
      <c r="LY21" s="212"/>
      <c r="LZ21" s="212"/>
      <c r="MA21" s="212"/>
      <c r="MB21" s="212"/>
      <c r="MC21" s="212"/>
      <c r="MD21" s="212"/>
      <c r="ME21" s="212"/>
      <c r="MF21" s="212"/>
      <c r="MG21" s="212"/>
      <c r="MH21" s="212"/>
      <c r="MI21" s="212"/>
      <c r="MJ21" s="212"/>
      <c r="MK21" s="212"/>
      <c r="ML21" s="212"/>
      <c r="MM21" s="212"/>
      <c r="MN21" s="212"/>
      <c r="MO21" s="212"/>
      <c r="MP21" s="212"/>
      <c r="MQ21" s="212"/>
      <c r="MR21" s="212"/>
      <c r="MS21" s="212"/>
      <c r="MT21" s="212"/>
      <c r="MU21" s="212"/>
      <c r="MV21" s="212"/>
      <c r="MW21" s="212"/>
      <c r="MX21" s="212"/>
      <c r="MY21" s="212"/>
      <c r="MZ21" s="212"/>
      <c r="NA21" s="212"/>
      <c r="NB21" s="212"/>
      <c r="NC21" s="212"/>
      <c r="ND21" s="212"/>
      <c r="NE21" s="212"/>
      <c r="NF21" s="212"/>
      <c r="NG21" s="212"/>
      <c r="NH21" s="212"/>
      <c r="NI21" s="212"/>
      <c r="NJ21" s="212"/>
      <c r="NK21" s="212"/>
      <c r="NL21" s="212"/>
      <c r="NM21" s="212"/>
      <c r="NN21" s="212"/>
      <c r="NO21" s="212"/>
      <c r="NP21" s="212"/>
      <c r="NQ21" s="212"/>
      <c r="NR21" s="212"/>
      <c r="NS21" s="212"/>
      <c r="NT21" s="212"/>
      <c r="NU21" s="212"/>
      <c r="NV21" s="212"/>
      <c r="NW21" s="212"/>
      <c r="NX21" s="212"/>
      <c r="NY21" s="212"/>
      <c r="NZ21" s="212"/>
      <c r="OA21" s="212"/>
      <c r="OB21" s="212"/>
      <c r="OC21" s="212"/>
      <c r="OD21" s="212"/>
      <c r="OE21" s="212"/>
      <c r="OF21" s="212"/>
      <c r="OG21" s="212"/>
      <c r="OH21" s="212"/>
      <c r="OI21" s="212"/>
      <c r="OJ21" s="212"/>
      <c r="OK21" s="212"/>
      <c r="OL21" s="212"/>
      <c r="OM21" s="212"/>
      <c r="ON21" s="212"/>
      <c r="OO21" s="212"/>
      <c r="OP21" s="212"/>
      <c r="OQ21" s="212"/>
      <c r="OR21" s="212"/>
      <c r="OS21" s="212"/>
      <c r="OT21" s="212"/>
      <c r="OU21" s="212"/>
      <c r="OV21" s="212"/>
      <c r="OW21" s="212"/>
      <c r="OX21" s="212"/>
      <c r="OY21" s="212"/>
      <c r="OZ21" s="212"/>
      <c r="PA21" s="212"/>
      <c r="PB21" s="212"/>
      <c r="PC21" s="212"/>
      <c r="PD21" s="212"/>
      <c r="PE21" s="212"/>
      <c r="PF21" s="212"/>
      <c r="PG21" s="212"/>
      <c r="PH21" s="212"/>
      <c r="PI21" s="212"/>
      <c r="PJ21" s="212"/>
      <c r="PK21" s="212"/>
      <c r="PL21" s="212"/>
      <c r="PM21" s="212"/>
      <c r="PN21" s="212"/>
      <c r="PO21" s="212"/>
      <c r="PP21" s="212"/>
      <c r="PQ21" s="212"/>
      <c r="PR21" s="212"/>
      <c r="PS21" s="212"/>
      <c r="PT21" s="212"/>
      <c r="PU21" s="212"/>
      <c r="PV21" s="212"/>
      <c r="PW21" s="212"/>
      <c r="PX21" s="212"/>
      <c r="PY21" s="212"/>
      <c r="PZ21" s="212"/>
      <c r="QA21" s="212"/>
      <c r="QB21" s="212"/>
      <c r="QC21" s="212"/>
      <c r="QD21" s="212"/>
      <c r="QE21" s="212"/>
      <c r="QF21" s="212"/>
      <c r="QG21" s="212"/>
      <c r="QH21" s="212"/>
      <c r="QI21" s="212"/>
      <c r="QJ21" s="212"/>
      <c r="QK21" s="212"/>
      <c r="QL21" s="212"/>
      <c r="QM21" s="212"/>
      <c r="QN21" s="212"/>
      <c r="QO21" s="212"/>
      <c r="QP21" s="212"/>
      <c r="QQ21" s="212"/>
      <c r="QR21" s="212"/>
      <c r="QS21" s="212"/>
      <c r="QT21" s="212"/>
      <c r="QU21" s="212"/>
      <c r="QV21" s="212"/>
      <c r="QW21" s="212"/>
      <c r="QX21" s="212"/>
      <c r="QY21" s="212"/>
      <c r="QZ21" s="212"/>
      <c r="RA21" s="212"/>
      <c r="RB21" s="212"/>
      <c r="RC21" s="212"/>
      <c r="RD21" s="212"/>
      <c r="RE21" s="212"/>
      <c r="RF21" s="212"/>
      <c r="RG21" s="212"/>
      <c r="RH21" s="212"/>
      <c r="RI21" s="212"/>
      <c r="RJ21" s="212"/>
      <c r="RK21" s="212"/>
      <c r="RL21" s="212"/>
      <c r="RM21" s="212"/>
      <c r="RN21" s="212"/>
      <c r="RO21" s="212"/>
      <c r="RP21" s="212"/>
      <c r="RQ21" s="212"/>
      <c r="RR21" s="212"/>
      <c r="RS21" s="212"/>
      <c r="RT21" s="212"/>
      <c r="RU21" s="212"/>
      <c r="RV21" s="212"/>
      <c r="RW21" s="212"/>
      <c r="RX21" s="212"/>
      <c r="RY21" s="212"/>
      <c r="RZ21" s="212"/>
      <c r="SA21" s="212"/>
      <c r="SB21" s="212"/>
      <c r="SC21" s="212"/>
      <c r="SD21" s="212"/>
      <c r="SE21" s="212"/>
      <c r="SF21" s="212"/>
      <c r="SG21" s="212"/>
      <c r="SH21" s="212"/>
      <c r="SI21" s="212"/>
      <c r="SJ21" s="212"/>
      <c r="SK21" s="212"/>
      <c r="SL21" s="212"/>
      <c r="SM21" s="212"/>
      <c r="SN21" s="212"/>
      <c r="SO21" s="212"/>
      <c r="SP21" s="212"/>
      <c r="SQ21" s="212"/>
      <c r="SR21" s="212"/>
      <c r="SS21" s="212"/>
      <c r="ST21" s="212"/>
      <c r="SU21" s="212"/>
      <c r="SV21" s="212"/>
      <c r="SW21" s="212"/>
      <c r="SX21" s="212"/>
      <c r="SY21" s="212"/>
      <c r="SZ21" s="212"/>
      <c r="TA21" s="212"/>
      <c r="TB21" s="212"/>
      <c r="TC21" s="212"/>
      <c r="TD21" s="212"/>
      <c r="TE21" s="212"/>
      <c r="TF21" s="212"/>
      <c r="TG21" s="212"/>
      <c r="TH21" s="212"/>
      <c r="TI21" s="212"/>
      <c r="TJ21" s="212"/>
      <c r="TK21" s="212"/>
      <c r="TL21" s="212"/>
      <c r="TM21" s="212"/>
      <c r="TN21" s="212"/>
      <c r="TO21" s="212"/>
      <c r="TP21" s="212"/>
      <c r="TQ21" s="212"/>
      <c r="TR21" s="212"/>
      <c r="TS21" s="212"/>
      <c r="TT21" s="212"/>
      <c r="TU21" s="212"/>
      <c r="TV21" s="212"/>
      <c r="TW21" s="212"/>
      <c r="TX21" s="212"/>
      <c r="TY21" s="212"/>
      <c r="TZ21" s="212"/>
      <c r="UA21" s="212"/>
      <c r="UB21" s="212"/>
      <c r="UC21" s="212"/>
      <c r="UD21" s="212"/>
      <c r="UE21" s="212"/>
      <c r="UF21" s="212"/>
      <c r="UG21" s="212"/>
      <c r="UH21" s="212"/>
      <c r="UI21" s="212"/>
      <c r="UJ21" s="212"/>
      <c r="UK21" s="212"/>
      <c r="UL21" s="212"/>
      <c r="UM21" s="212"/>
      <c r="UN21" s="212"/>
      <c r="UO21" s="212"/>
      <c r="UP21" s="212"/>
      <c r="UQ21" s="212"/>
      <c r="UR21" s="212"/>
      <c r="US21" s="212"/>
      <c r="UT21" s="194"/>
    </row>
    <row r="22" spans="2:566" ht="18" customHeight="1" thickBot="1" x14ac:dyDescent="0.35">
      <c r="B22" s="98">
        <v>2</v>
      </c>
      <c r="C22" s="116" t="s">
        <v>117</v>
      </c>
      <c r="D22" s="99"/>
      <c r="E22" s="99"/>
      <c r="F22" s="99"/>
      <c r="G22" s="99"/>
      <c r="H22" s="99"/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99"/>
      <c r="AA22" s="99"/>
      <c r="AB22" s="99"/>
      <c r="AC22" s="99"/>
      <c r="AD22" s="99"/>
      <c r="AE22" s="99"/>
      <c r="AF22" s="99"/>
      <c r="AG22" s="99"/>
      <c r="AH22" s="99"/>
      <c r="AI22" s="99"/>
      <c r="AJ22" s="99"/>
      <c r="AK22" s="99"/>
      <c r="AL22" s="99"/>
      <c r="AM22" s="99"/>
      <c r="AN22" s="99"/>
      <c r="AO22" s="99"/>
      <c r="AP22" s="99"/>
      <c r="AQ22" s="99"/>
      <c r="AR22" s="99"/>
      <c r="AS22" s="99"/>
      <c r="AT22" s="99"/>
      <c r="AU22" s="99"/>
      <c r="AV22" s="99"/>
      <c r="AW22" s="99"/>
      <c r="AX22" s="99"/>
      <c r="AY22" s="99"/>
      <c r="AZ22" s="99"/>
      <c r="BA22" s="99"/>
      <c r="BB22" s="99"/>
      <c r="BC22" s="99"/>
      <c r="BD22" s="99"/>
      <c r="BE22" s="99"/>
      <c r="BF22" s="99"/>
      <c r="BG22" s="99"/>
      <c r="BH22" s="99"/>
      <c r="BI22" s="216"/>
      <c r="BJ22" s="216"/>
      <c r="BK22" s="216"/>
      <c r="BL22" s="216"/>
      <c r="BM22" s="99"/>
      <c r="BN22" s="99"/>
      <c r="BO22" s="99"/>
      <c r="BP22" s="99"/>
      <c r="BQ22" s="99"/>
      <c r="BR22" s="99"/>
      <c r="BS22" s="99"/>
      <c r="BT22" s="99"/>
      <c r="BU22" s="99"/>
      <c r="BV22" s="99"/>
      <c r="BW22" s="99"/>
      <c r="BX22" s="99"/>
      <c r="BY22" s="99"/>
      <c r="BZ22" s="99"/>
      <c r="CA22" s="99"/>
      <c r="CB22" s="99"/>
      <c r="CC22" s="99"/>
      <c r="CD22" s="99"/>
      <c r="CE22" s="99"/>
      <c r="CF22" s="99"/>
      <c r="CG22" s="99"/>
      <c r="CH22" s="99"/>
      <c r="CI22" s="99"/>
      <c r="CJ22" s="99"/>
      <c r="CK22" s="99"/>
      <c r="CL22" s="99"/>
      <c r="CM22" s="99"/>
      <c r="CN22" s="99"/>
      <c r="CO22" s="99"/>
      <c r="CP22" s="99"/>
      <c r="CQ22" s="99"/>
      <c r="CR22" s="99"/>
      <c r="CS22" s="99"/>
      <c r="CT22" s="99"/>
      <c r="CU22" s="216"/>
      <c r="CV22" s="99"/>
      <c r="CW22" s="99"/>
      <c r="CX22" s="99"/>
      <c r="CY22" s="99"/>
      <c r="CZ22" s="99"/>
      <c r="DA22" s="99"/>
      <c r="DB22" s="99"/>
      <c r="DC22" s="99"/>
      <c r="DD22" s="99"/>
      <c r="DE22" s="99"/>
      <c r="DF22" s="99"/>
      <c r="DG22" s="99"/>
      <c r="DH22" s="99"/>
      <c r="DI22" s="99"/>
      <c r="DJ22" s="99"/>
      <c r="DK22" s="99"/>
      <c r="DL22" s="99"/>
      <c r="DM22" s="99"/>
      <c r="DN22" s="99"/>
      <c r="DO22" s="99"/>
      <c r="DP22" s="99"/>
      <c r="DQ22" s="99"/>
      <c r="DR22" s="99"/>
      <c r="DS22" s="99"/>
      <c r="DT22" s="99"/>
      <c r="DU22" s="99"/>
      <c r="DV22" s="99"/>
      <c r="DW22" s="99"/>
      <c r="DX22" s="99"/>
      <c r="DY22" s="99"/>
      <c r="DZ22" s="99"/>
      <c r="EA22" s="99"/>
      <c r="EB22" s="216"/>
      <c r="EC22" s="99"/>
      <c r="ED22" s="99"/>
      <c r="EE22" s="99"/>
      <c r="EF22" s="99"/>
      <c r="EG22" s="99"/>
      <c r="EH22" s="99"/>
      <c r="EI22" s="99"/>
      <c r="EJ22" s="99"/>
      <c r="EK22" s="99"/>
      <c r="EL22" s="99"/>
      <c r="EM22" s="99"/>
      <c r="EN22" s="99"/>
      <c r="EO22" s="99"/>
      <c r="EP22" s="99"/>
      <c r="EQ22" s="99"/>
      <c r="ER22" s="99"/>
      <c r="ES22" s="99"/>
      <c r="ET22" s="99"/>
      <c r="EU22" s="99"/>
      <c r="EV22" s="99"/>
      <c r="EW22" s="99"/>
      <c r="EX22" s="99"/>
      <c r="EY22" s="99"/>
      <c r="EZ22" s="99"/>
      <c r="FA22" s="99"/>
      <c r="FB22" s="99"/>
      <c r="FC22" s="99"/>
      <c r="FD22" s="99"/>
      <c r="FE22" s="99"/>
      <c r="FF22" s="99"/>
      <c r="FG22" s="99"/>
      <c r="FH22" s="99"/>
      <c r="FI22" s="99"/>
      <c r="FJ22" s="99"/>
      <c r="FK22" s="99"/>
      <c r="FL22" s="99"/>
      <c r="FM22" s="99"/>
      <c r="FN22" s="99"/>
      <c r="FO22" s="99"/>
      <c r="FP22" s="99"/>
      <c r="FQ22" s="99"/>
      <c r="FR22" s="99"/>
      <c r="FS22" s="99"/>
      <c r="FT22" s="99"/>
      <c r="FU22" s="99"/>
      <c r="FV22" s="99"/>
      <c r="FW22" s="99"/>
      <c r="FX22" s="99"/>
      <c r="FY22" s="99"/>
      <c r="FZ22" s="99"/>
      <c r="GA22" s="99"/>
      <c r="GB22" s="99"/>
      <c r="GC22" s="99"/>
      <c r="GD22" s="99"/>
      <c r="GE22" s="99"/>
      <c r="GF22" s="99"/>
      <c r="GG22" s="99"/>
      <c r="GH22" s="99"/>
      <c r="GI22" s="99"/>
      <c r="GJ22" s="99"/>
      <c r="GK22" s="99"/>
      <c r="GL22" s="99"/>
      <c r="GM22" s="99"/>
      <c r="GN22" s="99"/>
      <c r="GO22" s="99"/>
      <c r="GP22" s="99"/>
      <c r="GQ22" s="99"/>
      <c r="GR22" s="99"/>
      <c r="GS22" s="99"/>
      <c r="GT22" s="99"/>
      <c r="GU22" s="99"/>
      <c r="GV22" s="99"/>
      <c r="GW22" s="99"/>
      <c r="GX22" s="99"/>
      <c r="GY22" s="99"/>
      <c r="GZ22" s="99"/>
      <c r="HA22" s="99"/>
      <c r="HB22" s="99"/>
      <c r="HC22" s="99"/>
      <c r="HD22" s="99"/>
      <c r="HE22" s="99"/>
      <c r="HF22" s="99"/>
      <c r="HG22" s="99"/>
      <c r="HH22" s="99"/>
      <c r="HI22" s="99"/>
      <c r="HJ22" s="99"/>
      <c r="HK22" s="99"/>
      <c r="HL22" s="99"/>
      <c r="HM22" s="99"/>
      <c r="HN22" s="99"/>
      <c r="HO22" s="99"/>
      <c r="HP22" s="99"/>
      <c r="HQ22" s="99"/>
      <c r="HR22" s="99"/>
      <c r="HS22" s="99"/>
      <c r="HT22" s="99"/>
      <c r="HU22" s="99"/>
      <c r="HV22" s="99"/>
      <c r="HW22" s="99"/>
      <c r="HX22" s="99"/>
      <c r="HY22" s="99"/>
      <c r="HZ22" s="99"/>
      <c r="IA22" s="99"/>
      <c r="IB22" s="99"/>
      <c r="IC22" s="99"/>
      <c r="ID22" s="99"/>
      <c r="IE22" s="99"/>
      <c r="IF22" s="99"/>
      <c r="IG22" s="99"/>
      <c r="IH22" s="99"/>
      <c r="II22" s="99"/>
      <c r="IJ22" s="99"/>
      <c r="IK22" s="99"/>
      <c r="IL22" s="99"/>
      <c r="IM22" s="99"/>
      <c r="IN22" s="99"/>
      <c r="IO22" s="99"/>
      <c r="IP22" s="99"/>
      <c r="IQ22" s="99"/>
      <c r="IR22" s="99"/>
      <c r="IS22" s="99"/>
      <c r="IT22" s="99"/>
      <c r="IU22" s="99"/>
      <c r="IV22" s="99"/>
      <c r="IW22" s="99"/>
      <c r="IX22" s="99"/>
      <c r="IY22" s="99"/>
      <c r="IZ22" s="99"/>
      <c r="JA22" s="99"/>
      <c r="JB22" s="99"/>
      <c r="JC22" s="99"/>
      <c r="JD22" s="99"/>
      <c r="JE22" s="99"/>
      <c r="JF22" s="99"/>
      <c r="JG22" s="99"/>
      <c r="JH22" s="99"/>
      <c r="JI22" s="99"/>
      <c r="JJ22" s="99"/>
      <c r="JK22" s="99"/>
      <c r="JL22" s="99"/>
      <c r="JM22" s="99"/>
      <c r="JN22" s="99"/>
      <c r="JO22" s="99"/>
      <c r="JP22" s="99"/>
      <c r="JQ22" s="99"/>
      <c r="JR22" s="99"/>
      <c r="JS22" s="99"/>
      <c r="JT22" s="99"/>
      <c r="JU22" s="99"/>
      <c r="JV22" s="99"/>
      <c r="JW22" s="99"/>
      <c r="JX22" s="99"/>
      <c r="JY22" s="99"/>
      <c r="JZ22" s="99"/>
      <c r="KA22" s="99"/>
      <c r="KB22" s="99"/>
      <c r="KC22" s="99"/>
      <c r="KD22" s="99"/>
      <c r="KE22" s="99"/>
      <c r="KF22" s="99"/>
      <c r="KG22" s="99"/>
      <c r="KH22" s="99"/>
      <c r="KI22" s="99"/>
      <c r="KJ22" s="99"/>
      <c r="KK22" s="99"/>
      <c r="KL22" s="99"/>
      <c r="KM22" s="99"/>
      <c r="KN22" s="99"/>
      <c r="KO22" s="99"/>
      <c r="KP22" s="99"/>
      <c r="KQ22" s="99"/>
      <c r="KR22" s="99"/>
      <c r="KS22" s="99"/>
      <c r="KT22" s="99"/>
      <c r="KU22" s="99"/>
      <c r="KV22" s="99"/>
      <c r="KW22" s="99"/>
      <c r="KX22" s="99"/>
      <c r="KY22" s="99"/>
      <c r="KZ22" s="99"/>
      <c r="LA22" s="99"/>
      <c r="LB22" s="99"/>
      <c r="LC22" s="99"/>
      <c r="LD22" s="99"/>
      <c r="LE22" s="99"/>
      <c r="LF22" s="99"/>
      <c r="LG22" s="99"/>
      <c r="LH22" s="99"/>
      <c r="LI22" s="99"/>
      <c r="LJ22" s="99"/>
      <c r="LK22" s="99"/>
      <c r="LL22" s="99"/>
      <c r="LM22" s="99"/>
      <c r="LN22" s="99"/>
      <c r="LO22" s="99"/>
      <c r="LP22" s="99"/>
      <c r="LQ22" s="99"/>
      <c r="LR22" s="99"/>
      <c r="LS22" s="99"/>
      <c r="LT22" s="99"/>
      <c r="LU22" s="99"/>
      <c r="LV22" s="99"/>
      <c r="LW22" s="99"/>
      <c r="LX22" s="99"/>
      <c r="LY22" s="99"/>
      <c r="LZ22" s="99"/>
      <c r="MA22" s="99"/>
      <c r="MB22" s="99"/>
      <c r="MC22" s="99"/>
      <c r="MD22" s="99"/>
      <c r="ME22" s="99"/>
      <c r="MF22" s="99"/>
      <c r="MG22" s="99"/>
      <c r="MH22" s="99"/>
      <c r="MI22" s="99"/>
      <c r="MJ22" s="99"/>
      <c r="MK22" s="99"/>
      <c r="ML22" s="99"/>
      <c r="MM22" s="99"/>
      <c r="MN22" s="99"/>
      <c r="MO22" s="99"/>
      <c r="MP22" s="99"/>
      <c r="MQ22" s="99"/>
      <c r="MR22" s="99"/>
      <c r="MS22" s="99"/>
      <c r="MT22" s="99"/>
      <c r="MU22" s="99"/>
      <c r="MV22" s="99"/>
      <c r="MW22" s="99"/>
      <c r="MX22" s="99"/>
      <c r="MY22" s="99"/>
      <c r="MZ22" s="99"/>
      <c r="NA22" s="99"/>
      <c r="NB22" s="99"/>
      <c r="NC22" s="99"/>
      <c r="ND22" s="99"/>
      <c r="NE22" s="99"/>
      <c r="NF22" s="99"/>
      <c r="NG22" s="99"/>
      <c r="NH22" s="99"/>
      <c r="NI22" s="99"/>
      <c r="NJ22" s="99"/>
      <c r="NK22" s="99"/>
      <c r="NL22" s="99"/>
      <c r="NM22" s="99"/>
      <c r="NN22" s="99"/>
      <c r="NO22" s="99"/>
      <c r="NP22" s="99"/>
      <c r="NQ22" s="99"/>
      <c r="NR22" s="99"/>
      <c r="NS22" s="99"/>
      <c r="NT22" s="99"/>
      <c r="NU22" s="99"/>
      <c r="NV22" s="99"/>
      <c r="NW22" s="99"/>
      <c r="NX22" s="99"/>
      <c r="NY22" s="99"/>
      <c r="NZ22" s="99"/>
      <c r="OA22" s="99"/>
      <c r="OB22" s="99"/>
      <c r="OC22" s="99"/>
      <c r="OD22" s="99"/>
      <c r="OE22" s="99"/>
      <c r="OF22" s="99"/>
      <c r="OG22" s="99"/>
      <c r="OH22" s="99"/>
      <c r="OI22" s="99"/>
      <c r="OJ22" s="99"/>
      <c r="OK22" s="99"/>
      <c r="OL22" s="99"/>
      <c r="OM22" s="99"/>
      <c r="ON22" s="99"/>
      <c r="OO22" s="99"/>
      <c r="OP22" s="99"/>
      <c r="OQ22" s="99"/>
      <c r="OR22" s="99"/>
      <c r="OS22" s="99"/>
      <c r="OT22" s="99"/>
      <c r="OU22" s="99"/>
      <c r="OV22" s="99"/>
      <c r="OW22" s="99"/>
      <c r="OX22" s="99"/>
      <c r="OY22" s="99"/>
      <c r="OZ22" s="99"/>
      <c r="PA22" s="99"/>
      <c r="PB22" s="99"/>
      <c r="PC22" s="99"/>
      <c r="PD22" s="99"/>
      <c r="PE22" s="99"/>
      <c r="PF22" s="99"/>
      <c r="PG22" s="99"/>
      <c r="PH22" s="99"/>
      <c r="PI22" s="99"/>
      <c r="PJ22" s="99"/>
      <c r="PK22" s="99"/>
      <c r="PL22" s="99"/>
      <c r="PM22" s="99"/>
      <c r="PN22" s="99"/>
      <c r="PO22" s="99"/>
      <c r="PP22" s="99"/>
      <c r="PQ22" s="99"/>
      <c r="PR22" s="99"/>
      <c r="PS22" s="99"/>
      <c r="PT22" s="99"/>
      <c r="PU22" s="99"/>
      <c r="PV22" s="99"/>
      <c r="PW22" s="99"/>
      <c r="PX22" s="99"/>
      <c r="PY22" s="99"/>
      <c r="PZ22" s="99"/>
      <c r="QA22" s="99"/>
      <c r="QB22" s="99"/>
      <c r="QC22" s="99"/>
      <c r="QD22" s="99"/>
      <c r="QE22" s="99"/>
      <c r="QF22" s="99"/>
      <c r="QG22" s="99"/>
      <c r="QH22" s="99"/>
      <c r="QI22" s="99"/>
      <c r="QJ22" s="99"/>
      <c r="QK22" s="99"/>
      <c r="QL22" s="99"/>
      <c r="QM22" s="99"/>
      <c r="QN22" s="99"/>
      <c r="QO22" s="99"/>
      <c r="QP22" s="99"/>
      <c r="QQ22" s="99"/>
      <c r="QR22" s="99"/>
      <c r="QS22" s="99"/>
      <c r="QT22" s="99"/>
      <c r="QU22" s="99"/>
      <c r="QV22" s="99"/>
      <c r="QW22" s="99"/>
      <c r="QX22" s="99"/>
      <c r="QY22" s="99"/>
      <c r="QZ22" s="99"/>
      <c r="RA22" s="99"/>
      <c r="RB22" s="99"/>
      <c r="RC22" s="99"/>
      <c r="RD22" s="99"/>
      <c r="RE22" s="99"/>
      <c r="RF22" s="99"/>
      <c r="RG22" s="99"/>
      <c r="RH22" s="99"/>
      <c r="RI22" s="99"/>
      <c r="RJ22" s="99"/>
      <c r="RK22" s="99"/>
      <c r="RL22" s="99"/>
      <c r="RM22" s="99"/>
      <c r="RN22" s="99"/>
      <c r="RO22" s="99"/>
      <c r="RP22" s="99"/>
      <c r="RQ22" s="99"/>
      <c r="RR22" s="99"/>
      <c r="RS22" s="99"/>
      <c r="RT22" s="99"/>
      <c r="RU22" s="99"/>
      <c r="RV22" s="99"/>
      <c r="RW22" s="99"/>
      <c r="RX22" s="99"/>
      <c r="RY22" s="99"/>
      <c r="RZ22" s="99"/>
      <c r="SA22" s="99"/>
      <c r="SB22" s="99"/>
      <c r="SC22" s="99"/>
      <c r="SD22" s="99"/>
      <c r="SE22" s="99"/>
      <c r="SF22" s="99"/>
      <c r="SG22" s="99"/>
      <c r="SH22" s="99"/>
      <c r="SI22" s="99"/>
      <c r="SJ22" s="99"/>
      <c r="SK22" s="99"/>
      <c r="SL22" s="99"/>
      <c r="SM22" s="99"/>
      <c r="SN22" s="99"/>
      <c r="SO22" s="99"/>
      <c r="SP22" s="99"/>
      <c r="SQ22" s="99"/>
      <c r="SR22" s="99"/>
      <c r="SS22" s="99"/>
      <c r="ST22" s="99"/>
      <c r="SU22" s="99"/>
      <c r="SV22" s="99"/>
      <c r="SW22" s="99"/>
      <c r="SX22" s="99"/>
      <c r="SY22" s="99"/>
      <c r="SZ22" s="99"/>
      <c r="TA22" s="99"/>
      <c r="TB22" s="99"/>
      <c r="TC22" s="99"/>
      <c r="TD22" s="99"/>
      <c r="TE22" s="99"/>
      <c r="TF22" s="99"/>
      <c r="TG22" s="99"/>
      <c r="TH22" s="99"/>
      <c r="TI22" s="99"/>
      <c r="TJ22" s="99"/>
      <c r="TK22" s="99"/>
      <c r="TL22" s="99"/>
      <c r="TM22" s="99"/>
      <c r="TN22" s="99"/>
      <c r="TO22" s="99"/>
      <c r="TP22" s="99"/>
      <c r="TQ22" s="99"/>
      <c r="TR22" s="99"/>
      <c r="TS22" s="99"/>
      <c r="TT22" s="99"/>
      <c r="TU22" s="99"/>
      <c r="TV22" s="99"/>
      <c r="TW22" s="99"/>
      <c r="TX22" s="99"/>
      <c r="TY22" s="99"/>
      <c r="TZ22" s="99"/>
      <c r="UA22" s="99"/>
      <c r="UB22" s="99"/>
      <c r="UC22" s="99"/>
      <c r="UD22" s="99"/>
      <c r="UE22" s="99"/>
      <c r="UF22" s="99"/>
      <c r="UG22" s="99"/>
      <c r="UH22" s="99"/>
      <c r="UI22" s="99"/>
      <c r="UJ22" s="99"/>
      <c r="UK22" s="99"/>
      <c r="UL22" s="99"/>
      <c r="UM22" s="99"/>
      <c r="UN22" s="99"/>
      <c r="UO22" s="99"/>
      <c r="UP22" s="99"/>
      <c r="UQ22" s="99"/>
      <c r="UR22" s="99"/>
      <c r="US22" s="99"/>
      <c r="UT22" s="194"/>
    </row>
    <row r="23" spans="2:566" ht="15.75" customHeight="1" x14ac:dyDescent="0.3">
      <c r="B23" s="117" t="s">
        <v>76</v>
      </c>
      <c r="C23" s="101" t="s">
        <v>161</v>
      </c>
      <c r="D23" s="102" t="str">
        <f t="shared" ref="D23:D47" si="28">IFERROR(E23/$E$55,"")</f>
        <v/>
      </c>
      <c r="E23" s="103" t="str">
        <f t="shared" ref="E23:E47" si="29">IFERROR(AVERAGE(F23:US23),"")</f>
        <v/>
      </c>
      <c r="F23" s="212"/>
      <c r="G23" s="212"/>
      <c r="H23" s="212"/>
      <c r="I23" s="212"/>
      <c r="J23" s="212"/>
      <c r="K23" s="212"/>
      <c r="L23" s="212"/>
      <c r="M23" s="212"/>
      <c r="N23" s="212"/>
      <c r="O23" s="212"/>
      <c r="P23" s="213"/>
      <c r="Q23" s="213"/>
      <c r="R23" s="212"/>
      <c r="S23" s="212"/>
      <c r="T23" s="212"/>
      <c r="U23" s="212"/>
      <c r="V23" s="212"/>
      <c r="W23" s="213"/>
      <c r="X23" s="213"/>
      <c r="Y23" s="212"/>
      <c r="Z23" s="212"/>
      <c r="AA23" s="212"/>
      <c r="AB23" s="213"/>
      <c r="AC23" s="213"/>
      <c r="AD23" s="213"/>
      <c r="AE23" s="213"/>
      <c r="AF23" s="213"/>
      <c r="AG23" s="213"/>
      <c r="AH23" s="212"/>
      <c r="AI23" s="212"/>
      <c r="AJ23" s="212"/>
      <c r="AK23" s="213"/>
      <c r="AL23" s="213"/>
      <c r="AM23" s="212"/>
      <c r="AN23" s="212"/>
      <c r="AO23" s="212"/>
      <c r="AP23" s="212"/>
      <c r="AQ23" s="212"/>
      <c r="AR23" s="212"/>
      <c r="AS23" s="212"/>
      <c r="AT23" s="212"/>
      <c r="AU23" s="212"/>
      <c r="AV23" s="212"/>
      <c r="AW23" s="212"/>
      <c r="AX23" s="212"/>
      <c r="AY23" s="212"/>
      <c r="AZ23" s="212"/>
      <c r="BA23" s="212"/>
      <c r="BB23" s="212"/>
      <c r="BC23" s="212"/>
      <c r="BD23" s="212"/>
      <c r="BE23" s="212"/>
      <c r="BF23" s="212"/>
      <c r="BG23" s="212"/>
      <c r="BH23" s="212"/>
      <c r="BI23" s="214"/>
      <c r="BJ23" s="214"/>
      <c r="BK23" s="214"/>
      <c r="BL23" s="214"/>
      <c r="BM23" s="212"/>
      <c r="BN23" s="212"/>
      <c r="BO23" s="212"/>
      <c r="BP23" s="212"/>
      <c r="BQ23" s="212"/>
      <c r="BR23" s="212"/>
      <c r="BS23" s="212"/>
      <c r="BT23" s="212"/>
      <c r="BU23" s="212"/>
      <c r="BV23" s="212"/>
      <c r="BW23" s="212"/>
      <c r="BX23" s="212"/>
      <c r="BY23" s="212"/>
      <c r="BZ23" s="212"/>
      <c r="CA23" s="212"/>
      <c r="CB23" s="212"/>
      <c r="CC23" s="212"/>
      <c r="CD23" s="212"/>
      <c r="CE23" s="212"/>
      <c r="CF23" s="212"/>
      <c r="CG23" s="212"/>
      <c r="CH23" s="212"/>
      <c r="CI23" s="212"/>
      <c r="CJ23" s="212"/>
      <c r="CK23" s="212"/>
      <c r="CL23" s="212"/>
      <c r="CM23" s="212"/>
      <c r="CN23" s="212"/>
      <c r="CO23" s="212"/>
      <c r="CP23" s="212"/>
      <c r="CQ23" s="212"/>
      <c r="CR23" s="212"/>
      <c r="CS23" s="212"/>
      <c r="CT23" s="212"/>
      <c r="CU23" s="215"/>
      <c r="CV23" s="212"/>
      <c r="CW23" s="212"/>
      <c r="CX23" s="212"/>
      <c r="CY23" s="212"/>
      <c r="CZ23" s="212"/>
      <c r="DA23" s="212"/>
      <c r="DB23" s="212"/>
      <c r="DC23" s="212"/>
      <c r="DD23" s="212"/>
      <c r="DE23" s="212"/>
      <c r="DF23" s="212"/>
      <c r="DG23" s="212"/>
      <c r="DH23" s="212"/>
      <c r="DI23" s="212"/>
      <c r="DJ23" s="212"/>
      <c r="DK23" s="212"/>
      <c r="DL23" s="212"/>
      <c r="DM23" s="212"/>
      <c r="DN23" s="212"/>
      <c r="DO23" s="212"/>
      <c r="DP23" s="212"/>
      <c r="DQ23" s="212"/>
      <c r="DR23" s="212"/>
      <c r="DS23" s="212"/>
      <c r="DT23" s="212"/>
      <c r="DU23" s="212"/>
      <c r="DV23" s="212"/>
      <c r="DW23" s="212"/>
      <c r="DX23" s="212"/>
      <c r="DY23" s="212"/>
      <c r="DZ23" s="212"/>
      <c r="EA23" s="212"/>
      <c r="EB23" s="215"/>
      <c r="EC23" s="215"/>
      <c r="ED23" s="212"/>
      <c r="EE23" s="212"/>
      <c r="EF23" s="212"/>
      <c r="EG23" s="212"/>
      <c r="EH23" s="212"/>
      <c r="EI23" s="212"/>
      <c r="EJ23" s="212"/>
      <c r="EK23" s="212"/>
      <c r="EL23" s="212"/>
      <c r="EM23" s="212"/>
      <c r="EN23" s="212"/>
      <c r="EO23" s="212"/>
      <c r="EP23" s="212"/>
      <c r="EQ23" s="212"/>
      <c r="ER23" s="212"/>
      <c r="ES23" s="212"/>
      <c r="ET23" s="212"/>
      <c r="EU23" s="212"/>
      <c r="EV23" s="212"/>
      <c r="EW23" s="212"/>
      <c r="EX23" s="212"/>
      <c r="EY23" s="212"/>
      <c r="EZ23" s="212"/>
      <c r="FA23" s="212"/>
      <c r="FB23" s="212"/>
      <c r="FC23" s="212"/>
      <c r="FD23" s="212"/>
      <c r="FE23" s="212"/>
      <c r="FF23" s="212"/>
      <c r="FG23" s="212"/>
      <c r="FH23" s="212"/>
      <c r="FI23" s="212"/>
      <c r="FJ23" s="212"/>
      <c r="FK23" s="212"/>
      <c r="FL23" s="212"/>
      <c r="FM23" s="212"/>
      <c r="FN23" s="212"/>
      <c r="FO23" s="212"/>
      <c r="FP23" s="212"/>
      <c r="FQ23" s="212"/>
      <c r="FR23" s="212"/>
      <c r="FS23" s="212"/>
      <c r="FT23" s="212"/>
      <c r="FU23" s="212"/>
      <c r="FV23" s="212"/>
      <c r="FW23" s="212"/>
      <c r="FX23" s="212"/>
      <c r="FY23" s="212"/>
      <c r="FZ23" s="212"/>
      <c r="GA23" s="212"/>
      <c r="GB23" s="212"/>
      <c r="GC23" s="212"/>
      <c r="GD23" s="212"/>
      <c r="GE23" s="212"/>
      <c r="GF23" s="212"/>
      <c r="GG23" s="212"/>
      <c r="GH23" s="212"/>
      <c r="GI23" s="212"/>
      <c r="GJ23" s="212"/>
      <c r="GK23" s="212"/>
      <c r="GL23" s="212"/>
      <c r="GM23" s="212"/>
      <c r="GN23" s="212"/>
      <c r="GO23" s="212"/>
      <c r="GP23" s="212"/>
      <c r="GQ23" s="212"/>
      <c r="GR23" s="212"/>
      <c r="GS23" s="212"/>
      <c r="GT23" s="212"/>
      <c r="GU23" s="212"/>
      <c r="GV23" s="212"/>
      <c r="GW23" s="212"/>
      <c r="GX23" s="212"/>
      <c r="GY23" s="212"/>
      <c r="GZ23" s="212"/>
      <c r="HA23" s="212"/>
      <c r="HB23" s="212"/>
      <c r="HC23" s="212"/>
      <c r="HD23" s="212"/>
      <c r="HE23" s="212"/>
      <c r="HF23" s="212"/>
      <c r="HG23" s="212"/>
      <c r="HH23" s="212"/>
      <c r="HI23" s="212"/>
      <c r="HJ23" s="212"/>
      <c r="HK23" s="212"/>
      <c r="HL23" s="212"/>
      <c r="HM23" s="212"/>
      <c r="HN23" s="212"/>
      <c r="HO23" s="212"/>
      <c r="HP23" s="212"/>
      <c r="HQ23" s="212"/>
      <c r="HR23" s="212"/>
      <c r="HS23" s="212"/>
      <c r="HT23" s="212"/>
      <c r="HU23" s="212"/>
      <c r="HV23" s="212"/>
      <c r="HW23" s="212"/>
      <c r="HX23" s="212"/>
      <c r="HY23" s="212"/>
      <c r="HZ23" s="212"/>
      <c r="IA23" s="212"/>
      <c r="IB23" s="212"/>
      <c r="IC23" s="212"/>
      <c r="ID23" s="212"/>
      <c r="IE23" s="212"/>
      <c r="IF23" s="212"/>
      <c r="IG23" s="212"/>
      <c r="IH23" s="212"/>
      <c r="II23" s="212"/>
      <c r="IJ23" s="212"/>
      <c r="IK23" s="212"/>
      <c r="IL23" s="212"/>
      <c r="IM23" s="212"/>
      <c r="IN23" s="212"/>
      <c r="IO23" s="212"/>
      <c r="IP23" s="212"/>
      <c r="IQ23" s="212"/>
      <c r="IR23" s="212"/>
      <c r="IS23" s="212"/>
      <c r="IT23" s="212"/>
      <c r="IU23" s="212"/>
      <c r="IV23" s="212"/>
      <c r="IW23" s="212"/>
      <c r="IX23" s="212"/>
      <c r="IY23" s="212"/>
      <c r="IZ23" s="212"/>
      <c r="JA23" s="212"/>
      <c r="JB23" s="212"/>
      <c r="JC23" s="212"/>
      <c r="JD23" s="212"/>
      <c r="JE23" s="212"/>
      <c r="JF23" s="212"/>
      <c r="JG23" s="212"/>
      <c r="JH23" s="212"/>
      <c r="JI23" s="212"/>
      <c r="JJ23" s="212"/>
      <c r="JK23" s="212"/>
      <c r="JL23" s="212"/>
      <c r="JM23" s="212"/>
      <c r="JN23" s="212"/>
      <c r="JO23" s="212"/>
      <c r="JP23" s="212"/>
      <c r="JQ23" s="212"/>
      <c r="JR23" s="212"/>
      <c r="JS23" s="212"/>
      <c r="JT23" s="212"/>
      <c r="JU23" s="212"/>
      <c r="JV23" s="212"/>
      <c r="JW23" s="212"/>
      <c r="JX23" s="212"/>
      <c r="JY23" s="212"/>
      <c r="JZ23" s="212"/>
      <c r="KA23" s="212"/>
      <c r="KB23" s="212"/>
      <c r="KC23" s="212"/>
      <c r="KD23" s="212"/>
      <c r="KE23" s="212"/>
      <c r="KF23" s="212"/>
      <c r="KG23" s="212"/>
      <c r="KH23" s="212"/>
      <c r="KI23" s="212"/>
      <c r="KJ23" s="212"/>
      <c r="KK23" s="212"/>
      <c r="KL23" s="212"/>
      <c r="KM23" s="212"/>
      <c r="KN23" s="212"/>
      <c r="KO23" s="212"/>
      <c r="KP23" s="212"/>
      <c r="KQ23" s="212"/>
      <c r="KR23" s="212"/>
      <c r="KS23" s="212"/>
      <c r="KT23" s="212"/>
      <c r="KU23" s="212"/>
      <c r="KV23" s="212"/>
      <c r="KW23" s="212"/>
      <c r="KX23" s="212"/>
      <c r="KY23" s="212"/>
      <c r="KZ23" s="212"/>
      <c r="LA23" s="212"/>
      <c r="LB23" s="212"/>
      <c r="LC23" s="212"/>
      <c r="LD23" s="212"/>
      <c r="LE23" s="212"/>
      <c r="LF23" s="212"/>
      <c r="LG23" s="212"/>
      <c r="LH23" s="212"/>
      <c r="LI23" s="212"/>
      <c r="LJ23" s="212"/>
      <c r="LK23" s="212"/>
      <c r="LL23" s="212"/>
      <c r="LM23" s="212"/>
      <c r="LN23" s="212"/>
      <c r="LO23" s="212"/>
      <c r="LP23" s="212"/>
      <c r="LQ23" s="212"/>
      <c r="LR23" s="212"/>
      <c r="LS23" s="212"/>
      <c r="LT23" s="212"/>
      <c r="LU23" s="212"/>
      <c r="LV23" s="212"/>
      <c r="LW23" s="212"/>
      <c r="LX23" s="212"/>
      <c r="LY23" s="212"/>
      <c r="LZ23" s="212"/>
      <c r="MA23" s="212"/>
      <c r="MB23" s="212"/>
      <c r="MC23" s="212"/>
      <c r="MD23" s="212"/>
      <c r="ME23" s="212"/>
      <c r="MF23" s="212"/>
      <c r="MG23" s="212"/>
      <c r="MH23" s="212"/>
      <c r="MI23" s="212"/>
      <c r="MJ23" s="212"/>
      <c r="MK23" s="212"/>
      <c r="ML23" s="212"/>
      <c r="MM23" s="212"/>
      <c r="MN23" s="212"/>
      <c r="MO23" s="212"/>
      <c r="MP23" s="212"/>
      <c r="MQ23" s="212"/>
      <c r="MR23" s="212"/>
      <c r="MS23" s="212"/>
      <c r="MT23" s="212"/>
      <c r="MU23" s="212"/>
      <c r="MV23" s="212"/>
      <c r="MW23" s="212"/>
      <c r="MX23" s="212"/>
      <c r="MY23" s="212"/>
      <c r="MZ23" s="212"/>
      <c r="NA23" s="212"/>
      <c r="NB23" s="212"/>
      <c r="NC23" s="212"/>
      <c r="ND23" s="212"/>
      <c r="NE23" s="212"/>
      <c r="NF23" s="212"/>
      <c r="NG23" s="212"/>
      <c r="NH23" s="212"/>
      <c r="NI23" s="212"/>
      <c r="NJ23" s="212"/>
      <c r="NK23" s="212"/>
      <c r="NL23" s="212"/>
      <c r="NM23" s="212"/>
      <c r="NN23" s="212"/>
      <c r="NO23" s="212"/>
      <c r="NP23" s="212"/>
      <c r="NQ23" s="212"/>
      <c r="NR23" s="212"/>
      <c r="NS23" s="212"/>
      <c r="NT23" s="212"/>
      <c r="NU23" s="212"/>
      <c r="NV23" s="212"/>
      <c r="NW23" s="212"/>
      <c r="NX23" s="212"/>
      <c r="NY23" s="212"/>
      <c r="NZ23" s="212"/>
      <c r="OA23" s="212"/>
      <c r="OB23" s="212"/>
      <c r="OC23" s="212"/>
      <c r="OD23" s="212"/>
      <c r="OE23" s="212"/>
      <c r="OF23" s="212"/>
      <c r="OG23" s="212"/>
      <c r="OH23" s="212"/>
      <c r="OI23" s="212"/>
      <c r="OJ23" s="212"/>
      <c r="OK23" s="212"/>
      <c r="OL23" s="212"/>
      <c r="OM23" s="212"/>
      <c r="ON23" s="212"/>
      <c r="OO23" s="212"/>
      <c r="OP23" s="212"/>
      <c r="OQ23" s="212"/>
      <c r="OR23" s="212"/>
      <c r="OS23" s="212"/>
      <c r="OT23" s="212"/>
      <c r="OU23" s="212"/>
      <c r="OV23" s="212"/>
      <c r="OW23" s="212"/>
      <c r="OX23" s="212"/>
      <c r="OY23" s="212"/>
      <c r="OZ23" s="212"/>
      <c r="PA23" s="212"/>
      <c r="PB23" s="212"/>
      <c r="PC23" s="212"/>
      <c r="PD23" s="212"/>
      <c r="PE23" s="212"/>
      <c r="PF23" s="212"/>
      <c r="PG23" s="212"/>
      <c r="PH23" s="212"/>
      <c r="PI23" s="212"/>
      <c r="PJ23" s="212"/>
      <c r="PK23" s="212"/>
      <c r="PL23" s="212"/>
      <c r="PM23" s="212"/>
      <c r="PN23" s="212"/>
      <c r="PO23" s="212"/>
      <c r="PP23" s="212"/>
      <c r="PQ23" s="212"/>
      <c r="PR23" s="212"/>
      <c r="PS23" s="212"/>
      <c r="PT23" s="212"/>
      <c r="PU23" s="212"/>
      <c r="PV23" s="212"/>
      <c r="PW23" s="212"/>
      <c r="PX23" s="212"/>
      <c r="PY23" s="212"/>
      <c r="PZ23" s="212"/>
      <c r="QA23" s="212"/>
      <c r="QB23" s="212"/>
      <c r="QC23" s="212"/>
      <c r="QD23" s="212"/>
      <c r="QE23" s="212"/>
      <c r="QF23" s="212"/>
      <c r="QG23" s="212"/>
      <c r="QH23" s="212"/>
      <c r="QI23" s="212"/>
      <c r="QJ23" s="212"/>
      <c r="QK23" s="212"/>
      <c r="QL23" s="212"/>
      <c r="QM23" s="212"/>
      <c r="QN23" s="212"/>
      <c r="QO23" s="212"/>
      <c r="QP23" s="212"/>
      <c r="QQ23" s="212"/>
      <c r="QR23" s="212"/>
      <c r="QS23" s="212"/>
      <c r="QT23" s="212"/>
      <c r="QU23" s="212"/>
      <c r="QV23" s="212"/>
      <c r="QW23" s="212"/>
      <c r="QX23" s="212"/>
      <c r="QY23" s="212"/>
      <c r="QZ23" s="212"/>
      <c r="RA23" s="212"/>
      <c r="RB23" s="212"/>
      <c r="RC23" s="212"/>
      <c r="RD23" s="212"/>
      <c r="RE23" s="212"/>
      <c r="RF23" s="212"/>
      <c r="RG23" s="212"/>
      <c r="RH23" s="212"/>
      <c r="RI23" s="212"/>
      <c r="RJ23" s="212"/>
      <c r="RK23" s="212"/>
      <c r="RL23" s="212"/>
      <c r="RM23" s="212"/>
      <c r="RN23" s="212"/>
      <c r="RO23" s="212"/>
      <c r="RP23" s="212"/>
      <c r="RQ23" s="212"/>
      <c r="RR23" s="212"/>
      <c r="RS23" s="212"/>
      <c r="RT23" s="212"/>
      <c r="RU23" s="212"/>
      <c r="RV23" s="212"/>
      <c r="RW23" s="212"/>
      <c r="RX23" s="212"/>
      <c r="RY23" s="212"/>
      <c r="RZ23" s="212"/>
      <c r="SA23" s="212"/>
      <c r="SB23" s="212"/>
      <c r="SC23" s="212"/>
      <c r="SD23" s="212"/>
      <c r="SE23" s="212"/>
      <c r="SF23" s="212"/>
      <c r="SG23" s="212"/>
      <c r="SH23" s="212"/>
      <c r="SI23" s="212"/>
      <c r="SJ23" s="212"/>
      <c r="SK23" s="212"/>
      <c r="SL23" s="212"/>
      <c r="SM23" s="212"/>
      <c r="SN23" s="212"/>
      <c r="SO23" s="212"/>
      <c r="SP23" s="212"/>
      <c r="SQ23" s="212"/>
      <c r="SR23" s="212"/>
      <c r="SS23" s="212"/>
      <c r="ST23" s="212"/>
      <c r="SU23" s="212"/>
      <c r="SV23" s="212"/>
      <c r="SW23" s="212"/>
      <c r="SX23" s="212"/>
      <c r="SY23" s="212"/>
      <c r="SZ23" s="212"/>
      <c r="TA23" s="212"/>
      <c r="TB23" s="212"/>
      <c r="TC23" s="212"/>
      <c r="TD23" s="212"/>
      <c r="TE23" s="212"/>
      <c r="TF23" s="212"/>
      <c r="TG23" s="212"/>
      <c r="TH23" s="212"/>
      <c r="TI23" s="212"/>
      <c r="TJ23" s="212"/>
      <c r="TK23" s="212"/>
      <c r="TL23" s="212"/>
      <c r="TM23" s="212"/>
      <c r="TN23" s="212"/>
      <c r="TO23" s="212"/>
      <c r="TP23" s="212"/>
      <c r="TQ23" s="212"/>
      <c r="TR23" s="212"/>
      <c r="TS23" s="212"/>
      <c r="TT23" s="212"/>
      <c r="TU23" s="212"/>
      <c r="TV23" s="212"/>
      <c r="TW23" s="212"/>
      <c r="TX23" s="212"/>
      <c r="TY23" s="212"/>
      <c r="TZ23" s="212"/>
      <c r="UA23" s="212"/>
      <c r="UB23" s="212"/>
      <c r="UC23" s="212"/>
      <c r="UD23" s="212"/>
      <c r="UE23" s="212"/>
      <c r="UF23" s="212"/>
      <c r="UG23" s="212"/>
      <c r="UH23" s="212"/>
      <c r="UI23" s="212"/>
      <c r="UJ23" s="212"/>
      <c r="UK23" s="212"/>
      <c r="UL23" s="212"/>
      <c r="UM23" s="212"/>
      <c r="UN23" s="212"/>
      <c r="UO23" s="212"/>
      <c r="UP23" s="212"/>
      <c r="UQ23" s="212"/>
      <c r="UR23" s="212"/>
      <c r="US23" s="212"/>
      <c r="UT23" s="194"/>
    </row>
    <row r="24" spans="2:566" ht="15.75" customHeight="1" x14ac:dyDescent="0.3">
      <c r="B24" s="117" t="s">
        <v>75</v>
      </c>
      <c r="C24" s="107" t="s">
        <v>74</v>
      </c>
      <c r="D24" s="102" t="str">
        <f t="shared" si="28"/>
        <v/>
      </c>
      <c r="E24" s="103" t="str">
        <f t="shared" si="29"/>
        <v/>
      </c>
      <c r="F24" s="212"/>
      <c r="G24" s="212"/>
      <c r="H24" s="212"/>
      <c r="I24" s="212"/>
      <c r="J24" s="212"/>
      <c r="K24" s="212"/>
      <c r="L24" s="212"/>
      <c r="M24" s="212"/>
      <c r="N24" s="212"/>
      <c r="O24" s="212"/>
      <c r="P24" s="213"/>
      <c r="Q24" s="213"/>
      <c r="R24" s="212"/>
      <c r="S24" s="212"/>
      <c r="T24" s="212"/>
      <c r="U24" s="212"/>
      <c r="V24" s="212"/>
      <c r="W24" s="213"/>
      <c r="X24" s="213"/>
      <c r="Y24" s="212"/>
      <c r="Z24" s="212"/>
      <c r="AA24" s="212"/>
      <c r="AB24" s="213"/>
      <c r="AC24" s="213"/>
      <c r="AD24" s="213"/>
      <c r="AE24" s="213"/>
      <c r="AF24" s="213"/>
      <c r="AG24" s="213"/>
      <c r="AH24" s="212"/>
      <c r="AI24" s="212"/>
      <c r="AJ24" s="212"/>
      <c r="AK24" s="213"/>
      <c r="AL24" s="213"/>
      <c r="AM24" s="212"/>
      <c r="AN24" s="212"/>
      <c r="AO24" s="212"/>
      <c r="AP24" s="212"/>
      <c r="AQ24" s="212"/>
      <c r="AR24" s="212"/>
      <c r="AS24" s="212"/>
      <c r="AT24" s="212"/>
      <c r="AU24" s="212"/>
      <c r="AV24" s="212"/>
      <c r="AW24" s="212"/>
      <c r="AX24" s="212"/>
      <c r="AY24" s="212"/>
      <c r="AZ24" s="212"/>
      <c r="BA24" s="212"/>
      <c r="BB24" s="212"/>
      <c r="BC24" s="212"/>
      <c r="BD24" s="212"/>
      <c r="BE24" s="212"/>
      <c r="BF24" s="212"/>
      <c r="BG24" s="212"/>
      <c r="BH24" s="212"/>
      <c r="BI24" s="214"/>
      <c r="BJ24" s="214"/>
      <c r="BK24" s="214"/>
      <c r="BL24" s="214"/>
      <c r="BM24" s="212"/>
      <c r="BN24" s="212"/>
      <c r="BO24" s="212"/>
      <c r="BP24" s="212"/>
      <c r="BQ24" s="212"/>
      <c r="BR24" s="212"/>
      <c r="BS24" s="212"/>
      <c r="BT24" s="212"/>
      <c r="BU24" s="212"/>
      <c r="BV24" s="212"/>
      <c r="BW24" s="212"/>
      <c r="BX24" s="212"/>
      <c r="BY24" s="212"/>
      <c r="BZ24" s="212"/>
      <c r="CA24" s="212"/>
      <c r="CB24" s="212"/>
      <c r="CC24" s="212"/>
      <c r="CD24" s="212"/>
      <c r="CE24" s="212"/>
      <c r="CF24" s="212"/>
      <c r="CG24" s="212"/>
      <c r="CH24" s="212"/>
      <c r="CI24" s="212"/>
      <c r="CJ24" s="212"/>
      <c r="CK24" s="212"/>
      <c r="CL24" s="212"/>
      <c r="CM24" s="212"/>
      <c r="CN24" s="212"/>
      <c r="CO24" s="212"/>
      <c r="CP24" s="212"/>
      <c r="CQ24" s="212"/>
      <c r="CR24" s="212"/>
      <c r="CS24" s="212"/>
      <c r="CT24" s="212"/>
      <c r="CU24" s="214"/>
      <c r="CV24" s="212"/>
      <c r="CW24" s="212"/>
      <c r="CX24" s="212"/>
      <c r="CY24" s="212"/>
      <c r="CZ24" s="212"/>
      <c r="DA24" s="212"/>
      <c r="DB24" s="212"/>
      <c r="DC24" s="212"/>
      <c r="DD24" s="212"/>
      <c r="DE24" s="212"/>
      <c r="DF24" s="212"/>
      <c r="DG24" s="212"/>
      <c r="DH24" s="212"/>
      <c r="DI24" s="212"/>
      <c r="DJ24" s="212"/>
      <c r="DK24" s="212"/>
      <c r="DL24" s="212"/>
      <c r="DM24" s="212"/>
      <c r="DN24" s="212"/>
      <c r="DO24" s="212"/>
      <c r="DP24" s="212"/>
      <c r="DQ24" s="212"/>
      <c r="DR24" s="212"/>
      <c r="DS24" s="212"/>
      <c r="DT24" s="212"/>
      <c r="DU24" s="212"/>
      <c r="DV24" s="212"/>
      <c r="DW24" s="212"/>
      <c r="DX24" s="212"/>
      <c r="DY24" s="212"/>
      <c r="DZ24" s="212"/>
      <c r="EA24" s="212"/>
      <c r="EB24" s="215"/>
      <c r="EC24" s="215"/>
      <c r="ED24" s="212"/>
      <c r="EE24" s="212"/>
      <c r="EF24" s="212"/>
      <c r="EG24" s="212"/>
      <c r="EH24" s="212"/>
      <c r="EI24" s="212"/>
      <c r="EJ24" s="212"/>
      <c r="EK24" s="212"/>
      <c r="EL24" s="212"/>
      <c r="EM24" s="212"/>
      <c r="EN24" s="212"/>
      <c r="EO24" s="212"/>
      <c r="EP24" s="212"/>
      <c r="EQ24" s="212"/>
      <c r="ER24" s="212"/>
      <c r="ES24" s="212"/>
      <c r="ET24" s="212"/>
      <c r="EU24" s="212"/>
      <c r="EV24" s="212"/>
      <c r="EW24" s="212"/>
      <c r="EX24" s="212"/>
      <c r="EY24" s="212"/>
      <c r="EZ24" s="212"/>
      <c r="FA24" s="212"/>
      <c r="FB24" s="212"/>
      <c r="FC24" s="212"/>
      <c r="FD24" s="212"/>
      <c r="FE24" s="212"/>
      <c r="FF24" s="212"/>
      <c r="FG24" s="212"/>
      <c r="FH24" s="212"/>
      <c r="FI24" s="212"/>
      <c r="FJ24" s="212"/>
      <c r="FK24" s="212"/>
      <c r="FL24" s="212"/>
      <c r="FM24" s="212"/>
      <c r="FN24" s="212"/>
      <c r="FO24" s="212"/>
      <c r="FP24" s="212"/>
      <c r="FQ24" s="212"/>
      <c r="FR24" s="212"/>
      <c r="FS24" s="212"/>
      <c r="FT24" s="212"/>
      <c r="FU24" s="212"/>
      <c r="FV24" s="212"/>
      <c r="FW24" s="212"/>
      <c r="FX24" s="212"/>
      <c r="FY24" s="212"/>
      <c r="FZ24" s="212"/>
      <c r="GA24" s="212"/>
      <c r="GB24" s="212"/>
      <c r="GC24" s="212"/>
      <c r="GD24" s="212"/>
      <c r="GE24" s="212"/>
      <c r="GF24" s="212"/>
      <c r="GG24" s="212"/>
      <c r="GH24" s="212"/>
      <c r="GI24" s="212"/>
      <c r="GJ24" s="212"/>
      <c r="GK24" s="212"/>
      <c r="GL24" s="212"/>
      <c r="GM24" s="212"/>
      <c r="GN24" s="212"/>
      <c r="GO24" s="212"/>
      <c r="GP24" s="212"/>
      <c r="GQ24" s="212"/>
      <c r="GR24" s="212"/>
      <c r="GS24" s="212"/>
      <c r="GT24" s="212"/>
      <c r="GU24" s="212"/>
      <c r="GV24" s="212"/>
      <c r="GW24" s="212"/>
      <c r="GX24" s="212"/>
      <c r="GY24" s="212"/>
      <c r="GZ24" s="212"/>
      <c r="HA24" s="212"/>
      <c r="HB24" s="212"/>
      <c r="HC24" s="212"/>
      <c r="HD24" s="212"/>
      <c r="HE24" s="212"/>
      <c r="HF24" s="212"/>
      <c r="HG24" s="212"/>
      <c r="HH24" s="212"/>
      <c r="HI24" s="212"/>
      <c r="HJ24" s="212"/>
      <c r="HK24" s="212"/>
      <c r="HL24" s="212"/>
      <c r="HM24" s="212"/>
      <c r="HN24" s="212"/>
      <c r="HO24" s="212"/>
      <c r="HP24" s="212"/>
      <c r="HQ24" s="212"/>
      <c r="HR24" s="212"/>
      <c r="HS24" s="212"/>
      <c r="HT24" s="212"/>
      <c r="HU24" s="212"/>
      <c r="HV24" s="212"/>
      <c r="HW24" s="212"/>
      <c r="HX24" s="212"/>
      <c r="HY24" s="212"/>
      <c r="HZ24" s="212"/>
      <c r="IA24" s="212"/>
      <c r="IB24" s="212"/>
      <c r="IC24" s="212"/>
      <c r="ID24" s="212"/>
      <c r="IE24" s="212"/>
      <c r="IF24" s="212"/>
      <c r="IG24" s="212"/>
      <c r="IH24" s="212"/>
      <c r="II24" s="212"/>
      <c r="IJ24" s="212"/>
      <c r="IK24" s="212"/>
      <c r="IL24" s="212"/>
      <c r="IM24" s="212"/>
      <c r="IN24" s="212"/>
      <c r="IO24" s="212"/>
      <c r="IP24" s="212"/>
      <c r="IQ24" s="212"/>
      <c r="IR24" s="212"/>
      <c r="IS24" s="212"/>
      <c r="IT24" s="212"/>
      <c r="IU24" s="212"/>
      <c r="IV24" s="212"/>
      <c r="IW24" s="212"/>
      <c r="IX24" s="212"/>
      <c r="IY24" s="212"/>
      <c r="IZ24" s="212"/>
      <c r="JA24" s="212"/>
      <c r="JB24" s="212"/>
      <c r="JC24" s="212"/>
      <c r="JD24" s="212"/>
      <c r="JE24" s="212"/>
      <c r="JF24" s="212"/>
      <c r="JG24" s="212"/>
      <c r="JH24" s="212"/>
      <c r="JI24" s="212"/>
      <c r="JJ24" s="212"/>
      <c r="JK24" s="212"/>
      <c r="JL24" s="212"/>
      <c r="JM24" s="212"/>
      <c r="JN24" s="212"/>
      <c r="JO24" s="212"/>
      <c r="JP24" s="212"/>
      <c r="JQ24" s="212"/>
      <c r="JR24" s="212"/>
      <c r="JS24" s="212"/>
      <c r="JT24" s="212"/>
      <c r="JU24" s="212"/>
      <c r="JV24" s="212"/>
      <c r="JW24" s="212"/>
      <c r="JX24" s="212"/>
      <c r="JY24" s="212"/>
      <c r="JZ24" s="212"/>
      <c r="KA24" s="212"/>
      <c r="KB24" s="212"/>
      <c r="KC24" s="212"/>
      <c r="KD24" s="212"/>
      <c r="KE24" s="212"/>
      <c r="KF24" s="212"/>
      <c r="KG24" s="212"/>
      <c r="KH24" s="212"/>
      <c r="KI24" s="212"/>
      <c r="KJ24" s="212"/>
      <c r="KK24" s="212"/>
      <c r="KL24" s="212"/>
      <c r="KM24" s="212"/>
      <c r="KN24" s="212"/>
      <c r="KO24" s="212"/>
      <c r="KP24" s="212"/>
      <c r="KQ24" s="212"/>
      <c r="KR24" s="212"/>
      <c r="KS24" s="212"/>
      <c r="KT24" s="212"/>
      <c r="KU24" s="212"/>
      <c r="KV24" s="212"/>
      <c r="KW24" s="212"/>
      <c r="KX24" s="212"/>
      <c r="KY24" s="212"/>
      <c r="KZ24" s="212"/>
      <c r="LA24" s="212"/>
      <c r="LB24" s="212"/>
      <c r="LC24" s="212"/>
      <c r="LD24" s="212"/>
      <c r="LE24" s="212"/>
      <c r="LF24" s="212"/>
      <c r="LG24" s="212"/>
      <c r="LH24" s="212"/>
      <c r="LI24" s="212"/>
      <c r="LJ24" s="212"/>
      <c r="LK24" s="212"/>
      <c r="LL24" s="212"/>
      <c r="LM24" s="212"/>
      <c r="LN24" s="212"/>
      <c r="LO24" s="212"/>
      <c r="LP24" s="212"/>
      <c r="LQ24" s="212"/>
      <c r="LR24" s="212"/>
      <c r="LS24" s="212"/>
      <c r="LT24" s="212"/>
      <c r="LU24" s="212"/>
      <c r="LV24" s="212"/>
      <c r="LW24" s="212"/>
      <c r="LX24" s="212"/>
      <c r="LY24" s="212"/>
      <c r="LZ24" s="212"/>
      <c r="MA24" s="212"/>
      <c r="MB24" s="212"/>
      <c r="MC24" s="212"/>
      <c r="MD24" s="212"/>
      <c r="ME24" s="212"/>
      <c r="MF24" s="212"/>
      <c r="MG24" s="212"/>
      <c r="MH24" s="212"/>
      <c r="MI24" s="212"/>
      <c r="MJ24" s="212"/>
      <c r="MK24" s="212"/>
      <c r="ML24" s="212"/>
      <c r="MM24" s="212"/>
      <c r="MN24" s="212"/>
      <c r="MO24" s="212"/>
      <c r="MP24" s="212"/>
      <c r="MQ24" s="212"/>
      <c r="MR24" s="212"/>
      <c r="MS24" s="212"/>
      <c r="MT24" s="212"/>
      <c r="MU24" s="212"/>
      <c r="MV24" s="212"/>
      <c r="MW24" s="212"/>
      <c r="MX24" s="212"/>
      <c r="MY24" s="212"/>
      <c r="MZ24" s="212"/>
      <c r="NA24" s="212"/>
      <c r="NB24" s="212"/>
      <c r="NC24" s="212"/>
      <c r="ND24" s="212"/>
      <c r="NE24" s="212"/>
      <c r="NF24" s="212"/>
      <c r="NG24" s="212"/>
      <c r="NH24" s="212"/>
      <c r="NI24" s="212"/>
      <c r="NJ24" s="212"/>
      <c r="NK24" s="212"/>
      <c r="NL24" s="212"/>
      <c r="NM24" s="212"/>
      <c r="NN24" s="212"/>
      <c r="NO24" s="212"/>
      <c r="NP24" s="212"/>
      <c r="NQ24" s="212"/>
      <c r="NR24" s="212"/>
      <c r="NS24" s="212"/>
      <c r="NT24" s="212"/>
      <c r="NU24" s="212"/>
      <c r="NV24" s="212"/>
      <c r="NW24" s="212"/>
      <c r="NX24" s="212"/>
      <c r="NY24" s="212"/>
      <c r="NZ24" s="212"/>
      <c r="OA24" s="212"/>
      <c r="OB24" s="212"/>
      <c r="OC24" s="212"/>
      <c r="OD24" s="212"/>
      <c r="OE24" s="212"/>
      <c r="OF24" s="212"/>
      <c r="OG24" s="212"/>
      <c r="OH24" s="212"/>
      <c r="OI24" s="212"/>
      <c r="OJ24" s="212"/>
      <c r="OK24" s="212"/>
      <c r="OL24" s="212"/>
      <c r="OM24" s="212"/>
      <c r="ON24" s="212"/>
      <c r="OO24" s="212"/>
      <c r="OP24" s="212"/>
      <c r="OQ24" s="212"/>
      <c r="OR24" s="212"/>
      <c r="OS24" s="212"/>
      <c r="OT24" s="212"/>
      <c r="OU24" s="212"/>
      <c r="OV24" s="212"/>
      <c r="OW24" s="212"/>
      <c r="OX24" s="212"/>
      <c r="OY24" s="212"/>
      <c r="OZ24" s="212"/>
      <c r="PA24" s="212"/>
      <c r="PB24" s="212"/>
      <c r="PC24" s="212"/>
      <c r="PD24" s="212"/>
      <c r="PE24" s="212"/>
      <c r="PF24" s="212"/>
      <c r="PG24" s="212"/>
      <c r="PH24" s="212"/>
      <c r="PI24" s="212"/>
      <c r="PJ24" s="212"/>
      <c r="PK24" s="212"/>
      <c r="PL24" s="212"/>
      <c r="PM24" s="212"/>
      <c r="PN24" s="212"/>
      <c r="PO24" s="212"/>
      <c r="PP24" s="212"/>
      <c r="PQ24" s="212"/>
      <c r="PR24" s="212"/>
      <c r="PS24" s="212"/>
      <c r="PT24" s="212"/>
      <c r="PU24" s="212"/>
      <c r="PV24" s="212"/>
      <c r="PW24" s="212"/>
      <c r="PX24" s="212"/>
      <c r="PY24" s="212"/>
      <c r="PZ24" s="212"/>
      <c r="QA24" s="212"/>
      <c r="QB24" s="212"/>
      <c r="QC24" s="212"/>
      <c r="QD24" s="212"/>
      <c r="QE24" s="212"/>
      <c r="QF24" s="212"/>
      <c r="QG24" s="212"/>
      <c r="QH24" s="212"/>
      <c r="QI24" s="212"/>
      <c r="QJ24" s="212"/>
      <c r="QK24" s="212"/>
      <c r="QL24" s="212"/>
      <c r="QM24" s="212"/>
      <c r="QN24" s="212"/>
      <c r="QO24" s="212"/>
      <c r="QP24" s="212"/>
      <c r="QQ24" s="212"/>
      <c r="QR24" s="212"/>
      <c r="QS24" s="212"/>
      <c r="QT24" s="212"/>
      <c r="QU24" s="212"/>
      <c r="QV24" s="212"/>
      <c r="QW24" s="212"/>
      <c r="QX24" s="212"/>
      <c r="QY24" s="212"/>
      <c r="QZ24" s="212"/>
      <c r="RA24" s="212"/>
      <c r="RB24" s="212"/>
      <c r="RC24" s="212"/>
      <c r="RD24" s="212"/>
      <c r="RE24" s="212"/>
      <c r="RF24" s="212"/>
      <c r="RG24" s="212"/>
      <c r="RH24" s="212"/>
      <c r="RI24" s="212"/>
      <c r="RJ24" s="212"/>
      <c r="RK24" s="212"/>
      <c r="RL24" s="212"/>
      <c r="RM24" s="212"/>
      <c r="RN24" s="212"/>
      <c r="RO24" s="212"/>
      <c r="RP24" s="212"/>
      <c r="RQ24" s="212"/>
      <c r="RR24" s="212"/>
      <c r="RS24" s="212"/>
      <c r="RT24" s="212"/>
      <c r="RU24" s="212"/>
      <c r="RV24" s="212"/>
      <c r="RW24" s="212"/>
      <c r="RX24" s="212"/>
      <c r="RY24" s="212"/>
      <c r="RZ24" s="212"/>
      <c r="SA24" s="212"/>
      <c r="SB24" s="212"/>
      <c r="SC24" s="212"/>
      <c r="SD24" s="212"/>
      <c r="SE24" s="212"/>
      <c r="SF24" s="212"/>
      <c r="SG24" s="212"/>
      <c r="SH24" s="212"/>
      <c r="SI24" s="212"/>
      <c r="SJ24" s="212"/>
      <c r="SK24" s="212"/>
      <c r="SL24" s="212"/>
      <c r="SM24" s="212"/>
      <c r="SN24" s="212"/>
      <c r="SO24" s="212"/>
      <c r="SP24" s="212"/>
      <c r="SQ24" s="212"/>
      <c r="SR24" s="212"/>
      <c r="SS24" s="212"/>
      <c r="ST24" s="212"/>
      <c r="SU24" s="212"/>
      <c r="SV24" s="212"/>
      <c r="SW24" s="212"/>
      <c r="SX24" s="212"/>
      <c r="SY24" s="212"/>
      <c r="SZ24" s="212"/>
      <c r="TA24" s="212"/>
      <c r="TB24" s="212"/>
      <c r="TC24" s="212"/>
      <c r="TD24" s="212"/>
      <c r="TE24" s="212"/>
      <c r="TF24" s="212"/>
      <c r="TG24" s="212"/>
      <c r="TH24" s="212"/>
      <c r="TI24" s="212"/>
      <c r="TJ24" s="212"/>
      <c r="TK24" s="212"/>
      <c r="TL24" s="212"/>
      <c r="TM24" s="212"/>
      <c r="TN24" s="212"/>
      <c r="TO24" s="212"/>
      <c r="TP24" s="212"/>
      <c r="TQ24" s="212"/>
      <c r="TR24" s="212"/>
      <c r="TS24" s="212"/>
      <c r="TT24" s="212"/>
      <c r="TU24" s="212"/>
      <c r="TV24" s="212"/>
      <c r="TW24" s="212"/>
      <c r="TX24" s="212"/>
      <c r="TY24" s="212"/>
      <c r="TZ24" s="212"/>
      <c r="UA24" s="212"/>
      <c r="UB24" s="212"/>
      <c r="UC24" s="212"/>
      <c r="UD24" s="212"/>
      <c r="UE24" s="212"/>
      <c r="UF24" s="212"/>
      <c r="UG24" s="212"/>
      <c r="UH24" s="212"/>
      <c r="UI24" s="212"/>
      <c r="UJ24" s="212"/>
      <c r="UK24" s="212"/>
      <c r="UL24" s="212"/>
      <c r="UM24" s="212"/>
      <c r="UN24" s="212"/>
      <c r="UO24" s="212"/>
      <c r="UP24" s="212"/>
      <c r="UQ24" s="212"/>
      <c r="UR24" s="212"/>
      <c r="US24" s="212"/>
      <c r="UT24" s="194"/>
    </row>
    <row r="25" spans="2:566" ht="15.75" customHeight="1" x14ac:dyDescent="0.3">
      <c r="B25" s="117" t="s">
        <v>73</v>
      </c>
      <c r="C25" s="107" t="s">
        <v>71</v>
      </c>
      <c r="D25" s="102" t="str">
        <f t="shared" si="28"/>
        <v/>
      </c>
      <c r="E25" s="103" t="str">
        <f t="shared" si="29"/>
        <v/>
      </c>
      <c r="F25" s="212"/>
      <c r="G25" s="212"/>
      <c r="H25" s="212"/>
      <c r="I25" s="212"/>
      <c r="J25" s="212"/>
      <c r="K25" s="212"/>
      <c r="L25" s="212"/>
      <c r="M25" s="212"/>
      <c r="N25" s="212"/>
      <c r="O25" s="212"/>
      <c r="P25" s="213"/>
      <c r="Q25" s="213"/>
      <c r="R25" s="212"/>
      <c r="S25" s="212"/>
      <c r="T25" s="212"/>
      <c r="U25" s="212"/>
      <c r="V25" s="212"/>
      <c r="W25" s="213"/>
      <c r="X25" s="213"/>
      <c r="Y25" s="212"/>
      <c r="Z25" s="212"/>
      <c r="AA25" s="212"/>
      <c r="AB25" s="213"/>
      <c r="AC25" s="213"/>
      <c r="AD25" s="213"/>
      <c r="AE25" s="213"/>
      <c r="AF25" s="213"/>
      <c r="AG25" s="213"/>
      <c r="AH25" s="212"/>
      <c r="AI25" s="212"/>
      <c r="AJ25" s="212"/>
      <c r="AK25" s="213"/>
      <c r="AL25" s="213"/>
      <c r="AM25" s="212"/>
      <c r="AN25" s="212"/>
      <c r="AO25" s="212"/>
      <c r="AP25" s="212"/>
      <c r="AQ25" s="212"/>
      <c r="AR25" s="212"/>
      <c r="AS25" s="212"/>
      <c r="AT25" s="212"/>
      <c r="AU25" s="212"/>
      <c r="AV25" s="212"/>
      <c r="AW25" s="212"/>
      <c r="AX25" s="212"/>
      <c r="AY25" s="212"/>
      <c r="AZ25" s="212"/>
      <c r="BA25" s="212"/>
      <c r="BB25" s="212"/>
      <c r="BC25" s="212"/>
      <c r="BD25" s="212"/>
      <c r="BE25" s="212"/>
      <c r="BF25" s="212"/>
      <c r="BG25" s="212"/>
      <c r="BH25" s="212"/>
      <c r="BI25" s="214"/>
      <c r="BJ25" s="214"/>
      <c r="BK25" s="214"/>
      <c r="BL25" s="214"/>
      <c r="BM25" s="212"/>
      <c r="BN25" s="212"/>
      <c r="BO25" s="212"/>
      <c r="BP25" s="212"/>
      <c r="BQ25" s="212"/>
      <c r="BR25" s="212"/>
      <c r="BS25" s="212"/>
      <c r="BT25" s="212"/>
      <c r="BU25" s="212"/>
      <c r="BV25" s="212"/>
      <c r="BW25" s="212"/>
      <c r="BX25" s="212"/>
      <c r="BY25" s="212"/>
      <c r="BZ25" s="212"/>
      <c r="CA25" s="212"/>
      <c r="CB25" s="212"/>
      <c r="CC25" s="212"/>
      <c r="CD25" s="212"/>
      <c r="CE25" s="212"/>
      <c r="CF25" s="212"/>
      <c r="CG25" s="212"/>
      <c r="CH25" s="212"/>
      <c r="CI25" s="212"/>
      <c r="CJ25" s="212"/>
      <c r="CK25" s="212"/>
      <c r="CL25" s="212"/>
      <c r="CM25" s="212"/>
      <c r="CN25" s="212"/>
      <c r="CO25" s="212"/>
      <c r="CP25" s="212"/>
      <c r="CQ25" s="212"/>
      <c r="CR25" s="212"/>
      <c r="CS25" s="212"/>
      <c r="CT25" s="212"/>
      <c r="CU25" s="214"/>
      <c r="CV25" s="212"/>
      <c r="CW25" s="212"/>
      <c r="CX25" s="212"/>
      <c r="CY25" s="212"/>
      <c r="CZ25" s="212"/>
      <c r="DA25" s="212"/>
      <c r="DB25" s="212"/>
      <c r="DC25" s="212"/>
      <c r="DD25" s="212"/>
      <c r="DE25" s="212"/>
      <c r="DF25" s="212"/>
      <c r="DG25" s="212"/>
      <c r="DH25" s="212"/>
      <c r="DI25" s="212"/>
      <c r="DJ25" s="212"/>
      <c r="DK25" s="212"/>
      <c r="DL25" s="212"/>
      <c r="DM25" s="212"/>
      <c r="DN25" s="212"/>
      <c r="DO25" s="212"/>
      <c r="DP25" s="212"/>
      <c r="DQ25" s="212"/>
      <c r="DR25" s="212"/>
      <c r="DS25" s="212"/>
      <c r="DT25" s="212"/>
      <c r="DU25" s="212"/>
      <c r="DV25" s="212"/>
      <c r="DW25" s="212"/>
      <c r="DX25" s="212"/>
      <c r="DY25" s="212"/>
      <c r="DZ25" s="212"/>
      <c r="EA25" s="212"/>
      <c r="EB25" s="215"/>
      <c r="EC25" s="215"/>
      <c r="ED25" s="212"/>
      <c r="EE25" s="212"/>
      <c r="EF25" s="212"/>
      <c r="EG25" s="212"/>
      <c r="EH25" s="212"/>
      <c r="EI25" s="212"/>
      <c r="EJ25" s="212"/>
      <c r="EK25" s="212"/>
      <c r="EL25" s="212"/>
      <c r="EM25" s="212"/>
      <c r="EN25" s="212"/>
      <c r="EO25" s="212"/>
      <c r="EP25" s="212"/>
      <c r="EQ25" s="212"/>
      <c r="ER25" s="212"/>
      <c r="ES25" s="212"/>
      <c r="ET25" s="212"/>
      <c r="EU25" s="212"/>
      <c r="EV25" s="212"/>
      <c r="EW25" s="212"/>
      <c r="EX25" s="212"/>
      <c r="EY25" s="212"/>
      <c r="EZ25" s="212"/>
      <c r="FA25" s="212"/>
      <c r="FB25" s="212"/>
      <c r="FC25" s="212"/>
      <c r="FD25" s="212"/>
      <c r="FE25" s="212"/>
      <c r="FF25" s="212"/>
      <c r="FG25" s="212"/>
      <c r="FH25" s="212"/>
      <c r="FI25" s="212"/>
      <c r="FJ25" s="212"/>
      <c r="FK25" s="212"/>
      <c r="FL25" s="212"/>
      <c r="FM25" s="212"/>
      <c r="FN25" s="212"/>
      <c r="FO25" s="212"/>
      <c r="FP25" s="212"/>
      <c r="FQ25" s="212"/>
      <c r="FR25" s="212"/>
      <c r="FS25" s="212"/>
      <c r="FT25" s="212"/>
      <c r="FU25" s="212"/>
      <c r="FV25" s="212"/>
      <c r="FW25" s="212"/>
      <c r="FX25" s="212"/>
      <c r="FY25" s="212"/>
      <c r="FZ25" s="212"/>
      <c r="GA25" s="212"/>
      <c r="GB25" s="212"/>
      <c r="GC25" s="212"/>
      <c r="GD25" s="212"/>
      <c r="GE25" s="212"/>
      <c r="GF25" s="212"/>
      <c r="GG25" s="212"/>
      <c r="GH25" s="212"/>
      <c r="GI25" s="212"/>
      <c r="GJ25" s="212"/>
      <c r="GK25" s="212"/>
      <c r="GL25" s="212"/>
      <c r="GM25" s="212"/>
      <c r="GN25" s="212"/>
      <c r="GO25" s="212"/>
      <c r="GP25" s="212"/>
      <c r="GQ25" s="212"/>
      <c r="GR25" s="212"/>
      <c r="GS25" s="212"/>
      <c r="GT25" s="212"/>
      <c r="GU25" s="212"/>
      <c r="GV25" s="212"/>
      <c r="GW25" s="212"/>
      <c r="GX25" s="212"/>
      <c r="GY25" s="212"/>
      <c r="GZ25" s="212"/>
      <c r="HA25" s="212"/>
      <c r="HB25" s="212"/>
      <c r="HC25" s="212"/>
      <c r="HD25" s="212"/>
      <c r="HE25" s="212"/>
      <c r="HF25" s="212"/>
      <c r="HG25" s="212"/>
      <c r="HH25" s="212"/>
      <c r="HI25" s="212"/>
      <c r="HJ25" s="212"/>
      <c r="HK25" s="212"/>
      <c r="HL25" s="212"/>
      <c r="HM25" s="212"/>
      <c r="HN25" s="212"/>
      <c r="HO25" s="212"/>
      <c r="HP25" s="212"/>
      <c r="HQ25" s="212"/>
      <c r="HR25" s="212"/>
      <c r="HS25" s="212"/>
      <c r="HT25" s="212"/>
      <c r="HU25" s="212"/>
      <c r="HV25" s="212"/>
      <c r="HW25" s="212"/>
      <c r="HX25" s="212"/>
      <c r="HY25" s="212"/>
      <c r="HZ25" s="212"/>
      <c r="IA25" s="212"/>
      <c r="IB25" s="212"/>
      <c r="IC25" s="212"/>
      <c r="ID25" s="212"/>
      <c r="IE25" s="212"/>
      <c r="IF25" s="212"/>
      <c r="IG25" s="212"/>
      <c r="IH25" s="212"/>
      <c r="II25" s="212"/>
      <c r="IJ25" s="212"/>
      <c r="IK25" s="212"/>
      <c r="IL25" s="212"/>
      <c r="IM25" s="212"/>
      <c r="IN25" s="212"/>
      <c r="IO25" s="212"/>
      <c r="IP25" s="212"/>
      <c r="IQ25" s="212"/>
      <c r="IR25" s="212"/>
      <c r="IS25" s="212"/>
      <c r="IT25" s="212"/>
      <c r="IU25" s="212"/>
      <c r="IV25" s="212"/>
      <c r="IW25" s="212"/>
      <c r="IX25" s="212"/>
      <c r="IY25" s="212"/>
      <c r="IZ25" s="212"/>
      <c r="JA25" s="212"/>
      <c r="JB25" s="212"/>
      <c r="JC25" s="212"/>
      <c r="JD25" s="212"/>
      <c r="JE25" s="212"/>
      <c r="JF25" s="212"/>
      <c r="JG25" s="212"/>
      <c r="JH25" s="212"/>
      <c r="JI25" s="212"/>
      <c r="JJ25" s="212"/>
      <c r="JK25" s="212"/>
      <c r="JL25" s="212"/>
      <c r="JM25" s="212"/>
      <c r="JN25" s="212"/>
      <c r="JO25" s="212"/>
      <c r="JP25" s="212"/>
      <c r="JQ25" s="212"/>
      <c r="JR25" s="212"/>
      <c r="JS25" s="212"/>
      <c r="JT25" s="212"/>
      <c r="JU25" s="212"/>
      <c r="JV25" s="212"/>
      <c r="JW25" s="212"/>
      <c r="JX25" s="212"/>
      <c r="JY25" s="212"/>
      <c r="JZ25" s="212"/>
      <c r="KA25" s="212"/>
      <c r="KB25" s="212"/>
      <c r="KC25" s="212"/>
      <c r="KD25" s="212"/>
      <c r="KE25" s="212"/>
      <c r="KF25" s="212"/>
      <c r="KG25" s="212"/>
      <c r="KH25" s="212"/>
      <c r="KI25" s="212"/>
      <c r="KJ25" s="212"/>
      <c r="KK25" s="212"/>
      <c r="KL25" s="212"/>
      <c r="KM25" s="212"/>
      <c r="KN25" s="212"/>
      <c r="KO25" s="212"/>
      <c r="KP25" s="212"/>
      <c r="KQ25" s="212"/>
      <c r="KR25" s="212"/>
      <c r="KS25" s="212"/>
      <c r="KT25" s="212"/>
      <c r="KU25" s="212"/>
      <c r="KV25" s="212"/>
      <c r="KW25" s="212"/>
      <c r="KX25" s="212"/>
      <c r="KY25" s="212"/>
      <c r="KZ25" s="212"/>
      <c r="LA25" s="212"/>
      <c r="LB25" s="212"/>
      <c r="LC25" s="212"/>
      <c r="LD25" s="212"/>
      <c r="LE25" s="212"/>
      <c r="LF25" s="212"/>
      <c r="LG25" s="212"/>
      <c r="LH25" s="212"/>
      <c r="LI25" s="212"/>
      <c r="LJ25" s="212"/>
      <c r="LK25" s="212"/>
      <c r="LL25" s="212"/>
      <c r="LM25" s="212"/>
      <c r="LN25" s="212"/>
      <c r="LO25" s="212"/>
      <c r="LP25" s="212"/>
      <c r="LQ25" s="212"/>
      <c r="LR25" s="212"/>
      <c r="LS25" s="212"/>
      <c r="LT25" s="212"/>
      <c r="LU25" s="212"/>
      <c r="LV25" s="212"/>
      <c r="LW25" s="212"/>
      <c r="LX25" s="212"/>
      <c r="LY25" s="212"/>
      <c r="LZ25" s="212"/>
      <c r="MA25" s="212"/>
      <c r="MB25" s="212"/>
      <c r="MC25" s="212"/>
      <c r="MD25" s="212"/>
      <c r="ME25" s="212"/>
      <c r="MF25" s="212"/>
      <c r="MG25" s="212"/>
      <c r="MH25" s="212"/>
      <c r="MI25" s="212"/>
      <c r="MJ25" s="212"/>
      <c r="MK25" s="212"/>
      <c r="ML25" s="212"/>
      <c r="MM25" s="212"/>
      <c r="MN25" s="212"/>
      <c r="MO25" s="212"/>
      <c r="MP25" s="212"/>
      <c r="MQ25" s="212"/>
      <c r="MR25" s="212"/>
      <c r="MS25" s="212"/>
      <c r="MT25" s="212"/>
      <c r="MU25" s="212"/>
      <c r="MV25" s="212"/>
      <c r="MW25" s="212"/>
      <c r="MX25" s="212"/>
      <c r="MY25" s="212"/>
      <c r="MZ25" s="212"/>
      <c r="NA25" s="212"/>
      <c r="NB25" s="212"/>
      <c r="NC25" s="212"/>
      <c r="ND25" s="212"/>
      <c r="NE25" s="212"/>
      <c r="NF25" s="212"/>
      <c r="NG25" s="212"/>
      <c r="NH25" s="212"/>
      <c r="NI25" s="212"/>
      <c r="NJ25" s="212"/>
      <c r="NK25" s="212"/>
      <c r="NL25" s="212"/>
      <c r="NM25" s="212"/>
      <c r="NN25" s="212"/>
      <c r="NO25" s="212"/>
      <c r="NP25" s="212"/>
      <c r="NQ25" s="212"/>
      <c r="NR25" s="212"/>
      <c r="NS25" s="212"/>
      <c r="NT25" s="212"/>
      <c r="NU25" s="212"/>
      <c r="NV25" s="212"/>
      <c r="NW25" s="212"/>
      <c r="NX25" s="212"/>
      <c r="NY25" s="212"/>
      <c r="NZ25" s="212"/>
      <c r="OA25" s="212"/>
      <c r="OB25" s="212"/>
      <c r="OC25" s="212"/>
      <c r="OD25" s="212"/>
      <c r="OE25" s="212"/>
      <c r="OF25" s="212"/>
      <c r="OG25" s="212"/>
      <c r="OH25" s="212"/>
      <c r="OI25" s="212"/>
      <c r="OJ25" s="212"/>
      <c r="OK25" s="212"/>
      <c r="OL25" s="212"/>
      <c r="OM25" s="212"/>
      <c r="ON25" s="212"/>
      <c r="OO25" s="212"/>
      <c r="OP25" s="212"/>
      <c r="OQ25" s="212"/>
      <c r="OR25" s="212"/>
      <c r="OS25" s="212"/>
      <c r="OT25" s="212"/>
      <c r="OU25" s="212"/>
      <c r="OV25" s="212"/>
      <c r="OW25" s="212"/>
      <c r="OX25" s="212"/>
      <c r="OY25" s="212"/>
      <c r="OZ25" s="212"/>
      <c r="PA25" s="212"/>
      <c r="PB25" s="212"/>
      <c r="PC25" s="212"/>
      <c r="PD25" s="212"/>
      <c r="PE25" s="212"/>
      <c r="PF25" s="212"/>
      <c r="PG25" s="212"/>
      <c r="PH25" s="212"/>
      <c r="PI25" s="212"/>
      <c r="PJ25" s="212"/>
      <c r="PK25" s="212"/>
      <c r="PL25" s="212"/>
      <c r="PM25" s="212"/>
      <c r="PN25" s="212"/>
      <c r="PO25" s="212"/>
      <c r="PP25" s="212"/>
      <c r="PQ25" s="212"/>
      <c r="PR25" s="212"/>
      <c r="PS25" s="212"/>
      <c r="PT25" s="212"/>
      <c r="PU25" s="212"/>
      <c r="PV25" s="212"/>
      <c r="PW25" s="212"/>
      <c r="PX25" s="212"/>
      <c r="PY25" s="212"/>
      <c r="PZ25" s="212"/>
      <c r="QA25" s="212"/>
      <c r="QB25" s="212"/>
      <c r="QC25" s="212"/>
      <c r="QD25" s="212"/>
      <c r="QE25" s="212"/>
      <c r="QF25" s="212"/>
      <c r="QG25" s="212"/>
      <c r="QH25" s="212"/>
      <c r="QI25" s="212"/>
      <c r="QJ25" s="212"/>
      <c r="QK25" s="212"/>
      <c r="QL25" s="212"/>
      <c r="QM25" s="212"/>
      <c r="QN25" s="212"/>
      <c r="QO25" s="212"/>
      <c r="QP25" s="212"/>
      <c r="QQ25" s="212"/>
      <c r="QR25" s="212"/>
      <c r="QS25" s="212"/>
      <c r="QT25" s="212"/>
      <c r="QU25" s="212"/>
      <c r="QV25" s="212"/>
      <c r="QW25" s="212"/>
      <c r="QX25" s="212"/>
      <c r="QY25" s="212"/>
      <c r="QZ25" s="212"/>
      <c r="RA25" s="212"/>
      <c r="RB25" s="212"/>
      <c r="RC25" s="212"/>
      <c r="RD25" s="212"/>
      <c r="RE25" s="212"/>
      <c r="RF25" s="212"/>
      <c r="RG25" s="212"/>
      <c r="RH25" s="212"/>
      <c r="RI25" s="212"/>
      <c r="RJ25" s="212"/>
      <c r="RK25" s="212"/>
      <c r="RL25" s="212"/>
      <c r="RM25" s="212"/>
      <c r="RN25" s="212"/>
      <c r="RO25" s="212"/>
      <c r="RP25" s="212"/>
      <c r="RQ25" s="212"/>
      <c r="RR25" s="212"/>
      <c r="RS25" s="212"/>
      <c r="RT25" s="212"/>
      <c r="RU25" s="212"/>
      <c r="RV25" s="212"/>
      <c r="RW25" s="212"/>
      <c r="RX25" s="212"/>
      <c r="RY25" s="212"/>
      <c r="RZ25" s="212"/>
      <c r="SA25" s="212"/>
      <c r="SB25" s="212"/>
      <c r="SC25" s="212"/>
      <c r="SD25" s="212"/>
      <c r="SE25" s="212"/>
      <c r="SF25" s="212"/>
      <c r="SG25" s="212"/>
      <c r="SH25" s="212"/>
      <c r="SI25" s="212"/>
      <c r="SJ25" s="212"/>
      <c r="SK25" s="212"/>
      <c r="SL25" s="212"/>
      <c r="SM25" s="212"/>
      <c r="SN25" s="212"/>
      <c r="SO25" s="212"/>
      <c r="SP25" s="212"/>
      <c r="SQ25" s="212"/>
      <c r="SR25" s="212"/>
      <c r="SS25" s="212"/>
      <c r="ST25" s="212"/>
      <c r="SU25" s="212"/>
      <c r="SV25" s="212"/>
      <c r="SW25" s="212"/>
      <c r="SX25" s="212"/>
      <c r="SY25" s="212"/>
      <c r="SZ25" s="212"/>
      <c r="TA25" s="212"/>
      <c r="TB25" s="212"/>
      <c r="TC25" s="212"/>
      <c r="TD25" s="212"/>
      <c r="TE25" s="212"/>
      <c r="TF25" s="212"/>
      <c r="TG25" s="212"/>
      <c r="TH25" s="212"/>
      <c r="TI25" s="212"/>
      <c r="TJ25" s="212"/>
      <c r="TK25" s="212"/>
      <c r="TL25" s="212"/>
      <c r="TM25" s="212"/>
      <c r="TN25" s="212"/>
      <c r="TO25" s="212"/>
      <c r="TP25" s="212"/>
      <c r="TQ25" s="212"/>
      <c r="TR25" s="212"/>
      <c r="TS25" s="212"/>
      <c r="TT25" s="212"/>
      <c r="TU25" s="212"/>
      <c r="TV25" s="212"/>
      <c r="TW25" s="212"/>
      <c r="TX25" s="212"/>
      <c r="TY25" s="212"/>
      <c r="TZ25" s="212"/>
      <c r="UA25" s="212"/>
      <c r="UB25" s="212"/>
      <c r="UC25" s="212"/>
      <c r="UD25" s="212"/>
      <c r="UE25" s="212"/>
      <c r="UF25" s="212"/>
      <c r="UG25" s="212"/>
      <c r="UH25" s="212"/>
      <c r="UI25" s="212"/>
      <c r="UJ25" s="212"/>
      <c r="UK25" s="212"/>
      <c r="UL25" s="212"/>
      <c r="UM25" s="212"/>
      <c r="UN25" s="212"/>
      <c r="UO25" s="212"/>
      <c r="UP25" s="212"/>
      <c r="UQ25" s="212"/>
      <c r="UR25" s="212"/>
      <c r="US25" s="212"/>
      <c r="UT25" s="194"/>
    </row>
    <row r="26" spans="2:566" ht="15.75" customHeight="1" x14ac:dyDescent="0.3">
      <c r="B26" s="117" t="s">
        <v>72</v>
      </c>
      <c r="C26" s="107" t="s">
        <v>69</v>
      </c>
      <c r="D26" s="102" t="str">
        <f t="shared" si="28"/>
        <v/>
      </c>
      <c r="E26" s="103" t="str">
        <f t="shared" si="29"/>
        <v/>
      </c>
      <c r="F26" s="212"/>
      <c r="G26" s="212"/>
      <c r="H26" s="212"/>
      <c r="I26" s="212"/>
      <c r="J26" s="212"/>
      <c r="K26" s="212"/>
      <c r="L26" s="212"/>
      <c r="M26" s="212"/>
      <c r="N26" s="212"/>
      <c r="O26" s="212"/>
      <c r="P26" s="213"/>
      <c r="Q26" s="213"/>
      <c r="R26" s="212"/>
      <c r="S26" s="212"/>
      <c r="T26" s="212"/>
      <c r="U26" s="212"/>
      <c r="V26" s="212"/>
      <c r="W26" s="213"/>
      <c r="X26" s="213"/>
      <c r="Y26" s="212"/>
      <c r="Z26" s="212"/>
      <c r="AA26" s="212"/>
      <c r="AB26" s="213"/>
      <c r="AC26" s="213"/>
      <c r="AD26" s="213"/>
      <c r="AE26" s="213"/>
      <c r="AF26" s="213"/>
      <c r="AG26" s="213"/>
      <c r="AH26" s="212"/>
      <c r="AI26" s="212"/>
      <c r="AJ26" s="212"/>
      <c r="AK26" s="213"/>
      <c r="AL26" s="213"/>
      <c r="AM26" s="212"/>
      <c r="AN26" s="212"/>
      <c r="AO26" s="212"/>
      <c r="AP26" s="212"/>
      <c r="AQ26" s="212"/>
      <c r="AR26" s="212"/>
      <c r="AS26" s="212"/>
      <c r="AT26" s="212"/>
      <c r="AU26" s="212"/>
      <c r="AV26" s="212"/>
      <c r="AW26" s="212"/>
      <c r="AX26" s="212"/>
      <c r="AY26" s="212"/>
      <c r="AZ26" s="212"/>
      <c r="BA26" s="212"/>
      <c r="BB26" s="212"/>
      <c r="BC26" s="212"/>
      <c r="BD26" s="212"/>
      <c r="BE26" s="212"/>
      <c r="BF26" s="212"/>
      <c r="BG26" s="212"/>
      <c r="BH26" s="212"/>
      <c r="BI26" s="214"/>
      <c r="BJ26" s="214"/>
      <c r="BK26" s="214"/>
      <c r="BL26" s="214"/>
      <c r="BM26" s="212"/>
      <c r="BN26" s="212"/>
      <c r="BO26" s="212"/>
      <c r="BP26" s="212"/>
      <c r="BQ26" s="212"/>
      <c r="BR26" s="212"/>
      <c r="BS26" s="212"/>
      <c r="BT26" s="212"/>
      <c r="BU26" s="212"/>
      <c r="BV26" s="212"/>
      <c r="BW26" s="212"/>
      <c r="BX26" s="212"/>
      <c r="BY26" s="212"/>
      <c r="BZ26" s="212"/>
      <c r="CA26" s="212"/>
      <c r="CB26" s="212"/>
      <c r="CC26" s="212"/>
      <c r="CD26" s="212"/>
      <c r="CE26" s="212"/>
      <c r="CF26" s="212"/>
      <c r="CG26" s="212"/>
      <c r="CH26" s="212"/>
      <c r="CI26" s="212"/>
      <c r="CJ26" s="212"/>
      <c r="CK26" s="212"/>
      <c r="CL26" s="212"/>
      <c r="CM26" s="212"/>
      <c r="CN26" s="212"/>
      <c r="CO26" s="212"/>
      <c r="CP26" s="212"/>
      <c r="CQ26" s="212"/>
      <c r="CR26" s="212"/>
      <c r="CS26" s="212"/>
      <c r="CT26" s="212"/>
      <c r="CU26" s="214"/>
      <c r="CV26" s="212"/>
      <c r="CW26" s="212"/>
      <c r="CX26" s="212"/>
      <c r="CY26" s="212"/>
      <c r="CZ26" s="212"/>
      <c r="DA26" s="212"/>
      <c r="DB26" s="212"/>
      <c r="DC26" s="212"/>
      <c r="DD26" s="212"/>
      <c r="DE26" s="212"/>
      <c r="DF26" s="212"/>
      <c r="DG26" s="212"/>
      <c r="DH26" s="212"/>
      <c r="DI26" s="212"/>
      <c r="DJ26" s="212"/>
      <c r="DK26" s="212"/>
      <c r="DL26" s="212"/>
      <c r="DM26" s="212"/>
      <c r="DN26" s="212"/>
      <c r="DO26" s="212"/>
      <c r="DP26" s="212"/>
      <c r="DQ26" s="212"/>
      <c r="DR26" s="212"/>
      <c r="DS26" s="212"/>
      <c r="DT26" s="212"/>
      <c r="DU26" s="212"/>
      <c r="DV26" s="212"/>
      <c r="DW26" s="212"/>
      <c r="DX26" s="212"/>
      <c r="DY26" s="212"/>
      <c r="DZ26" s="212"/>
      <c r="EA26" s="212"/>
      <c r="EB26" s="215"/>
      <c r="EC26" s="215"/>
      <c r="ED26" s="212"/>
      <c r="EE26" s="212"/>
      <c r="EF26" s="212"/>
      <c r="EG26" s="212"/>
      <c r="EH26" s="212"/>
      <c r="EI26" s="212"/>
      <c r="EJ26" s="212"/>
      <c r="EK26" s="212"/>
      <c r="EL26" s="212"/>
      <c r="EM26" s="212"/>
      <c r="EN26" s="212"/>
      <c r="EO26" s="212"/>
      <c r="EP26" s="212"/>
      <c r="EQ26" s="212"/>
      <c r="ER26" s="212"/>
      <c r="ES26" s="212"/>
      <c r="ET26" s="212"/>
      <c r="EU26" s="212"/>
      <c r="EV26" s="212"/>
      <c r="EW26" s="212"/>
      <c r="EX26" s="212"/>
      <c r="EY26" s="212"/>
      <c r="EZ26" s="212"/>
      <c r="FA26" s="212"/>
      <c r="FB26" s="212"/>
      <c r="FC26" s="212"/>
      <c r="FD26" s="212"/>
      <c r="FE26" s="212"/>
      <c r="FF26" s="212"/>
      <c r="FG26" s="212"/>
      <c r="FH26" s="212"/>
      <c r="FI26" s="212"/>
      <c r="FJ26" s="212"/>
      <c r="FK26" s="212"/>
      <c r="FL26" s="212"/>
      <c r="FM26" s="212"/>
      <c r="FN26" s="212"/>
      <c r="FO26" s="212"/>
      <c r="FP26" s="212"/>
      <c r="FQ26" s="212"/>
      <c r="FR26" s="212"/>
      <c r="FS26" s="212"/>
      <c r="FT26" s="212"/>
      <c r="FU26" s="212"/>
      <c r="FV26" s="212"/>
      <c r="FW26" s="212"/>
      <c r="FX26" s="212"/>
      <c r="FY26" s="212"/>
      <c r="FZ26" s="212"/>
      <c r="GA26" s="212"/>
      <c r="GB26" s="212"/>
      <c r="GC26" s="212"/>
      <c r="GD26" s="212"/>
      <c r="GE26" s="212"/>
      <c r="GF26" s="212"/>
      <c r="GG26" s="212"/>
      <c r="GH26" s="212"/>
      <c r="GI26" s="212"/>
      <c r="GJ26" s="212"/>
      <c r="GK26" s="212"/>
      <c r="GL26" s="212"/>
      <c r="GM26" s="212"/>
      <c r="GN26" s="212"/>
      <c r="GO26" s="212"/>
      <c r="GP26" s="212"/>
      <c r="GQ26" s="212"/>
      <c r="GR26" s="212"/>
      <c r="GS26" s="212"/>
      <c r="GT26" s="212"/>
      <c r="GU26" s="212"/>
      <c r="GV26" s="212"/>
      <c r="GW26" s="212"/>
      <c r="GX26" s="212"/>
      <c r="GY26" s="212"/>
      <c r="GZ26" s="212"/>
      <c r="HA26" s="212"/>
      <c r="HB26" s="212"/>
      <c r="HC26" s="212"/>
      <c r="HD26" s="212"/>
      <c r="HE26" s="212"/>
      <c r="HF26" s="212"/>
      <c r="HG26" s="212"/>
      <c r="HH26" s="212"/>
      <c r="HI26" s="212"/>
      <c r="HJ26" s="212"/>
      <c r="HK26" s="212"/>
      <c r="HL26" s="212"/>
      <c r="HM26" s="212"/>
      <c r="HN26" s="212"/>
      <c r="HO26" s="212"/>
      <c r="HP26" s="212"/>
      <c r="HQ26" s="212"/>
      <c r="HR26" s="212"/>
      <c r="HS26" s="212"/>
      <c r="HT26" s="212"/>
      <c r="HU26" s="212"/>
      <c r="HV26" s="212"/>
      <c r="HW26" s="212"/>
      <c r="HX26" s="212"/>
      <c r="HY26" s="212"/>
      <c r="HZ26" s="212"/>
      <c r="IA26" s="212"/>
      <c r="IB26" s="212"/>
      <c r="IC26" s="212"/>
      <c r="ID26" s="212"/>
      <c r="IE26" s="212"/>
      <c r="IF26" s="212"/>
      <c r="IG26" s="212"/>
      <c r="IH26" s="212"/>
      <c r="II26" s="212"/>
      <c r="IJ26" s="212"/>
      <c r="IK26" s="212"/>
      <c r="IL26" s="212"/>
      <c r="IM26" s="212"/>
      <c r="IN26" s="212"/>
      <c r="IO26" s="212"/>
      <c r="IP26" s="212"/>
      <c r="IQ26" s="212"/>
      <c r="IR26" s="212"/>
      <c r="IS26" s="212"/>
      <c r="IT26" s="212"/>
      <c r="IU26" s="212"/>
      <c r="IV26" s="212"/>
      <c r="IW26" s="212"/>
      <c r="IX26" s="212"/>
      <c r="IY26" s="212"/>
      <c r="IZ26" s="212"/>
      <c r="JA26" s="212"/>
      <c r="JB26" s="212"/>
      <c r="JC26" s="212"/>
      <c r="JD26" s="212"/>
      <c r="JE26" s="212"/>
      <c r="JF26" s="212"/>
      <c r="JG26" s="212"/>
      <c r="JH26" s="212"/>
      <c r="JI26" s="212"/>
      <c r="JJ26" s="212"/>
      <c r="JK26" s="212"/>
      <c r="JL26" s="212"/>
      <c r="JM26" s="212"/>
      <c r="JN26" s="212"/>
      <c r="JO26" s="212"/>
      <c r="JP26" s="212"/>
      <c r="JQ26" s="212"/>
      <c r="JR26" s="212"/>
      <c r="JS26" s="212"/>
      <c r="JT26" s="212"/>
      <c r="JU26" s="212"/>
      <c r="JV26" s="212"/>
      <c r="JW26" s="212"/>
      <c r="JX26" s="212"/>
      <c r="JY26" s="212"/>
      <c r="JZ26" s="212"/>
      <c r="KA26" s="212"/>
      <c r="KB26" s="212"/>
      <c r="KC26" s="212"/>
      <c r="KD26" s="212"/>
      <c r="KE26" s="212"/>
      <c r="KF26" s="212"/>
      <c r="KG26" s="212"/>
      <c r="KH26" s="212"/>
      <c r="KI26" s="212"/>
      <c r="KJ26" s="212"/>
      <c r="KK26" s="212"/>
      <c r="KL26" s="212"/>
      <c r="KM26" s="212"/>
      <c r="KN26" s="212"/>
      <c r="KO26" s="212"/>
      <c r="KP26" s="212"/>
      <c r="KQ26" s="212"/>
      <c r="KR26" s="212"/>
      <c r="KS26" s="212"/>
      <c r="KT26" s="212"/>
      <c r="KU26" s="212"/>
      <c r="KV26" s="212"/>
      <c r="KW26" s="212"/>
      <c r="KX26" s="212"/>
      <c r="KY26" s="212"/>
      <c r="KZ26" s="212"/>
      <c r="LA26" s="212"/>
      <c r="LB26" s="212"/>
      <c r="LC26" s="212"/>
      <c r="LD26" s="212"/>
      <c r="LE26" s="212"/>
      <c r="LF26" s="212"/>
      <c r="LG26" s="212"/>
      <c r="LH26" s="212"/>
      <c r="LI26" s="212"/>
      <c r="LJ26" s="212"/>
      <c r="LK26" s="212"/>
      <c r="LL26" s="212"/>
      <c r="LM26" s="212"/>
      <c r="LN26" s="212"/>
      <c r="LO26" s="212"/>
      <c r="LP26" s="212"/>
      <c r="LQ26" s="212"/>
      <c r="LR26" s="212"/>
      <c r="LS26" s="212"/>
      <c r="LT26" s="212"/>
      <c r="LU26" s="212"/>
      <c r="LV26" s="212"/>
      <c r="LW26" s="212"/>
      <c r="LX26" s="212"/>
      <c r="LY26" s="212"/>
      <c r="LZ26" s="212"/>
      <c r="MA26" s="212"/>
      <c r="MB26" s="212"/>
      <c r="MC26" s="212"/>
      <c r="MD26" s="212"/>
      <c r="ME26" s="212"/>
      <c r="MF26" s="212"/>
      <c r="MG26" s="212"/>
      <c r="MH26" s="212"/>
      <c r="MI26" s="212"/>
      <c r="MJ26" s="212"/>
      <c r="MK26" s="212"/>
      <c r="ML26" s="212"/>
      <c r="MM26" s="212"/>
      <c r="MN26" s="212"/>
      <c r="MO26" s="212"/>
      <c r="MP26" s="212"/>
      <c r="MQ26" s="212"/>
      <c r="MR26" s="212"/>
      <c r="MS26" s="212"/>
      <c r="MT26" s="212"/>
      <c r="MU26" s="212"/>
      <c r="MV26" s="212"/>
      <c r="MW26" s="212"/>
      <c r="MX26" s="212"/>
      <c r="MY26" s="212"/>
      <c r="MZ26" s="212"/>
      <c r="NA26" s="212"/>
      <c r="NB26" s="212"/>
      <c r="NC26" s="212"/>
      <c r="ND26" s="212"/>
      <c r="NE26" s="212"/>
      <c r="NF26" s="212"/>
      <c r="NG26" s="212"/>
      <c r="NH26" s="212"/>
      <c r="NI26" s="212"/>
      <c r="NJ26" s="212"/>
      <c r="NK26" s="212"/>
      <c r="NL26" s="212"/>
      <c r="NM26" s="212"/>
      <c r="NN26" s="212"/>
      <c r="NO26" s="212"/>
      <c r="NP26" s="212"/>
      <c r="NQ26" s="212"/>
      <c r="NR26" s="212"/>
      <c r="NS26" s="212"/>
      <c r="NT26" s="212"/>
      <c r="NU26" s="212"/>
      <c r="NV26" s="212"/>
      <c r="NW26" s="212"/>
      <c r="NX26" s="212"/>
      <c r="NY26" s="212"/>
      <c r="NZ26" s="212"/>
      <c r="OA26" s="212"/>
      <c r="OB26" s="212"/>
      <c r="OC26" s="212"/>
      <c r="OD26" s="212"/>
      <c r="OE26" s="212"/>
      <c r="OF26" s="212"/>
      <c r="OG26" s="212"/>
      <c r="OH26" s="212"/>
      <c r="OI26" s="212"/>
      <c r="OJ26" s="212"/>
      <c r="OK26" s="212"/>
      <c r="OL26" s="212"/>
      <c r="OM26" s="212"/>
      <c r="ON26" s="212"/>
      <c r="OO26" s="212"/>
      <c r="OP26" s="212"/>
      <c r="OQ26" s="212"/>
      <c r="OR26" s="212"/>
      <c r="OS26" s="212"/>
      <c r="OT26" s="212"/>
      <c r="OU26" s="212"/>
      <c r="OV26" s="212"/>
      <c r="OW26" s="212"/>
      <c r="OX26" s="212"/>
      <c r="OY26" s="212"/>
      <c r="OZ26" s="212"/>
      <c r="PA26" s="212"/>
      <c r="PB26" s="212"/>
      <c r="PC26" s="212"/>
      <c r="PD26" s="212"/>
      <c r="PE26" s="212"/>
      <c r="PF26" s="212"/>
      <c r="PG26" s="212"/>
      <c r="PH26" s="212"/>
      <c r="PI26" s="212"/>
      <c r="PJ26" s="212"/>
      <c r="PK26" s="212"/>
      <c r="PL26" s="212"/>
      <c r="PM26" s="212"/>
      <c r="PN26" s="212"/>
      <c r="PO26" s="212"/>
      <c r="PP26" s="212"/>
      <c r="PQ26" s="212"/>
      <c r="PR26" s="212"/>
      <c r="PS26" s="212"/>
      <c r="PT26" s="212"/>
      <c r="PU26" s="212"/>
      <c r="PV26" s="212"/>
      <c r="PW26" s="212"/>
      <c r="PX26" s="212"/>
      <c r="PY26" s="212"/>
      <c r="PZ26" s="212"/>
      <c r="QA26" s="212"/>
      <c r="QB26" s="212"/>
      <c r="QC26" s="212"/>
      <c r="QD26" s="212"/>
      <c r="QE26" s="212"/>
      <c r="QF26" s="212"/>
      <c r="QG26" s="212"/>
      <c r="QH26" s="212"/>
      <c r="QI26" s="212"/>
      <c r="QJ26" s="212"/>
      <c r="QK26" s="212"/>
      <c r="QL26" s="212"/>
      <c r="QM26" s="212"/>
      <c r="QN26" s="212"/>
      <c r="QO26" s="212"/>
      <c r="QP26" s="212"/>
      <c r="QQ26" s="212"/>
      <c r="QR26" s="212"/>
      <c r="QS26" s="212"/>
      <c r="QT26" s="212"/>
      <c r="QU26" s="212"/>
      <c r="QV26" s="212"/>
      <c r="QW26" s="212"/>
      <c r="QX26" s="212"/>
      <c r="QY26" s="212"/>
      <c r="QZ26" s="212"/>
      <c r="RA26" s="212"/>
      <c r="RB26" s="212"/>
      <c r="RC26" s="212"/>
      <c r="RD26" s="212"/>
      <c r="RE26" s="212"/>
      <c r="RF26" s="212"/>
      <c r="RG26" s="212"/>
      <c r="RH26" s="212"/>
      <c r="RI26" s="212"/>
      <c r="RJ26" s="212"/>
      <c r="RK26" s="212"/>
      <c r="RL26" s="212"/>
      <c r="RM26" s="212"/>
      <c r="RN26" s="212"/>
      <c r="RO26" s="212"/>
      <c r="RP26" s="212"/>
      <c r="RQ26" s="212"/>
      <c r="RR26" s="212"/>
      <c r="RS26" s="212"/>
      <c r="RT26" s="212"/>
      <c r="RU26" s="212"/>
      <c r="RV26" s="212"/>
      <c r="RW26" s="212"/>
      <c r="RX26" s="212"/>
      <c r="RY26" s="212"/>
      <c r="RZ26" s="212"/>
      <c r="SA26" s="212"/>
      <c r="SB26" s="212"/>
      <c r="SC26" s="212"/>
      <c r="SD26" s="212"/>
      <c r="SE26" s="212"/>
      <c r="SF26" s="212"/>
      <c r="SG26" s="212"/>
      <c r="SH26" s="212"/>
      <c r="SI26" s="212"/>
      <c r="SJ26" s="212"/>
      <c r="SK26" s="212"/>
      <c r="SL26" s="212"/>
      <c r="SM26" s="212"/>
      <c r="SN26" s="212"/>
      <c r="SO26" s="212"/>
      <c r="SP26" s="212"/>
      <c r="SQ26" s="212"/>
      <c r="SR26" s="212"/>
      <c r="SS26" s="212"/>
      <c r="ST26" s="212"/>
      <c r="SU26" s="212"/>
      <c r="SV26" s="212"/>
      <c r="SW26" s="212"/>
      <c r="SX26" s="212"/>
      <c r="SY26" s="212"/>
      <c r="SZ26" s="212"/>
      <c r="TA26" s="212"/>
      <c r="TB26" s="212"/>
      <c r="TC26" s="212"/>
      <c r="TD26" s="212"/>
      <c r="TE26" s="212"/>
      <c r="TF26" s="212"/>
      <c r="TG26" s="212"/>
      <c r="TH26" s="212"/>
      <c r="TI26" s="212"/>
      <c r="TJ26" s="212"/>
      <c r="TK26" s="212"/>
      <c r="TL26" s="212"/>
      <c r="TM26" s="212"/>
      <c r="TN26" s="212"/>
      <c r="TO26" s="212"/>
      <c r="TP26" s="212"/>
      <c r="TQ26" s="212"/>
      <c r="TR26" s="212"/>
      <c r="TS26" s="212"/>
      <c r="TT26" s="212"/>
      <c r="TU26" s="212"/>
      <c r="TV26" s="212"/>
      <c r="TW26" s="212"/>
      <c r="TX26" s="212"/>
      <c r="TY26" s="212"/>
      <c r="TZ26" s="212"/>
      <c r="UA26" s="212"/>
      <c r="UB26" s="212"/>
      <c r="UC26" s="212"/>
      <c r="UD26" s="212"/>
      <c r="UE26" s="212"/>
      <c r="UF26" s="212"/>
      <c r="UG26" s="212"/>
      <c r="UH26" s="212"/>
      <c r="UI26" s="212"/>
      <c r="UJ26" s="212"/>
      <c r="UK26" s="212"/>
      <c r="UL26" s="212"/>
      <c r="UM26" s="212"/>
      <c r="UN26" s="212"/>
      <c r="UO26" s="212"/>
      <c r="UP26" s="212"/>
      <c r="UQ26" s="212"/>
      <c r="UR26" s="212"/>
      <c r="US26" s="212"/>
      <c r="UT26" s="194"/>
    </row>
    <row r="27" spans="2:566" ht="15.75" customHeight="1" x14ac:dyDescent="0.3">
      <c r="B27" s="117" t="s">
        <v>70</v>
      </c>
      <c r="C27" s="107" t="s">
        <v>174</v>
      </c>
      <c r="D27" s="102" t="str">
        <f t="shared" si="28"/>
        <v/>
      </c>
      <c r="E27" s="103" t="str">
        <f t="shared" si="29"/>
        <v/>
      </c>
      <c r="F27" s="212"/>
      <c r="G27" s="212"/>
      <c r="H27" s="212"/>
      <c r="I27" s="212"/>
      <c r="J27" s="212"/>
      <c r="K27" s="212"/>
      <c r="L27" s="212"/>
      <c r="M27" s="212"/>
      <c r="N27" s="212"/>
      <c r="O27" s="212"/>
      <c r="P27" s="213"/>
      <c r="Q27" s="213"/>
      <c r="R27" s="212"/>
      <c r="S27" s="212"/>
      <c r="T27" s="212"/>
      <c r="U27" s="212"/>
      <c r="V27" s="212"/>
      <c r="W27" s="213"/>
      <c r="X27" s="213"/>
      <c r="Y27" s="212"/>
      <c r="Z27" s="212"/>
      <c r="AA27" s="212"/>
      <c r="AB27" s="213"/>
      <c r="AC27" s="213"/>
      <c r="AD27" s="213"/>
      <c r="AE27" s="213"/>
      <c r="AF27" s="213"/>
      <c r="AG27" s="213"/>
      <c r="AH27" s="212"/>
      <c r="AI27" s="212"/>
      <c r="AJ27" s="212"/>
      <c r="AK27" s="213"/>
      <c r="AL27" s="213"/>
      <c r="AM27" s="212"/>
      <c r="AN27" s="212"/>
      <c r="AO27" s="212"/>
      <c r="AP27" s="212"/>
      <c r="AQ27" s="212"/>
      <c r="AR27" s="212"/>
      <c r="AS27" s="212"/>
      <c r="AT27" s="212"/>
      <c r="AU27" s="212"/>
      <c r="AV27" s="212"/>
      <c r="AW27" s="212"/>
      <c r="AX27" s="212"/>
      <c r="AY27" s="212"/>
      <c r="AZ27" s="212"/>
      <c r="BA27" s="212"/>
      <c r="BB27" s="212"/>
      <c r="BC27" s="212"/>
      <c r="BD27" s="212"/>
      <c r="BE27" s="212"/>
      <c r="BF27" s="212"/>
      <c r="BG27" s="212"/>
      <c r="BH27" s="212"/>
      <c r="BI27" s="214"/>
      <c r="BJ27" s="214"/>
      <c r="BK27" s="214"/>
      <c r="BL27" s="214"/>
      <c r="BM27" s="212"/>
      <c r="BN27" s="212"/>
      <c r="BO27" s="212"/>
      <c r="BP27" s="212"/>
      <c r="BQ27" s="212"/>
      <c r="BR27" s="212"/>
      <c r="BS27" s="212"/>
      <c r="BT27" s="212"/>
      <c r="BU27" s="212"/>
      <c r="BV27" s="212"/>
      <c r="BW27" s="212"/>
      <c r="BX27" s="212"/>
      <c r="BY27" s="212"/>
      <c r="BZ27" s="212"/>
      <c r="CA27" s="212"/>
      <c r="CB27" s="212"/>
      <c r="CC27" s="212"/>
      <c r="CD27" s="212"/>
      <c r="CE27" s="212"/>
      <c r="CF27" s="212"/>
      <c r="CG27" s="212"/>
      <c r="CH27" s="212"/>
      <c r="CI27" s="212"/>
      <c r="CJ27" s="212"/>
      <c r="CK27" s="212"/>
      <c r="CL27" s="212"/>
      <c r="CM27" s="212"/>
      <c r="CN27" s="212"/>
      <c r="CO27" s="212"/>
      <c r="CP27" s="212"/>
      <c r="CQ27" s="212"/>
      <c r="CR27" s="212"/>
      <c r="CS27" s="212"/>
      <c r="CT27" s="212"/>
      <c r="CU27" s="214"/>
      <c r="CV27" s="212"/>
      <c r="CW27" s="212"/>
      <c r="CX27" s="212"/>
      <c r="CY27" s="212"/>
      <c r="CZ27" s="212"/>
      <c r="DA27" s="212"/>
      <c r="DB27" s="212"/>
      <c r="DC27" s="212"/>
      <c r="DD27" s="212"/>
      <c r="DE27" s="212"/>
      <c r="DF27" s="212"/>
      <c r="DG27" s="212"/>
      <c r="DH27" s="212"/>
      <c r="DI27" s="212"/>
      <c r="DJ27" s="212"/>
      <c r="DK27" s="212"/>
      <c r="DL27" s="212"/>
      <c r="DM27" s="212"/>
      <c r="DN27" s="212"/>
      <c r="DO27" s="212"/>
      <c r="DP27" s="212"/>
      <c r="DQ27" s="212"/>
      <c r="DR27" s="212"/>
      <c r="DS27" s="212"/>
      <c r="DT27" s="212"/>
      <c r="DU27" s="212"/>
      <c r="DV27" s="212"/>
      <c r="DW27" s="212"/>
      <c r="DX27" s="212"/>
      <c r="DY27" s="212"/>
      <c r="DZ27" s="212"/>
      <c r="EA27" s="212"/>
      <c r="EB27" s="215"/>
      <c r="EC27" s="215"/>
      <c r="ED27" s="212"/>
      <c r="EE27" s="212"/>
      <c r="EF27" s="212"/>
      <c r="EG27" s="212"/>
      <c r="EH27" s="212"/>
      <c r="EI27" s="212"/>
      <c r="EJ27" s="212"/>
      <c r="EK27" s="212"/>
      <c r="EL27" s="212"/>
      <c r="EM27" s="212"/>
      <c r="EN27" s="212"/>
      <c r="EO27" s="212"/>
      <c r="EP27" s="212"/>
      <c r="EQ27" s="212"/>
      <c r="ER27" s="212"/>
      <c r="ES27" s="212"/>
      <c r="ET27" s="212"/>
      <c r="EU27" s="212"/>
      <c r="EV27" s="212"/>
      <c r="EW27" s="212"/>
      <c r="EX27" s="212"/>
      <c r="EY27" s="212"/>
      <c r="EZ27" s="212"/>
      <c r="FA27" s="212"/>
      <c r="FB27" s="212"/>
      <c r="FC27" s="212"/>
      <c r="FD27" s="212"/>
      <c r="FE27" s="212"/>
      <c r="FF27" s="212"/>
      <c r="FG27" s="212"/>
      <c r="FH27" s="212"/>
      <c r="FI27" s="212"/>
      <c r="FJ27" s="212"/>
      <c r="FK27" s="212"/>
      <c r="FL27" s="212"/>
      <c r="FM27" s="212"/>
      <c r="FN27" s="212"/>
      <c r="FO27" s="212"/>
      <c r="FP27" s="212"/>
      <c r="FQ27" s="212"/>
      <c r="FR27" s="212"/>
      <c r="FS27" s="212"/>
      <c r="FT27" s="212"/>
      <c r="FU27" s="212"/>
      <c r="FV27" s="212"/>
      <c r="FW27" s="212"/>
      <c r="FX27" s="212"/>
      <c r="FY27" s="212"/>
      <c r="FZ27" s="212"/>
      <c r="GA27" s="212"/>
      <c r="GB27" s="212"/>
      <c r="GC27" s="212"/>
      <c r="GD27" s="212"/>
      <c r="GE27" s="212"/>
      <c r="GF27" s="212"/>
      <c r="GG27" s="212"/>
      <c r="GH27" s="212"/>
      <c r="GI27" s="212"/>
      <c r="GJ27" s="212"/>
      <c r="GK27" s="212"/>
      <c r="GL27" s="212"/>
      <c r="GM27" s="212"/>
      <c r="GN27" s="212"/>
      <c r="GO27" s="212"/>
      <c r="GP27" s="212"/>
      <c r="GQ27" s="212"/>
      <c r="GR27" s="212"/>
      <c r="GS27" s="212"/>
      <c r="GT27" s="212"/>
      <c r="GU27" s="212"/>
      <c r="GV27" s="212"/>
      <c r="GW27" s="212"/>
      <c r="GX27" s="212"/>
      <c r="GY27" s="212"/>
      <c r="GZ27" s="212"/>
      <c r="HA27" s="212"/>
      <c r="HB27" s="212"/>
      <c r="HC27" s="212"/>
      <c r="HD27" s="212"/>
      <c r="HE27" s="212"/>
      <c r="HF27" s="212"/>
      <c r="HG27" s="212"/>
      <c r="HH27" s="212"/>
      <c r="HI27" s="212"/>
      <c r="HJ27" s="212"/>
      <c r="HK27" s="212"/>
      <c r="HL27" s="212"/>
      <c r="HM27" s="212"/>
      <c r="HN27" s="212"/>
      <c r="HO27" s="212"/>
      <c r="HP27" s="212"/>
      <c r="HQ27" s="212"/>
      <c r="HR27" s="212"/>
      <c r="HS27" s="212"/>
      <c r="HT27" s="212"/>
      <c r="HU27" s="212"/>
      <c r="HV27" s="212"/>
      <c r="HW27" s="212"/>
      <c r="HX27" s="212"/>
      <c r="HY27" s="212"/>
      <c r="HZ27" s="212"/>
      <c r="IA27" s="212"/>
      <c r="IB27" s="212"/>
      <c r="IC27" s="212"/>
      <c r="ID27" s="212"/>
      <c r="IE27" s="212"/>
      <c r="IF27" s="212"/>
      <c r="IG27" s="212"/>
      <c r="IH27" s="212"/>
      <c r="II27" s="212"/>
      <c r="IJ27" s="212"/>
      <c r="IK27" s="212"/>
      <c r="IL27" s="212"/>
      <c r="IM27" s="212"/>
      <c r="IN27" s="212"/>
      <c r="IO27" s="212"/>
      <c r="IP27" s="212"/>
      <c r="IQ27" s="212"/>
      <c r="IR27" s="212"/>
      <c r="IS27" s="212"/>
      <c r="IT27" s="212"/>
      <c r="IU27" s="212"/>
      <c r="IV27" s="212"/>
      <c r="IW27" s="212"/>
      <c r="IX27" s="212"/>
      <c r="IY27" s="212"/>
      <c r="IZ27" s="212"/>
      <c r="JA27" s="212"/>
      <c r="JB27" s="212"/>
      <c r="JC27" s="212"/>
      <c r="JD27" s="212"/>
      <c r="JE27" s="212"/>
      <c r="JF27" s="212"/>
      <c r="JG27" s="212"/>
      <c r="JH27" s="212"/>
      <c r="JI27" s="212"/>
      <c r="JJ27" s="212"/>
      <c r="JK27" s="212"/>
      <c r="JL27" s="212"/>
      <c r="JM27" s="212"/>
      <c r="JN27" s="212"/>
      <c r="JO27" s="212"/>
      <c r="JP27" s="212"/>
      <c r="JQ27" s="212"/>
      <c r="JR27" s="212"/>
      <c r="JS27" s="212"/>
      <c r="JT27" s="212"/>
      <c r="JU27" s="212"/>
      <c r="JV27" s="212"/>
      <c r="JW27" s="212"/>
      <c r="JX27" s="212"/>
      <c r="JY27" s="212"/>
      <c r="JZ27" s="212"/>
      <c r="KA27" s="212"/>
      <c r="KB27" s="212"/>
      <c r="KC27" s="212"/>
      <c r="KD27" s="212"/>
      <c r="KE27" s="212"/>
      <c r="KF27" s="212"/>
      <c r="KG27" s="212"/>
      <c r="KH27" s="212"/>
      <c r="KI27" s="212"/>
      <c r="KJ27" s="212"/>
      <c r="KK27" s="212"/>
      <c r="KL27" s="212"/>
      <c r="KM27" s="212"/>
      <c r="KN27" s="212"/>
      <c r="KO27" s="212"/>
      <c r="KP27" s="212"/>
      <c r="KQ27" s="212"/>
      <c r="KR27" s="212"/>
      <c r="KS27" s="212"/>
      <c r="KT27" s="212"/>
      <c r="KU27" s="212"/>
      <c r="KV27" s="212"/>
      <c r="KW27" s="212"/>
      <c r="KX27" s="212"/>
      <c r="KY27" s="212"/>
      <c r="KZ27" s="212"/>
      <c r="LA27" s="212"/>
      <c r="LB27" s="212"/>
      <c r="LC27" s="212"/>
      <c r="LD27" s="212"/>
      <c r="LE27" s="212"/>
      <c r="LF27" s="212"/>
      <c r="LG27" s="212"/>
      <c r="LH27" s="212"/>
      <c r="LI27" s="212"/>
      <c r="LJ27" s="212"/>
      <c r="LK27" s="212"/>
      <c r="LL27" s="212"/>
      <c r="LM27" s="212"/>
      <c r="LN27" s="212"/>
      <c r="LO27" s="212"/>
      <c r="LP27" s="212"/>
      <c r="LQ27" s="212"/>
      <c r="LR27" s="212"/>
      <c r="LS27" s="212"/>
      <c r="LT27" s="212"/>
      <c r="LU27" s="212"/>
      <c r="LV27" s="212"/>
      <c r="LW27" s="212"/>
      <c r="LX27" s="212"/>
      <c r="LY27" s="212"/>
      <c r="LZ27" s="212"/>
      <c r="MA27" s="212"/>
      <c r="MB27" s="212"/>
      <c r="MC27" s="212"/>
      <c r="MD27" s="212"/>
      <c r="ME27" s="212"/>
      <c r="MF27" s="212"/>
      <c r="MG27" s="212"/>
      <c r="MH27" s="212"/>
      <c r="MI27" s="212"/>
      <c r="MJ27" s="212"/>
      <c r="MK27" s="212"/>
      <c r="ML27" s="212"/>
      <c r="MM27" s="212"/>
      <c r="MN27" s="212"/>
      <c r="MO27" s="212"/>
      <c r="MP27" s="212"/>
      <c r="MQ27" s="212"/>
      <c r="MR27" s="212"/>
      <c r="MS27" s="212"/>
      <c r="MT27" s="212"/>
      <c r="MU27" s="212"/>
      <c r="MV27" s="212"/>
      <c r="MW27" s="212"/>
      <c r="MX27" s="212"/>
      <c r="MY27" s="212"/>
      <c r="MZ27" s="212"/>
      <c r="NA27" s="212"/>
      <c r="NB27" s="212"/>
      <c r="NC27" s="212"/>
      <c r="ND27" s="212"/>
      <c r="NE27" s="212"/>
      <c r="NF27" s="212"/>
      <c r="NG27" s="212"/>
      <c r="NH27" s="212"/>
      <c r="NI27" s="212"/>
      <c r="NJ27" s="212"/>
      <c r="NK27" s="212"/>
      <c r="NL27" s="212"/>
      <c r="NM27" s="212"/>
      <c r="NN27" s="212"/>
      <c r="NO27" s="212"/>
      <c r="NP27" s="212"/>
      <c r="NQ27" s="212"/>
      <c r="NR27" s="212"/>
      <c r="NS27" s="212"/>
      <c r="NT27" s="212"/>
      <c r="NU27" s="212"/>
      <c r="NV27" s="212"/>
      <c r="NW27" s="212"/>
      <c r="NX27" s="212"/>
      <c r="NY27" s="212"/>
      <c r="NZ27" s="212"/>
      <c r="OA27" s="212"/>
      <c r="OB27" s="212"/>
      <c r="OC27" s="212"/>
      <c r="OD27" s="212"/>
      <c r="OE27" s="212"/>
      <c r="OF27" s="212"/>
      <c r="OG27" s="212"/>
      <c r="OH27" s="212"/>
      <c r="OI27" s="212"/>
      <c r="OJ27" s="212"/>
      <c r="OK27" s="212"/>
      <c r="OL27" s="212"/>
      <c r="OM27" s="212"/>
      <c r="ON27" s="212"/>
      <c r="OO27" s="212"/>
      <c r="OP27" s="212"/>
      <c r="OQ27" s="212"/>
      <c r="OR27" s="212"/>
      <c r="OS27" s="212"/>
      <c r="OT27" s="212"/>
      <c r="OU27" s="212"/>
      <c r="OV27" s="212"/>
      <c r="OW27" s="212"/>
      <c r="OX27" s="212"/>
      <c r="OY27" s="212"/>
      <c r="OZ27" s="212"/>
      <c r="PA27" s="212"/>
      <c r="PB27" s="212"/>
      <c r="PC27" s="212"/>
      <c r="PD27" s="212"/>
      <c r="PE27" s="212"/>
      <c r="PF27" s="212"/>
      <c r="PG27" s="212"/>
      <c r="PH27" s="212"/>
      <c r="PI27" s="212"/>
      <c r="PJ27" s="212"/>
      <c r="PK27" s="212"/>
      <c r="PL27" s="212"/>
      <c r="PM27" s="212"/>
      <c r="PN27" s="212"/>
      <c r="PO27" s="212"/>
      <c r="PP27" s="212"/>
      <c r="PQ27" s="212"/>
      <c r="PR27" s="212"/>
      <c r="PS27" s="212"/>
      <c r="PT27" s="212"/>
      <c r="PU27" s="212"/>
      <c r="PV27" s="212"/>
      <c r="PW27" s="212"/>
      <c r="PX27" s="212"/>
      <c r="PY27" s="212"/>
      <c r="PZ27" s="212"/>
      <c r="QA27" s="212"/>
      <c r="QB27" s="212"/>
      <c r="QC27" s="212"/>
      <c r="QD27" s="212"/>
      <c r="QE27" s="212"/>
      <c r="QF27" s="212"/>
      <c r="QG27" s="212"/>
      <c r="QH27" s="212"/>
      <c r="QI27" s="212"/>
      <c r="QJ27" s="212"/>
      <c r="QK27" s="212"/>
      <c r="QL27" s="212"/>
      <c r="QM27" s="212"/>
      <c r="QN27" s="212"/>
      <c r="QO27" s="212"/>
      <c r="QP27" s="212"/>
      <c r="QQ27" s="212"/>
      <c r="QR27" s="212"/>
      <c r="QS27" s="212"/>
      <c r="QT27" s="212"/>
      <c r="QU27" s="212"/>
      <c r="QV27" s="212"/>
      <c r="QW27" s="212"/>
      <c r="QX27" s="212"/>
      <c r="QY27" s="212"/>
      <c r="QZ27" s="212"/>
      <c r="RA27" s="212"/>
      <c r="RB27" s="212"/>
      <c r="RC27" s="212"/>
      <c r="RD27" s="212"/>
      <c r="RE27" s="212"/>
      <c r="RF27" s="212"/>
      <c r="RG27" s="212"/>
      <c r="RH27" s="212"/>
      <c r="RI27" s="212"/>
      <c r="RJ27" s="212"/>
      <c r="RK27" s="212"/>
      <c r="RL27" s="212"/>
      <c r="RM27" s="212"/>
      <c r="RN27" s="212"/>
      <c r="RO27" s="212"/>
      <c r="RP27" s="212"/>
      <c r="RQ27" s="212"/>
      <c r="RR27" s="212"/>
      <c r="RS27" s="212"/>
      <c r="RT27" s="212"/>
      <c r="RU27" s="212"/>
      <c r="RV27" s="212"/>
      <c r="RW27" s="212"/>
      <c r="RX27" s="212"/>
      <c r="RY27" s="212"/>
      <c r="RZ27" s="212"/>
      <c r="SA27" s="212"/>
      <c r="SB27" s="212"/>
      <c r="SC27" s="212"/>
      <c r="SD27" s="212"/>
      <c r="SE27" s="212"/>
      <c r="SF27" s="212"/>
      <c r="SG27" s="212"/>
      <c r="SH27" s="212"/>
      <c r="SI27" s="212"/>
      <c r="SJ27" s="212"/>
      <c r="SK27" s="212"/>
      <c r="SL27" s="212"/>
      <c r="SM27" s="212"/>
      <c r="SN27" s="212"/>
      <c r="SO27" s="212"/>
      <c r="SP27" s="212"/>
      <c r="SQ27" s="212"/>
      <c r="SR27" s="212"/>
      <c r="SS27" s="212"/>
      <c r="ST27" s="212"/>
      <c r="SU27" s="212"/>
      <c r="SV27" s="212"/>
      <c r="SW27" s="212"/>
      <c r="SX27" s="212"/>
      <c r="SY27" s="212"/>
      <c r="SZ27" s="212"/>
      <c r="TA27" s="212"/>
      <c r="TB27" s="212"/>
      <c r="TC27" s="212"/>
      <c r="TD27" s="212"/>
      <c r="TE27" s="212"/>
      <c r="TF27" s="212"/>
      <c r="TG27" s="212"/>
      <c r="TH27" s="212"/>
      <c r="TI27" s="212"/>
      <c r="TJ27" s="212"/>
      <c r="TK27" s="212"/>
      <c r="TL27" s="212"/>
      <c r="TM27" s="212"/>
      <c r="TN27" s="212"/>
      <c r="TO27" s="212"/>
      <c r="TP27" s="212"/>
      <c r="TQ27" s="212"/>
      <c r="TR27" s="212"/>
      <c r="TS27" s="212"/>
      <c r="TT27" s="212"/>
      <c r="TU27" s="212"/>
      <c r="TV27" s="212"/>
      <c r="TW27" s="212"/>
      <c r="TX27" s="212"/>
      <c r="TY27" s="212"/>
      <c r="TZ27" s="212"/>
      <c r="UA27" s="212"/>
      <c r="UB27" s="212"/>
      <c r="UC27" s="212"/>
      <c r="UD27" s="212"/>
      <c r="UE27" s="212"/>
      <c r="UF27" s="212"/>
      <c r="UG27" s="212"/>
      <c r="UH27" s="212"/>
      <c r="UI27" s="212"/>
      <c r="UJ27" s="212"/>
      <c r="UK27" s="212"/>
      <c r="UL27" s="212"/>
      <c r="UM27" s="212"/>
      <c r="UN27" s="212"/>
      <c r="UO27" s="212"/>
      <c r="UP27" s="212"/>
      <c r="UQ27" s="212"/>
      <c r="UR27" s="212"/>
      <c r="US27" s="212"/>
      <c r="UT27" s="194"/>
    </row>
    <row r="28" spans="2:566" ht="15.75" customHeight="1" x14ac:dyDescent="0.3">
      <c r="B28" s="117" t="s">
        <v>68</v>
      </c>
      <c r="C28" s="107" t="s">
        <v>175</v>
      </c>
      <c r="D28" s="102" t="str">
        <f t="shared" si="28"/>
        <v/>
      </c>
      <c r="E28" s="103" t="str">
        <f t="shared" si="29"/>
        <v/>
      </c>
      <c r="F28" s="212"/>
      <c r="G28" s="212"/>
      <c r="H28" s="212"/>
      <c r="I28" s="212"/>
      <c r="J28" s="212"/>
      <c r="K28" s="212"/>
      <c r="L28" s="212"/>
      <c r="M28" s="212"/>
      <c r="N28" s="212"/>
      <c r="O28" s="212"/>
      <c r="P28" s="213"/>
      <c r="Q28" s="213"/>
      <c r="R28" s="212"/>
      <c r="S28" s="212"/>
      <c r="T28" s="212"/>
      <c r="U28" s="212"/>
      <c r="V28" s="212"/>
      <c r="W28" s="213"/>
      <c r="X28" s="213"/>
      <c r="Y28" s="212"/>
      <c r="Z28" s="212"/>
      <c r="AA28" s="212"/>
      <c r="AB28" s="213"/>
      <c r="AC28" s="213"/>
      <c r="AD28" s="213"/>
      <c r="AE28" s="213"/>
      <c r="AF28" s="213"/>
      <c r="AG28" s="213"/>
      <c r="AH28" s="212"/>
      <c r="AI28" s="212"/>
      <c r="AJ28" s="212"/>
      <c r="AK28" s="213"/>
      <c r="AL28" s="213"/>
      <c r="AM28" s="212"/>
      <c r="AN28" s="212"/>
      <c r="AO28" s="212"/>
      <c r="AP28" s="212"/>
      <c r="AQ28" s="212"/>
      <c r="AR28" s="212"/>
      <c r="AS28" s="212"/>
      <c r="AT28" s="212"/>
      <c r="AU28" s="212"/>
      <c r="AV28" s="212"/>
      <c r="AW28" s="212"/>
      <c r="AX28" s="212"/>
      <c r="AY28" s="212"/>
      <c r="AZ28" s="212"/>
      <c r="BA28" s="212"/>
      <c r="BB28" s="212"/>
      <c r="BC28" s="212"/>
      <c r="BD28" s="212"/>
      <c r="BE28" s="212"/>
      <c r="BF28" s="212"/>
      <c r="BG28" s="212"/>
      <c r="BH28" s="212"/>
      <c r="BI28" s="214"/>
      <c r="BJ28" s="214"/>
      <c r="BK28" s="214"/>
      <c r="BL28" s="214"/>
      <c r="BM28" s="212"/>
      <c r="BN28" s="212"/>
      <c r="BO28" s="212"/>
      <c r="BP28" s="212"/>
      <c r="BQ28" s="212"/>
      <c r="BR28" s="212"/>
      <c r="BS28" s="212"/>
      <c r="BT28" s="212"/>
      <c r="BU28" s="212"/>
      <c r="BV28" s="212"/>
      <c r="BW28" s="212"/>
      <c r="BX28" s="212"/>
      <c r="BY28" s="212"/>
      <c r="BZ28" s="212"/>
      <c r="CA28" s="212"/>
      <c r="CB28" s="212"/>
      <c r="CC28" s="212"/>
      <c r="CD28" s="212"/>
      <c r="CE28" s="212"/>
      <c r="CF28" s="212"/>
      <c r="CG28" s="212"/>
      <c r="CH28" s="212"/>
      <c r="CI28" s="212"/>
      <c r="CJ28" s="212"/>
      <c r="CK28" s="212"/>
      <c r="CL28" s="212"/>
      <c r="CM28" s="212"/>
      <c r="CN28" s="212"/>
      <c r="CO28" s="212"/>
      <c r="CP28" s="212"/>
      <c r="CQ28" s="212"/>
      <c r="CR28" s="212"/>
      <c r="CS28" s="212"/>
      <c r="CT28" s="212"/>
      <c r="CU28" s="215"/>
      <c r="CV28" s="212"/>
      <c r="CW28" s="212"/>
      <c r="CX28" s="212"/>
      <c r="CY28" s="212"/>
      <c r="CZ28" s="212"/>
      <c r="DA28" s="212"/>
      <c r="DB28" s="212"/>
      <c r="DC28" s="212"/>
      <c r="DD28" s="212"/>
      <c r="DE28" s="212"/>
      <c r="DF28" s="212"/>
      <c r="DG28" s="212"/>
      <c r="DH28" s="212"/>
      <c r="DI28" s="212"/>
      <c r="DJ28" s="212"/>
      <c r="DK28" s="212"/>
      <c r="DL28" s="212"/>
      <c r="DM28" s="212"/>
      <c r="DN28" s="212"/>
      <c r="DO28" s="212"/>
      <c r="DP28" s="212"/>
      <c r="DQ28" s="212"/>
      <c r="DR28" s="212"/>
      <c r="DS28" s="212"/>
      <c r="DT28" s="212"/>
      <c r="DU28" s="212"/>
      <c r="DV28" s="212"/>
      <c r="DW28" s="212"/>
      <c r="DX28" s="212"/>
      <c r="DY28" s="212"/>
      <c r="DZ28" s="212"/>
      <c r="EA28" s="212"/>
      <c r="EB28" s="215"/>
      <c r="EC28" s="215"/>
      <c r="ED28" s="212"/>
      <c r="EE28" s="212"/>
      <c r="EF28" s="212"/>
      <c r="EG28" s="212"/>
      <c r="EH28" s="212"/>
      <c r="EI28" s="212"/>
      <c r="EJ28" s="212"/>
      <c r="EK28" s="212"/>
      <c r="EL28" s="212"/>
      <c r="EM28" s="212"/>
      <c r="EN28" s="212"/>
      <c r="EO28" s="212"/>
      <c r="EP28" s="212"/>
      <c r="EQ28" s="212"/>
      <c r="ER28" s="212"/>
      <c r="ES28" s="212"/>
      <c r="ET28" s="212"/>
      <c r="EU28" s="212"/>
      <c r="EV28" s="212"/>
      <c r="EW28" s="212"/>
      <c r="EX28" s="212"/>
      <c r="EY28" s="212"/>
      <c r="EZ28" s="212"/>
      <c r="FA28" s="212"/>
      <c r="FB28" s="212"/>
      <c r="FC28" s="212"/>
      <c r="FD28" s="212"/>
      <c r="FE28" s="212"/>
      <c r="FF28" s="212"/>
      <c r="FG28" s="212"/>
      <c r="FH28" s="212"/>
      <c r="FI28" s="212"/>
      <c r="FJ28" s="212"/>
      <c r="FK28" s="212"/>
      <c r="FL28" s="212"/>
      <c r="FM28" s="212"/>
      <c r="FN28" s="212"/>
      <c r="FO28" s="212"/>
      <c r="FP28" s="212"/>
      <c r="FQ28" s="212"/>
      <c r="FR28" s="212"/>
      <c r="FS28" s="212"/>
      <c r="FT28" s="212"/>
      <c r="FU28" s="212"/>
      <c r="FV28" s="212"/>
      <c r="FW28" s="212"/>
      <c r="FX28" s="212"/>
      <c r="FY28" s="212"/>
      <c r="FZ28" s="212"/>
      <c r="GA28" s="212"/>
      <c r="GB28" s="212"/>
      <c r="GC28" s="212"/>
      <c r="GD28" s="212"/>
      <c r="GE28" s="212"/>
      <c r="GF28" s="212"/>
      <c r="GG28" s="212"/>
      <c r="GH28" s="212"/>
      <c r="GI28" s="212"/>
      <c r="GJ28" s="212"/>
      <c r="GK28" s="212"/>
      <c r="GL28" s="212"/>
      <c r="GM28" s="212"/>
      <c r="GN28" s="212"/>
      <c r="GO28" s="212"/>
      <c r="GP28" s="212"/>
      <c r="GQ28" s="212"/>
      <c r="GR28" s="212"/>
      <c r="GS28" s="212"/>
      <c r="GT28" s="212"/>
      <c r="GU28" s="212"/>
      <c r="GV28" s="212"/>
      <c r="GW28" s="212"/>
      <c r="GX28" s="212"/>
      <c r="GY28" s="212"/>
      <c r="GZ28" s="212"/>
      <c r="HA28" s="212"/>
      <c r="HB28" s="212"/>
      <c r="HC28" s="212"/>
      <c r="HD28" s="212"/>
      <c r="HE28" s="212"/>
      <c r="HF28" s="212"/>
      <c r="HG28" s="212"/>
      <c r="HH28" s="212"/>
      <c r="HI28" s="212"/>
      <c r="HJ28" s="212"/>
      <c r="HK28" s="212"/>
      <c r="HL28" s="212"/>
      <c r="HM28" s="212"/>
      <c r="HN28" s="212"/>
      <c r="HO28" s="212"/>
      <c r="HP28" s="212"/>
      <c r="HQ28" s="212"/>
      <c r="HR28" s="212"/>
      <c r="HS28" s="212"/>
      <c r="HT28" s="212"/>
      <c r="HU28" s="212"/>
      <c r="HV28" s="212"/>
      <c r="HW28" s="212"/>
      <c r="HX28" s="212"/>
      <c r="HY28" s="212"/>
      <c r="HZ28" s="212"/>
      <c r="IA28" s="212"/>
      <c r="IB28" s="212"/>
      <c r="IC28" s="212"/>
      <c r="ID28" s="212"/>
      <c r="IE28" s="212"/>
      <c r="IF28" s="212"/>
      <c r="IG28" s="212"/>
      <c r="IH28" s="212"/>
      <c r="II28" s="212"/>
      <c r="IJ28" s="212"/>
      <c r="IK28" s="212"/>
      <c r="IL28" s="212"/>
      <c r="IM28" s="212"/>
      <c r="IN28" s="212"/>
      <c r="IO28" s="212"/>
      <c r="IP28" s="212"/>
      <c r="IQ28" s="212"/>
      <c r="IR28" s="212"/>
      <c r="IS28" s="212"/>
      <c r="IT28" s="212"/>
      <c r="IU28" s="212"/>
      <c r="IV28" s="212"/>
      <c r="IW28" s="212"/>
      <c r="IX28" s="212"/>
      <c r="IY28" s="212"/>
      <c r="IZ28" s="212"/>
      <c r="JA28" s="212"/>
      <c r="JB28" s="212"/>
      <c r="JC28" s="212"/>
      <c r="JD28" s="212"/>
      <c r="JE28" s="212"/>
      <c r="JF28" s="212"/>
      <c r="JG28" s="212"/>
      <c r="JH28" s="212"/>
      <c r="JI28" s="212"/>
      <c r="JJ28" s="212"/>
      <c r="JK28" s="212"/>
      <c r="JL28" s="212"/>
      <c r="JM28" s="212"/>
      <c r="JN28" s="212"/>
      <c r="JO28" s="212"/>
      <c r="JP28" s="212"/>
      <c r="JQ28" s="212"/>
      <c r="JR28" s="212"/>
      <c r="JS28" s="212"/>
      <c r="JT28" s="212"/>
      <c r="JU28" s="212"/>
      <c r="JV28" s="212"/>
      <c r="JW28" s="212"/>
      <c r="JX28" s="212"/>
      <c r="JY28" s="212"/>
      <c r="JZ28" s="212"/>
      <c r="KA28" s="212"/>
      <c r="KB28" s="212"/>
      <c r="KC28" s="212"/>
      <c r="KD28" s="212"/>
      <c r="KE28" s="212"/>
      <c r="KF28" s="212"/>
      <c r="KG28" s="212"/>
      <c r="KH28" s="212"/>
      <c r="KI28" s="212"/>
      <c r="KJ28" s="212"/>
      <c r="KK28" s="212"/>
      <c r="KL28" s="212"/>
      <c r="KM28" s="212"/>
      <c r="KN28" s="212"/>
      <c r="KO28" s="212"/>
      <c r="KP28" s="212"/>
      <c r="KQ28" s="212"/>
      <c r="KR28" s="212"/>
      <c r="KS28" s="212"/>
      <c r="KT28" s="212"/>
      <c r="KU28" s="212"/>
      <c r="KV28" s="212"/>
      <c r="KW28" s="212"/>
      <c r="KX28" s="212"/>
      <c r="KY28" s="212"/>
      <c r="KZ28" s="212"/>
      <c r="LA28" s="212"/>
      <c r="LB28" s="212"/>
      <c r="LC28" s="212"/>
      <c r="LD28" s="212"/>
      <c r="LE28" s="212"/>
      <c r="LF28" s="212"/>
      <c r="LG28" s="212"/>
      <c r="LH28" s="212"/>
      <c r="LI28" s="212"/>
      <c r="LJ28" s="212"/>
      <c r="LK28" s="212"/>
      <c r="LL28" s="212"/>
      <c r="LM28" s="212"/>
      <c r="LN28" s="212"/>
      <c r="LO28" s="212"/>
      <c r="LP28" s="212"/>
      <c r="LQ28" s="212"/>
      <c r="LR28" s="212"/>
      <c r="LS28" s="212"/>
      <c r="LT28" s="212"/>
      <c r="LU28" s="212"/>
      <c r="LV28" s="212"/>
      <c r="LW28" s="212"/>
      <c r="LX28" s="212"/>
      <c r="LY28" s="212"/>
      <c r="LZ28" s="212"/>
      <c r="MA28" s="212"/>
      <c r="MB28" s="212"/>
      <c r="MC28" s="212"/>
      <c r="MD28" s="212"/>
      <c r="ME28" s="212"/>
      <c r="MF28" s="212"/>
      <c r="MG28" s="212"/>
      <c r="MH28" s="212"/>
      <c r="MI28" s="212"/>
      <c r="MJ28" s="212"/>
      <c r="MK28" s="212"/>
      <c r="ML28" s="212"/>
      <c r="MM28" s="212"/>
      <c r="MN28" s="212"/>
      <c r="MO28" s="212"/>
      <c r="MP28" s="212"/>
      <c r="MQ28" s="212"/>
      <c r="MR28" s="212"/>
      <c r="MS28" s="212"/>
      <c r="MT28" s="212"/>
      <c r="MU28" s="212"/>
      <c r="MV28" s="212"/>
      <c r="MW28" s="212"/>
      <c r="MX28" s="212"/>
      <c r="MY28" s="212"/>
      <c r="MZ28" s="212"/>
      <c r="NA28" s="212"/>
      <c r="NB28" s="212"/>
      <c r="NC28" s="212"/>
      <c r="ND28" s="212"/>
      <c r="NE28" s="212"/>
      <c r="NF28" s="212"/>
      <c r="NG28" s="212"/>
      <c r="NH28" s="212"/>
      <c r="NI28" s="212"/>
      <c r="NJ28" s="212"/>
      <c r="NK28" s="212"/>
      <c r="NL28" s="212"/>
      <c r="NM28" s="212"/>
      <c r="NN28" s="212"/>
      <c r="NO28" s="212"/>
      <c r="NP28" s="212"/>
      <c r="NQ28" s="212"/>
      <c r="NR28" s="212"/>
      <c r="NS28" s="212"/>
      <c r="NT28" s="212"/>
      <c r="NU28" s="212"/>
      <c r="NV28" s="212"/>
      <c r="NW28" s="212"/>
      <c r="NX28" s="212"/>
      <c r="NY28" s="212"/>
      <c r="NZ28" s="212"/>
      <c r="OA28" s="212"/>
      <c r="OB28" s="212"/>
      <c r="OC28" s="212"/>
      <c r="OD28" s="212"/>
      <c r="OE28" s="212"/>
      <c r="OF28" s="212"/>
      <c r="OG28" s="212"/>
      <c r="OH28" s="212"/>
      <c r="OI28" s="212"/>
      <c r="OJ28" s="212"/>
      <c r="OK28" s="212"/>
      <c r="OL28" s="212"/>
      <c r="OM28" s="212"/>
      <c r="ON28" s="212"/>
      <c r="OO28" s="212"/>
      <c r="OP28" s="212"/>
      <c r="OQ28" s="212"/>
      <c r="OR28" s="212"/>
      <c r="OS28" s="212"/>
      <c r="OT28" s="212"/>
      <c r="OU28" s="212"/>
      <c r="OV28" s="212"/>
      <c r="OW28" s="212"/>
      <c r="OX28" s="212"/>
      <c r="OY28" s="212"/>
      <c r="OZ28" s="212"/>
      <c r="PA28" s="212"/>
      <c r="PB28" s="212"/>
      <c r="PC28" s="212"/>
      <c r="PD28" s="212"/>
      <c r="PE28" s="212"/>
      <c r="PF28" s="212"/>
      <c r="PG28" s="212"/>
      <c r="PH28" s="212"/>
      <c r="PI28" s="212"/>
      <c r="PJ28" s="212"/>
      <c r="PK28" s="212"/>
      <c r="PL28" s="212"/>
      <c r="PM28" s="212"/>
      <c r="PN28" s="212"/>
      <c r="PO28" s="212"/>
      <c r="PP28" s="212"/>
      <c r="PQ28" s="212"/>
      <c r="PR28" s="212"/>
      <c r="PS28" s="212"/>
      <c r="PT28" s="212"/>
      <c r="PU28" s="212"/>
      <c r="PV28" s="212"/>
      <c r="PW28" s="212"/>
      <c r="PX28" s="212"/>
      <c r="PY28" s="212"/>
      <c r="PZ28" s="212"/>
      <c r="QA28" s="212"/>
      <c r="QB28" s="212"/>
      <c r="QC28" s="212"/>
      <c r="QD28" s="212"/>
      <c r="QE28" s="212"/>
      <c r="QF28" s="212"/>
      <c r="QG28" s="212"/>
      <c r="QH28" s="212"/>
      <c r="QI28" s="212"/>
      <c r="QJ28" s="212"/>
      <c r="QK28" s="212"/>
      <c r="QL28" s="212"/>
      <c r="QM28" s="212"/>
      <c r="QN28" s="212"/>
      <c r="QO28" s="212"/>
      <c r="QP28" s="212"/>
      <c r="QQ28" s="212"/>
      <c r="QR28" s="212"/>
      <c r="QS28" s="212"/>
      <c r="QT28" s="212"/>
      <c r="QU28" s="212"/>
      <c r="QV28" s="212"/>
      <c r="QW28" s="212"/>
      <c r="QX28" s="212"/>
      <c r="QY28" s="212"/>
      <c r="QZ28" s="212"/>
      <c r="RA28" s="212"/>
      <c r="RB28" s="212"/>
      <c r="RC28" s="212"/>
      <c r="RD28" s="212"/>
      <c r="RE28" s="212"/>
      <c r="RF28" s="212"/>
      <c r="RG28" s="212"/>
      <c r="RH28" s="212"/>
      <c r="RI28" s="212"/>
      <c r="RJ28" s="212"/>
      <c r="RK28" s="212"/>
      <c r="RL28" s="212"/>
      <c r="RM28" s="212"/>
      <c r="RN28" s="212"/>
      <c r="RO28" s="212"/>
      <c r="RP28" s="212"/>
      <c r="RQ28" s="212"/>
      <c r="RR28" s="212"/>
      <c r="RS28" s="212"/>
      <c r="RT28" s="212"/>
      <c r="RU28" s="212"/>
      <c r="RV28" s="212"/>
      <c r="RW28" s="212"/>
      <c r="RX28" s="212"/>
      <c r="RY28" s="212"/>
      <c r="RZ28" s="212"/>
      <c r="SA28" s="212"/>
      <c r="SB28" s="212"/>
      <c r="SC28" s="212"/>
      <c r="SD28" s="212"/>
      <c r="SE28" s="212"/>
      <c r="SF28" s="212"/>
      <c r="SG28" s="212"/>
      <c r="SH28" s="212"/>
      <c r="SI28" s="212"/>
      <c r="SJ28" s="212"/>
      <c r="SK28" s="212"/>
      <c r="SL28" s="212"/>
      <c r="SM28" s="212"/>
      <c r="SN28" s="212"/>
      <c r="SO28" s="212"/>
      <c r="SP28" s="212"/>
      <c r="SQ28" s="212"/>
      <c r="SR28" s="212"/>
      <c r="SS28" s="212"/>
      <c r="ST28" s="212"/>
      <c r="SU28" s="212"/>
      <c r="SV28" s="212"/>
      <c r="SW28" s="212"/>
      <c r="SX28" s="212"/>
      <c r="SY28" s="212"/>
      <c r="SZ28" s="212"/>
      <c r="TA28" s="212"/>
      <c r="TB28" s="212"/>
      <c r="TC28" s="212"/>
      <c r="TD28" s="212"/>
      <c r="TE28" s="212"/>
      <c r="TF28" s="212"/>
      <c r="TG28" s="212"/>
      <c r="TH28" s="212"/>
      <c r="TI28" s="212"/>
      <c r="TJ28" s="212"/>
      <c r="TK28" s="212"/>
      <c r="TL28" s="212"/>
      <c r="TM28" s="212"/>
      <c r="TN28" s="212"/>
      <c r="TO28" s="212"/>
      <c r="TP28" s="212"/>
      <c r="TQ28" s="212"/>
      <c r="TR28" s="212"/>
      <c r="TS28" s="212"/>
      <c r="TT28" s="212"/>
      <c r="TU28" s="212"/>
      <c r="TV28" s="212"/>
      <c r="TW28" s="212"/>
      <c r="TX28" s="212"/>
      <c r="TY28" s="212"/>
      <c r="TZ28" s="212"/>
      <c r="UA28" s="212"/>
      <c r="UB28" s="212"/>
      <c r="UC28" s="212"/>
      <c r="UD28" s="212"/>
      <c r="UE28" s="212"/>
      <c r="UF28" s="212"/>
      <c r="UG28" s="212"/>
      <c r="UH28" s="212"/>
      <c r="UI28" s="212"/>
      <c r="UJ28" s="212"/>
      <c r="UK28" s="212"/>
      <c r="UL28" s="212"/>
      <c r="UM28" s="212"/>
      <c r="UN28" s="212"/>
      <c r="UO28" s="212"/>
      <c r="UP28" s="212"/>
      <c r="UQ28" s="212"/>
      <c r="UR28" s="212"/>
      <c r="US28" s="212"/>
      <c r="UT28" s="194"/>
    </row>
    <row r="29" spans="2:566" ht="15.75" customHeight="1" x14ac:dyDescent="0.3">
      <c r="B29" s="117" t="s">
        <v>67</v>
      </c>
      <c r="C29" s="107" t="s">
        <v>162</v>
      </c>
      <c r="D29" s="102" t="str">
        <f t="shared" si="28"/>
        <v/>
      </c>
      <c r="E29" s="103" t="str">
        <f t="shared" si="29"/>
        <v/>
      </c>
      <c r="F29" s="212"/>
      <c r="G29" s="212"/>
      <c r="H29" s="212"/>
      <c r="I29" s="212"/>
      <c r="J29" s="212"/>
      <c r="K29" s="212"/>
      <c r="L29" s="212"/>
      <c r="M29" s="212"/>
      <c r="N29" s="212"/>
      <c r="O29" s="212"/>
      <c r="P29" s="213"/>
      <c r="Q29" s="213"/>
      <c r="R29" s="212"/>
      <c r="S29" s="212"/>
      <c r="T29" s="212"/>
      <c r="U29" s="212"/>
      <c r="V29" s="212"/>
      <c r="W29" s="213"/>
      <c r="X29" s="213"/>
      <c r="Y29" s="212"/>
      <c r="Z29" s="212"/>
      <c r="AA29" s="212"/>
      <c r="AB29" s="213"/>
      <c r="AC29" s="213"/>
      <c r="AD29" s="213"/>
      <c r="AE29" s="213"/>
      <c r="AF29" s="213"/>
      <c r="AG29" s="213"/>
      <c r="AH29" s="212"/>
      <c r="AI29" s="212"/>
      <c r="AJ29" s="212"/>
      <c r="AK29" s="213"/>
      <c r="AL29" s="213"/>
      <c r="AM29" s="212"/>
      <c r="AN29" s="212"/>
      <c r="AO29" s="212"/>
      <c r="AP29" s="212"/>
      <c r="AQ29" s="212"/>
      <c r="AR29" s="212"/>
      <c r="AS29" s="212"/>
      <c r="AT29" s="212"/>
      <c r="AU29" s="212"/>
      <c r="AV29" s="212"/>
      <c r="AW29" s="212"/>
      <c r="AX29" s="212"/>
      <c r="AY29" s="212"/>
      <c r="AZ29" s="212"/>
      <c r="BA29" s="212"/>
      <c r="BB29" s="212"/>
      <c r="BC29" s="212"/>
      <c r="BD29" s="212"/>
      <c r="BE29" s="212"/>
      <c r="BF29" s="212"/>
      <c r="BG29" s="212"/>
      <c r="BH29" s="212"/>
      <c r="BI29" s="214"/>
      <c r="BJ29" s="214"/>
      <c r="BK29" s="214"/>
      <c r="BL29" s="214"/>
      <c r="BM29" s="212"/>
      <c r="BN29" s="212"/>
      <c r="BO29" s="212"/>
      <c r="BP29" s="212"/>
      <c r="BQ29" s="212"/>
      <c r="BR29" s="212"/>
      <c r="BS29" s="212"/>
      <c r="BT29" s="212"/>
      <c r="BU29" s="212"/>
      <c r="BV29" s="212"/>
      <c r="BW29" s="212"/>
      <c r="BX29" s="212"/>
      <c r="BY29" s="212"/>
      <c r="BZ29" s="212"/>
      <c r="CA29" s="212"/>
      <c r="CB29" s="212"/>
      <c r="CC29" s="212"/>
      <c r="CD29" s="212"/>
      <c r="CE29" s="212"/>
      <c r="CF29" s="212"/>
      <c r="CG29" s="212"/>
      <c r="CH29" s="212"/>
      <c r="CI29" s="212"/>
      <c r="CJ29" s="212"/>
      <c r="CK29" s="212"/>
      <c r="CL29" s="212"/>
      <c r="CM29" s="212"/>
      <c r="CN29" s="212"/>
      <c r="CO29" s="212"/>
      <c r="CP29" s="212"/>
      <c r="CQ29" s="212"/>
      <c r="CR29" s="212"/>
      <c r="CS29" s="212"/>
      <c r="CT29" s="212"/>
      <c r="CU29" s="214"/>
      <c r="CV29" s="212"/>
      <c r="CW29" s="212"/>
      <c r="CX29" s="212"/>
      <c r="CY29" s="212"/>
      <c r="CZ29" s="212"/>
      <c r="DA29" s="212"/>
      <c r="DB29" s="212"/>
      <c r="DC29" s="212"/>
      <c r="DD29" s="212"/>
      <c r="DE29" s="212"/>
      <c r="DF29" s="212"/>
      <c r="DG29" s="212"/>
      <c r="DH29" s="212"/>
      <c r="DI29" s="212"/>
      <c r="DJ29" s="212"/>
      <c r="DK29" s="212"/>
      <c r="DL29" s="212"/>
      <c r="DM29" s="212"/>
      <c r="DN29" s="212"/>
      <c r="DO29" s="212"/>
      <c r="DP29" s="212"/>
      <c r="DQ29" s="212"/>
      <c r="DR29" s="212"/>
      <c r="DS29" s="212"/>
      <c r="DT29" s="212"/>
      <c r="DU29" s="212"/>
      <c r="DV29" s="212"/>
      <c r="DW29" s="212"/>
      <c r="DX29" s="212"/>
      <c r="DY29" s="212"/>
      <c r="DZ29" s="212"/>
      <c r="EA29" s="212"/>
      <c r="EB29" s="215"/>
      <c r="EC29" s="215"/>
      <c r="ED29" s="212"/>
      <c r="EE29" s="212"/>
      <c r="EF29" s="212"/>
      <c r="EG29" s="212"/>
      <c r="EH29" s="212"/>
      <c r="EI29" s="212"/>
      <c r="EJ29" s="212"/>
      <c r="EK29" s="212"/>
      <c r="EL29" s="212"/>
      <c r="EM29" s="212"/>
      <c r="EN29" s="212"/>
      <c r="EO29" s="212"/>
      <c r="EP29" s="212"/>
      <c r="EQ29" s="212"/>
      <c r="ER29" s="212"/>
      <c r="ES29" s="212"/>
      <c r="ET29" s="212"/>
      <c r="EU29" s="212"/>
      <c r="EV29" s="212"/>
      <c r="EW29" s="212"/>
      <c r="EX29" s="212"/>
      <c r="EY29" s="212"/>
      <c r="EZ29" s="212"/>
      <c r="FA29" s="212"/>
      <c r="FB29" s="212"/>
      <c r="FC29" s="212"/>
      <c r="FD29" s="212"/>
      <c r="FE29" s="212"/>
      <c r="FF29" s="212"/>
      <c r="FG29" s="212"/>
      <c r="FH29" s="212"/>
      <c r="FI29" s="212"/>
      <c r="FJ29" s="212"/>
      <c r="FK29" s="212"/>
      <c r="FL29" s="212"/>
      <c r="FM29" s="212"/>
      <c r="FN29" s="212"/>
      <c r="FO29" s="212"/>
      <c r="FP29" s="212"/>
      <c r="FQ29" s="212"/>
      <c r="FR29" s="212"/>
      <c r="FS29" s="212"/>
      <c r="FT29" s="212"/>
      <c r="FU29" s="212"/>
      <c r="FV29" s="212"/>
      <c r="FW29" s="212"/>
      <c r="FX29" s="212"/>
      <c r="FY29" s="212"/>
      <c r="FZ29" s="212"/>
      <c r="GA29" s="212"/>
      <c r="GB29" s="212"/>
      <c r="GC29" s="212"/>
      <c r="GD29" s="212"/>
      <c r="GE29" s="212"/>
      <c r="GF29" s="212"/>
      <c r="GG29" s="212"/>
      <c r="GH29" s="212"/>
      <c r="GI29" s="212"/>
      <c r="GJ29" s="212"/>
      <c r="GK29" s="212"/>
      <c r="GL29" s="212"/>
      <c r="GM29" s="212"/>
      <c r="GN29" s="212"/>
      <c r="GO29" s="212"/>
      <c r="GP29" s="212"/>
      <c r="GQ29" s="212"/>
      <c r="GR29" s="212"/>
      <c r="GS29" s="212"/>
      <c r="GT29" s="212"/>
      <c r="GU29" s="212"/>
      <c r="GV29" s="212"/>
      <c r="GW29" s="212"/>
      <c r="GX29" s="212"/>
      <c r="GY29" s="212"/>
      <c r="GZ29" s="212"/>
      <c r="HA29" s="212"/>
      <c r="HB29" s="212"/>
      <c r="HC29" s="212"/>
      <c r="HD29" s="212"/>
      <c r="HE29" s="212"/>
      <c r="HF29" s="212"/>
      <c r="HG29" s="212"/>
      <c r="HH29" s="212"/>
      <c r="HI29" s="212"/>
      <c r="HJ29" s="212"/>
      <c r="HK29" s="212"/>
      <c r="HL29" s="212"/>
      <c r="HM29" s="212"/>
      <c r="HN29" s="212"/>
      <c r="HO29" s="212"/>
      <c r="HP29" s="212"/>
      <c r="HQ29" s="212"/>
      <c r="HR29" s="212"/>
      <c r="HS29" s="212"/>
      <c r="HT29" s="212"/>
      <c r="HU29" s="212"/>
      <c r="HV29" s="212"/>
      <c r="HW29" s="212"/>
      <c r="HX29" s="212"/>
      <c r="HY29" s="212"/>
      <c r="HZ29" s="212"/>
      <c r="IA29" s="212"/>
      <c r="IB29" s="212"/>
      <c r="IC29" s="212"/>
      <c r="ID29" s="212"/>
      <c r="IE29" s="212"/>
      <c r="IF29" s="212"/>
      <c r="IG29" s="212"/>
      <c r="IH29" s="212"/>
      <c r="II29" s="212"/>
      <c r="IJ29" s="212"/>
      <c r="IK29" s="212"/>
      <c r="IL29" s="212"/>
      <c r="IM29" s="212"/>
      <c r="IN29" s="212"/>
      <c r="IO29" s="212"/>
      <c r="IP29" s="212"/>
      <c r="IQ29" s="212"/>
      <c r="IR29" s="212"/>
      <c r="IS29" s="212"/>
      <c r="IT29" s="212"/>
      <c r="IU29" s="212"/>
      <c r="IV29" s="212"/>
      <c r="IW29" s="212"/>
      <c r="IX29" s="212"/>
      <c r="IY29" s="212"/>
      <c r="IZ29" s="212"/>
      <c r="JA29" s="212"/>
      <c r="JB29" s="212"/>
      <c r="JC29" s="212"/>
      <c r="JD29" s="212"/>
      <c r="JE29" s="212"/>
      <c r="JF29" s="212"/>
      <c r="JG29" s="212"/>
      <c r="JH29" s="212"/>
      <c r="JI29" s="212"/>
      <c r="JJ29" s="212"/>
      <c r="JK29" s="212"/>
      <c r="JL29" s="212"/>
      <c r="JM29" s="212"/>
      <c r="JN29" s="212"/>
      <c r="JO29" s="212"/>
      <c r="JP29" s="212"/>
      <c r="JQ29" s="212"/>
      <c r="JR29" s="212"/>
      <c r="JS29" s="212"/>
      <c r="JT29" s="212"/>
      <c r="JU29" s="212"/>
      <c r="JV29" s="212"/>
      <c r="JW29" s="212"/>
      <c r="JX29" s="212"/>
      <c r="JY29" s="212"/>
      <c r="JZ29" s="212"/>
      <c r="KA29" s="212"/>
      <c r="KB29" s="212"/>
      <c r="KC29" s="212"/>
      <c r="KD29" s="212"/>
      <c r="KE29" s="212"/>
      <c r="KF29" s="212"/>
      <c r="KG29" s="212"/>
      <c r="KH29" s="212"/>
      <c r="KI29" s="212"/>
      <c r="KJ29" s="212"/>
      <c r="KK29" s="212"/>
      <c r="KL29" s="212"/>
      <c r="KM29" s="212"/>
      <c r="KN29" s="212"/>
      <c r="KO29" s="212"/>
      <c r="KP29" s="212"/>
      <c r="KQ29" s="212"/>
      <c r="KR29" s="212"/>
      <c r="KS29" s="212"/>
      <c r="KT29" s="212"/>
      <c r="KU29" s="212"/>
      <c r="KV29" s="212"/>
      <c r="KW29" s="212"/>
      <c r="KX29" s="212"/>
      <c r="KY29" s="212"/>
      <c r="KZ29" s="212"/>
      <c r="LA29" s="212"/>
      <c r="LB29" s="212"/>
      <c r="LC29" s="212"/>
      <c r="LD29" s="212"/>
      <c r="LE29" s="212"/>
      <c r="LF29" s="212"/>
      <c r="LG29" s="212"/>
      <c r="LH29" s="212"/>
      <c r="LI29" s="212"/>
      <c r="LJ29" s="212"/>
      <c r="LK29" s="212"/>
      <c r="LL29" s="212"/>
      <c r="LM29" s="212"/>
      <c r="LN29" s="212"/>
      <c r="LO29" s="212"/>
      <c r="LP29" s="212"/>
      <c r="LQ29" s="212"/>
      <c r="LR29" s="212"/>
      <c r="LS29" s="212"/>
      <c r="LT29" s="212"/>
      <c r="LU29" s="212"/>
      <c r="LV29" s="212"/>
      <c r="LW29" s="212"/>
      <c r="LX29" s="212"/>
      <c r="LY29" s="212"/>
      <c r="LZ29" s="212"/>
      <c r="MA29" s="212"/>
      <c r="MB29" s="212"/>
      <c r="MC29" s="212"/>
      <c r="MD29" s="212"/>
      <c r="ME29" s="212"/>
      <c r="MF29" s="212"/>
      <c r="MG29" s="212"/>
      <c r="MH29" s="212"/>
      <c r="MI29" s="212"/>
      <c r="MJ29" s="212"/>
      <c r="MK29" s="212"/>
      <c r="ML29" s="212"/>
      <c r="MM29" s="212"/>
      <c r="MN29" s="212"/>
      <c r="MO29" s="212"/>
      <c r="MP29" s="212"/>
      <c r="MQ29" s="212"/>
      <c r="MR29" s="212"/>
      <c r="MS29" s="212"/>
      <c r="MT29" s="212"/>
      <c r="MU29" s="212"/>
      <c r="MV29" s="212"/>
      <c r="MW29" s="212"/>
      <c r="MX29" s="212"/>
      <c r="MY29" s="212"/>
      <c r="MZ29" s="212"/>
      <c r="NA29" s="212"/>
      <c r="NB29" s="212"/>
      <c r="NC29" s="212"/>
      <c r="ND29" s="212"/>
      <c r="NE29" s="212"/>
      <c r="NF29" s="212"/>
      <c r="NG29" s="212"/>
      <c r="NH29" s="212"/>
      <c r="NI29" s="212"/>
      <c r="NJ29" s="212"/>
      <c r="NK29" s="212"/>
      <c r="NL29" s="212"/>
      <c r="NM29" s="212"/>
      <c r="NN29" s="212"/>
      <c r="NO29" s="212"/>
      <c r="NP29" s="212"/>
      <c r="NQ29" s="212"/>
      <c r="NR29" s="212"/>
      <c r="NS29" s="212"/>
      <c r="NT29" s="212"/>
      <c r="NU29" s="212"/>
      <c r="NV29" s="212"/>
      <c r="NW29" s="212"/>
      <c r="NX29" s="212"/>
      <c r="NY29" s="212"/>
      <c r="NZ29" s="212"/>
      <c r="OA29" s="212"/>
      <c r="OB29" s="212"/>
      <c r="OC29" s="212"/>
      <c r="OD29" s="212"/>
      <c r="OE29" s="212"/>
      <c r="OF29" s="212"/>
      <c r="OG29" s="212"/>
      <c r="OH29" s="212"/>
      <c r="OI29" s="212"/>
      <c r="OJ29" s="212"/>
      <c r="OK29" s="212"/>
      <c r="OL29" s="212"/>
      <c r="OM29" s="212"/>
      <c r="ON29" s="212"/>
      <c r="OO29" s="212"/>
      <c r="OP29" s="212"/>
      <c r="OQ29" s="212"/>
      <c r="OR29" s="212"/>
      <c r="OS29" s="212"/>
      <c r="OT29" s="212"/>
      <c r="OU29" s="212"/>
      <c r="OV29" s="212"/>
      <c r="OW29" s="212"/>
      <c r="OX29" s="212"/>
      <c r="OY29" s="212"/>
      <c r="OZ29" s="212"/>
      <c r="PA29" s="212"/>
      <c r="PB29" s="212"/>
      <c r="PC29" s="212"/>
      <c r="PD29" s="212"/>
      <c r="PE29" s="212"/>
      <c r="PF29" s="212"/>
      <c r="PG29" s="212"/>
      <c r="PH29" s="212"/>
      <c r="PI29" s="212"/>
      <c r="PJ29" s="212"/>
      <c r="PK29" s="212"/>
      <c r="PL29" s="212"/>
      <c r="PM29" s="212"/>
      <c r="PN29" s="212"/>
      <c r="PO29" s="212"/>
      <c r="PP29" s="212"/>
      <c r="PQ29" s="212"/>
      <c r="PR29" s="212"/>
      <c r="PS29" s="212"/>
      <c r="PT29" s="212"/>
      <c r="PU29" s="212"/>
      <c r="PV29" s="212"/>
      <c r="PW29" s="212"/>
      <c r="PX29" s="212"/>
      <c r="PY29" s="212"/>
      <c r="PZ29" s="212"/>
      <c r="QA29" s="212"/>
      <c r="QB29" s="212"/>
      <c r="QC29" s="212"/>
      <c r="QD29" s="212"/>
      <c r="QE29" s="212"/>
      <c r="QF29" s="212"/>
      <c r="QG29" s="212"/>
      <c r="QH29" s="212"/>
      <c r="QI29" s="212"/>
      <c r="QJ29" s="212"/>
      <c r="QK29" s="212"/>
      <c r="QL29" s="212"/>
      <c r="QM29" s="212"/>
      <c r="QN29" s="212"/>
      <c r="QO29" s="212"/>
      <c r="QP29" s="212"/>
      <c r="QQ29" s="212"/>
      <c r="QR29" s="212"/>
      <c r="QS29" s="212"/>
      <c r="QT29" s="212"/>
      <c r="QU29" s="212"/>
      <c r="QV29" s="212"/>
      <c r="QW29" s="212"/>
      <c r="QX29" s="212"/>
      <c r="QY29" s="212"/>
      <c r="QZ29" s="212"/>
      <c r="RA29" s="212"/>
      <c r="RB29" s="212"/>
      <c r="RC29" s="212"/>
      <c r="RD29" s="212"/>
      <c r="RE29" s="212"/>
      <c r="RF29" s="212"/>
      <c r="RG29" s="212"/>
      <c r="RH29" s="212"/>
      <c r="RI29" s="212"/>
      <c r="RJ29" s="212"/>
      <c r="RK29" s="212"/>
      <c r="RL29" s="212"/>
      <c r="RM29" s="212"/>
      <c r="RN29" s="212"/>
      <c r="RO29" s="212"/>
      <c r="RP29" s="212"/>
      <c r="RQ29" s="212"/>
      <c r="RR29" s="212"/>
      <c r="RS29" s="212"/>
      <c r="RT29" s="212"/>
      <c r="RU29" s="212"/>
      <c r="RV29" s="212"/>
      <c r="RW29" s="212"/>
      <c r="RX29" s="212"/>
      <c r="RY29" s="212"/>
      <c r="RZ29" s="212"/>
      <c r="SA29" s="212"/>
      <c r="SB29" s="212"/>
      <c r="SC29" s="212"/>
      <c r="SD29" s="212"/>
      <c r="SE29" s="212"/>
      <c r="SF29" s="212"/>
      <c r="SG29" s="212"/>
      <c r="SH29" s="212"/>
      <c r="SI29" s="212"/>
      <c r="SJ29" s="212"/>
      <c r="SK29" s="212"/>
      <c r="SL29" s="212"/>
      <c r="SM29" s="212"/>
      <c r="SN29" s="212"/>
      <c r="SO29" s="212"/>
      <c r="SP29" s="212"/>
      <c r="SQ29" s="212"/>
      <c r="SR29" s="212"/>
      <c r="SS29" s="212"/>
      <c r="ST29" s="212"/>
      <c r="SU29" s="212"/>
      <c r="SV29" s="212"/>
      <c r="SW29" s="212"/>
      <c r="SX29" s="212"/>
      <c r="SY29" s="212"/>
      <c r="SZ29" s="212"/>
      <c r="TA29" s="212"/>
      <c r="TB29" s="212"/>
      <c r="TC29" s="212"/>
      <c r="TD29" s="212"/>
      <c r="TE29" s="212"/>
      <c r="TF29" s="212"/>
      <c r="TG29" s="212"/>
      <c r="TH29" s="212"/>
      <c r="TI29" s="212"/>
      <c r="TJ29" s="212"/>
      <c r="TK29" s="212"/>
      <c r="TL29" s="212"/>
      <c r="TM29" s="212"/>
      <c r="TN29" s="212"/>
      <c r="TO29" s="212"/>
      <c r="TP29" s="212"/>
      <c r="TQ29" s="212"/>
      <c r="TR29" s="212"/>
      <c r="TS29" s="212"/>
      <c r="TT29" s="212"/>
      <c r="TU29" s="212"/>
      <c r="TV29" s="212"/>
      <c r="TW29" s="212"/>
      <c r="TX29" s="212"/>
      <c r="TY29" s="212"/>
      <c r="TZ29" s="212"/>
      <c r="UA29" s="212"/>
      <c r="UB29" s="212"/>
      <c r="UC29" s="212"/>
      <c r="UD29" s="212"/>
      <c r="UE29" s="212"/>
      <c r="UF29" s="212"/>
      <c r="UG29" s="212"/>
      <c r="UH29" s="212"/>
      <c r="UI29" s="212"/>
      <c r="UJ29" s="212"/>
      <c r="UK29" s="212"/>
      <c r="UL29" s="212"/>
      <c r="UM29" s="212"/>
      <c r="UN29" s="212"/>
      <c r="UO29" s="212"/>
      <c r="UP29" s="212"/>
      <c r="UQ29" s="212"/>
      <c r="UR29" s="212"/>
      <c r="US29" s="212"/>
      <c r="UT29" s="194"/>
    </row>
    <row r="30" spans="2:566" ht="15.75" customHeight="1" x14ac:dyDescent="0.3">
      <c r="B30" s="117" t="s">
        <v>66</v>
      </c>
      <c r="C30" s="107" t="s">
        <v>176</v>
      </c>
      <c r="D30" s="102" t="str">
        <f t="shared" si="28"/>
        <v/>
      </c>
      <c r="E30" s="103" t="str">
        <f t="shared" si="29"/>
        <v/>
      </c>
      <c r="F30" s="212"/>
      <c r="G30" s="212"/>
      <c r="H30" s="212"/>
      <c r="I30" s="212"/>
      <c r="J30" s="212"/>
      <c r="K30" s="212"/>
      <c r="L30" s="212"/>
      <c r="M30" s="212"/>
      <c r="N30" s="212"/>
      <c r="O30" s="212"/>
      <c r="P30" s="213"/>
      <c r="Q30" s="213"/>
      <c r="R30" s="212"/>
      <c r="S30" s="212"/>
      <c r="T30" s="212"/>
      <c r="U30" s="212"/>
      <c r="V30" s="212"/>
      <c r="W30" s="213"/>
      <c r="X30" s="213"/>
      <c r="Y30" s="212"/>
      <c r="Z30" s="212"/>
      <c r="AA30" s="212"/>
      <c r="AB30" s="213"/>
      <c r="AC30" s="213"/>
      <c r="AD30" s="213"/>
      <c r="AE30" s="213"/>
      <c r="AF30" s="213"/>
      <c r="AG30" s="213"/>
      <c r="AH30" s="212"/>
      <c r="AI30" s="212"/>
      <c r="AJ30" s="212"/>
      <c r="AK30" s="213"/>
      <c r="AL30" s="213"/>
      <c r="AM30" s="212"/>
      <c r="AN30" s="212"/>
      <c r="AO30" s="212"/>
      <c r="AP30" s="212"/>
      <c r="AQ30" s="212"/>
      <c r="AR30" s="212"/>
      <c r="AS30" s="212"/>
      <c r="AT30" s="212"/>
      <c r="AU30" s="212"/>
      <c r="AV30" s="212"/>
      <c r="AW30" s="212"/>
      <c r="AX30" s="212"/>
      <c r="AY30" s="212"/>
      <c r="AZ30" s="212"/>
      <c r="BA30" s="212"/>
      <c r="BB30" s="212"/>
      <c r="BC30" s="212"/>
      <c r="BD30" s="212"/>
      <c r="BE30" s="212"/>
      <c r="BF30" s="212"/>
      <c r="BG30" s="212"/>
      <c r="BH30" s="212"/>
      <c r="BI30" s="214"/>
      <c r="BJ30" s="214"/>
      <c r="BK30" s="214"/>
      <c r="BL30" s="214"/>
      <c r="BM30" s="212"/>
      <c r="BN30" s="212"/>
      <c r="BO30" s="212"/>
      <c r="BP30" s="212"/>
      <c r="BQ30" s="212"/>
      <c r="BR30" s="212"/>
      <c r="BS30" s="212"/>
      <c r="BT30" s="212"/>
      <c r="BU30" s="212"/>
      <c r="BV30" s="212"/>
      <c r="BW30" s="212"/>
      <c r="BX30" s="212"/>
      <c r="BY30" s="212"/>
      <c r="BZ30" s="212"/>
      <c r="CA30" s="212"/>
      <c r="CB30" s="212"/>
      <c r="CC30" s="212"/>
      <c r="CD30" s="212"/>
      <c r="CE30" s="212"/>
      <c r="CF30" s="212"/>
      <c r="CG30" s="212"/>
      <c r="CH30" s="212"/>
      <c r="CI30" s="212"/>
      <c r="CJ30" s="212"/>
      <c r="CK30" s="212"/>
      <c r="CL30" s="212"/>
      <c r="CM30" s="212"/>
      <c r="CN30" s="212"/>
      <c r="CO30" s="212"/>
      <c r="CP30" s="212"/>
      <c r="CQ30" s="212"/>
      <c r="CR30" s="212"/>
      <c r="CS30" s="212"/>
      <c r="CT30" s="212"/>
      <c r="CU30" s="214"/>
      <c r="CV30" s="212"/>
      <c r="CW30" s="212"/>
      <c r="CX30" s="212"/>
      <c r="CY30" s="212"/>
      <c r="CZ30" s="212"/>
      <c r="DA30" s="212"/>
      <c r="DB30" s="212"/>
      <c r="DC30" s="212"/>
      <c r="DD30" s="212"/>
      <c r="DE30" s="212"/>
      <c r="DF30" s="212"/>
      <c r="DG30" s="212"/>
      <c r="DH30" s="212"/>
      <c r="DI30" s="212"/>
      <c r="DJ30" s="212"/>
      <c r="DK30" s="212"/>
      <c r="DL30" s="212"/>
      <c r="DM30" s="212"/>
      <c r="DN30" s="212"/>
      <c r="DO30" s="212"/>
      <c r="DP30" s="212"/>
      <c r="DQ30" s="212"/>
      <c r="DR30" s="212"/>
      <c r="DS30" s="212"/>
      <c r="DT30" s="212"/>
      <c r="DU30" s="212"/>
      <c r="DV30" s="212"/>
      <c r="DW30" s="212"/>
      <c r="DX30" s="212"/>
      <c r="DY30" s="212"/>
      <c r="DZ30" s="212"/>
      <c r="EA30" s="212"/>
      <c r="EB30" s="214"/>
      <c r="EC30" s="212"/>
      <c r="ED30" s="212"/>
      <c r="EE30" s="212"/>
      <c r="EF30" s="212"/>
      <c r="EG30" s="212"/>
      <c r="EH30" s="212"/>
      <c r="EI30" s="212"/>
      <c r="EJ30" s="212"/>
      <c r="EK30" s="212"/>
      <c r="EL30" s="212"/>
      <c r="EM30" s="212"/>
      <c r="EN30" s="212"/>
      <c r="EO30" s="212"/>
      <c r="EP30" s="212"/>
      <c r="EQ30" s="212"/>
      <c r="ER30" s="212"/>
      <c r="ES30" s="212"/>
      <c r="ET30" s="212"/>
      <c r="EU30" s="212"/>
      <c r="EV30" s="212"/>
      <c r="EW30" s="212"/>
      <c r="EX30" s="212"/>
      <c r="EY30" s="212"/>
      <c r="EZ30" s="212"/>
      <c r="FA30" s="212"/>
      <c r="FB30" s="212"/>
      <c r="FC30" s="212"/>
      <c r="FD30" s="212"/>
      <c r="FE30" s="212"/>
      <c r="FF30" s="212"/>
      <c r="FG30" s="212"/>
      <c r="FH30" s="212"/>
      <c r="FI30" s="212"/>
      <c r="FJ30" s="212"/>
      <c r="FK30" s="212"/>
      <c r="FL30" s="212"/>
      <c r="FM30" s="212"/>
      <c r="FN30" s="212"/>
      <c r="FO30" s="212"/>
      <c r="FP30" s="212"/>
      <c r="FQ30" s="212"/>
      <c r="FR30" s="212"/>
      <c r="FS30" s="212"/>
      <c r="FT30" s="212"/>
      <c r="FU30" s="212"/>
      <c r="FV30" s="212"/>
      <c r="FW30" s="212"/>
      <c r="FX30" s="212"/>
      <c r="FY30" s="212"/>
      <c r="FZ30" s="212"/>
      <c r="GA30" s="212"/>
      <c r="GB30" s="212"/>
      <c r="GC30" s="212"/>
      <c r="GD30" s="212"/>
      <c r="GE30" s="212"/>
      <c r="GF30" s="212"/>
      <c r="GG30" s="212"/>
      <c r="GH30" s="212"/>
      <c r="GI30" s="212"/>
      <c r="GJ30" s="212"/>
      <c r="GK30" s="212"/>
      <c r="GL30" s="212"/>
      <c r="GM30" s="212"/>
      <c r="GN30" s="212"/>
      <c r="GO30" s="212"/>
      <c r="GP30" s="212"/>
      <c r="GQ30" s="212"/>
      <c r="GR30" s="212"/>
      <c r="GS30" s="212"/>
      <c r="GT30" s="212"/>
      <c r="GU30" s="212"/>
      <c r="GV30" s="212"/>
      <c r="GW30" s="212"/>
      <c r="GX30" s="212"/>
      <c r="GY30" s="212"/>
      <c r="GZ30" s="212"/>
      <c r="HA30" s="212"/>
      <c r="HB30" s="212"/>
      <c r="HC30" s="212"/>
      <c r="HD30" s="212"/>
      <c r="HE30" s="212"/>
      <c r="HF30" s="212"/>
      <c r="HG30" s="212"/>
      <c r="HH30" s="212"/>
      <c r="HI30" s="212"/>
      <c r="HJ30" s="212"/>
      <c r="HK30" s="212"/>
      <c r="HL30" s="212"/>
      <c r="HM30" s="212"/>
      <c r="HN30" s="212"/>
      <c r="HO30" s="212"/>
      <c r="HP30" s="212"/>
      <c r="HQ30" s="212"/>
      <c r="HR30" s="212"/>
      <c r="HS30" s="212"/>
      <c r="HT30" s="212"/>
      <c r="HU30" s="212"/>
      <c r="HV30" s="212"/>
      <c r="HW30" s="212"/>
      <c r="HX30" s="212"/>
      <c r="HY30" s="212"/>
      <c r="HZ30" s="212"/>
      <c r="IA30" s="212"/>
      <c r="IB30" s="212"/>
      <c r="IC30" s="212"/>
      <c r="ID30" s="212"/>
      <c r="IE30" s="212"/>
      <c r="IF30" s="212"/>
      <c r="IG30" s="212"/>
      <c r="IH30" s="212"/>
      <c r="II30" s="212"/>
      <c r="IJ30" s="212"/>
      <c r="IK30" s="212"/>
      <c r="IL30" s="212"/>
      <c r="IM30" s="212"/>
      <c r="IN30" s="212"/>
      <c r="IO30" s="212"/>
      <c r="IP30" s="212"/>
      <c r="IQ30" s="212"/>
      <c r="IR30" s="212"/>
      <c r="IS30" s="212"/>
      <c r="IT30" s="212"/>
      <c r="IU30" s="212"/>
      <c r="IV30" s="212"/>
      <c r="IW30" s="212"/>
      <c r="IX30" s="212"/>
      <c r="IY30" s="212"/>
      <c r="IZ30" s="212"/>
      <c r="JA30" s="212"/>
      <c r="JB30" s="212"/>
      <c r="JC30" s="212"/>
      <c r="JD30" s="212"/>
      <c r="JE30" s="212"/>
      <c r="JF30" s="212"/>
      <c r="JG30" s="212"/>
      <c r="JH30" s="212"/>
      <c r="JI30" s="212"/>
      <c r="JJ30" s="212"/>
      <c r="JK30" s="212"/>
      <c r="JL30" s="212"/>
      <c r="JM30" s="212"/>
      <c r="JN30" s="212"/>
      <c r="JO30" s="212"/>
      <c r="JP30" s="212"/>
      <c r="JQ30" s="212"/>
      <c r="JR30" s="212"/>
      <c r="JS30" s="212"/>
      <c r="JT30" s="212"/>
      <c r="JU30" s="212"/>
      <c r="JV30" s="212"/>
      <c r="JW30" s="212"/>
      <c r="JX30" s="212"/>
      <c r="JY30" s="212"/>
      <c r="JZ30" s="212"/>
      <c r="KA30" s="212"/>
      <c r="KB30" s="212"/>
      <c r="KC30" s="212"/>
      <c r="KD30" s="212"/>
      <c r="KE30" s="212"/>
      <c r="KF30" s="212"/>
      <c r="KG30" s="212"/>
      <c r="KH30" s="212"/>
      <c r="KI30" s="212"/>
      <c r="KJ30" s="212"/>
      <c r="KK30" s="212"/>
      <c r="KL30" s="212"/>
      <c r="KM30" s="212"/>
      <c r="KN30" s="212"/>
      <c r="KO30" s="212"/>
      <c r="KP30" s="212"/>
      <c r="KQ30" s="212"/>
      <c r="KR30" s="212"/>
      <c r="KS30" s="212"/>
      <c r="KT30" s="212"/>
      <c r="KU30" s="212"/>
      <c r="KV30" s="212"/>
      <c r="KW30" s="212"/>
      <c r="KX30" s="212"/>
      <c r="KY30" s="212"/>
      <c r="KZ30" s="212"/>
      <c r="LA30" s="212"/>
      <c r="LB30" s="212"/>
      <c r="LC30" s="212"/>
      <c r="LD30" s="212"/>
      <c r="LE30" s="212"/>
      <c r="LF30" s="212"/>
      <c r="LG30" s="212"/>
      <c r="LH30" s="212"/>
      <c r="LI30" s="212"/>
      <c r="LJ30" s="212"/>
      <c r="LK30" s="212"/>
      <c r="LL30" s="212"/>
      <c r="LM30" s="212"/>
      <c r="LN30" s="212"/>
      <c r="LO30" s="212"/>
      <c r="LP30" s="212"/>
      <c r="LQ30" s="212"/>
      <c r="LR30" s="212"/>
      <c r="LS30" s="212"/>
      <c r="LT30" s="212"/>
      <c r="LU30" s="212"/>
      <c r="LV30" s="212"/>
      <c r="LW30" s="212"/>
      <c r="LX30" s="212"/>
      <c r="LY30" s="212"/>
      <c r="LZ30" s="212"/>
      <c r="MA30" s="212"/>
      <c r="MB30" s="212"/>
      <c r="MC30" s="212"/>
      <c r="MD30" s="212"/>
      <c r="ME30" s="212"/>
      <c r="MF30" s="212"/>
      <c r="MG30" s="212"/>
      <c r="MH30" s="212"/>
      <c r="MI30" s="212"/>
      <c r="MJ30" s="212"/>
      <c r="MK30" s="212"/>
      <c r="ML30" s="212"/>
      <c r="MM30" s="212"/>
      <c r="MN30" s="212"/>
      <c r="MO30" s="212"/>
      <c r="MP30" s="212"/>
      <c r="MQ30" s="212"/>
      <c r="MR30" s="212"/>
      <c r="MS30" s="212"/>
      <c r="MT30" s="212"/>
      <c r="MU30" s="212"/>
      <c r="MV30" s="212"/>
      <c r="MW30" s="212"/>
      <c r="MX30" s="212"/>
      <c r="MY30" s="212"/>
      <c r="MZ30" s="212"/>
      <c r="NA30" s="212"/>
      <c r="NB30" s="212"/>
      <c r="NC30" s="212"/>
      <c r="ND30" s="212"/>
      <c r="NE30" s="212"/>
      <c r="NF30" s="212"/>
      <c r="NG30" s="212"/>
      <c r="NH30" s="212"/>
      <c r="NI30" s="212"/>
      <c r="NJ30" s="212"/>
      <c r="NK30" s="212"/>
      <c r="NL30" s="212"/>
      <c r="NM30" s="212"/>
      <c r="NN30" s="212"/>
      <c r="NO30" s="212"/>
      <c r="NP30" s="212"/>
      <c r="NQ30" s="212"/>
      <c r="NR30" s="212"/>
      <c r="NS30" s="212"/>
      <c r="NT30" s="212"/>
      <c r="NU30" s="212"/>
      <c r="NV30" s="212"/>
      <c r="NW30" s="212"/>
      <c r="NX30" s="212"/>
      <c r="NY30" s="212"/>
      <c r="NZ30" s="212"/>
      <c r="OA30" s="212"/>
      <c r="OB30" s="212"/>
      <c r="OC30" s="212"/>
      <c r="OD30" s="212"/>
      <c r="OE30" s="212"/>
      <c r="OF30" s="212"/>
      <c r="OG30" s="212"/>
      <c r="OH30" s="212"/>
      <c r="OI30" s="212"/>
      <c r="OJ30" s="212"/>
      <c r="OK30" s="212"/>
      <c r="OL30" s="212"/>
      <c r="OM30" s="212"/>
      <c r="ON30" s="212"/>
      <c r="OO30" s="212"/>
      <c r="OP30" s="212"/>
      <c r="OQ30" s="212"/>
      <c r="OR30" s="212"/>
      <c r="OS30" s="212"/>
      <c r="OT30" s="212"/>
      <c r="OU30" s="212"/>
      <c r="OV30" s="212"/>
      <c r="OW30" s="212"/>
      <c r="OX30" s="212"/>
      <c r="OY30" s="212"/>
      <c r="OZ30" s="212"/>
      <c r="PA30" s="212"/>
      <c r="PB30" s="212"/>
      <c r="PC30" s="212"/>
      <c r="PD30" s="212"/>
      <c r="PE30" s="212"/>
      <c r="PF30" s="212"/>
      <c r="PG30" s="212"/>
      <c r="PH30" s="212"/>
      <c r="PI30" s="212"/>
      <c r="PJ30" s="212"/>
      <c r="PK30" s="212"/>
      <c r="PL30" s="212"/>
      <c r="PM30" s="212"/>
      <c r="PN30" s="212"/>
      <c r="PO30" s="212"/>
      <c r="PP30" s="212"/>
      <c r="PQ30" s="212"/>
      <c r="PR30" s="212"/>
      <c r="PS30" s="212"/>
      <c r="PT30" s="212"/>
      <c r="PU30" s="212"/>
      <c r="PV30" s="212"/>
      <c r="PW30" s="212"/>
      <c r="PX30" s="212"/>
      <c r="PY30" s="212"/>
      <c r="PZ30" s="212"/>
      <c r="QA30" s="212"/>
      <c r="QB30" s="212"/>
      <c r="QC30" s="212"/>
      <c r="QD30" s="212"/>
      <c r="QE30" s="212"/>
      <c r="QF30" s="212"/>
      <c r="QG30" s="212"/>
      <c r="QH30" s="212"/>
      <c r="QI30" s="212"/>
      <c r="QJ30" s="212"/>
      <c r="QK30" s="212"/>
      <c r="QL30" s="212"/>
      <c r="QM30" s="212"/>
      <c r="QN30" s="212"/>
      <c r="QO30" s="212"/>
      <c r="QP30" s="212"/>
      <c r="QQ30" s="212"/>
      <c r="QR30" s="212"/>
      <c r="QS30" s="212"/>
      <c r="QT30" s="212"/>
      <c r="QU30" s="212"/>
      <c r="QV30" s="212"/>
      <c r="QW30" s="212"/>
      <c r="QX30" s="212"/>
      <c r="QY30" s="212"/>
      <c r="QZ30" s="212"/>
      <c r="RA30" s="212"/>
      <c r="RB30" s="212"/>
      <c r="RC30" s="212"/>
      <c r="RD30" s="212"/>
      <c r="RE30" s="212"/>
      <c r="RF30" s="212"/>
      <c r="RG30" s="212"/>
      <c r="RH30" s="212"/>
      <c r="RI30" s="212"/>
      <c r="RJ30" s="212"/>
      <c r="RK30" s="212"/>
      <c r="RL30" s="212"/>
      <c r="RM30" s="212"/>
      <c r="RN30" s="212"/>
      <c r="RO30" s="212"/>
      <c r="RP30" s="212"/>
      <c r="RQ30" s="212"/>
      <c r="RR30" s="212"/>
      <c r="RS30" s="212"/>
      <c r="RT30" s="212"/>
      <c r="RU30" s="212"/>
      <c r="RV30" s="212"/>
      <c r="RW30" s="212"/>
      <c r="RX30" s="212"/>
      <c r="RY30" s="212"/>
      <c r="RZ30" s="212"/>
      <c r="SA30" s="212"/>
      <c r="SB30" s="212"/>
      <c r="SC30" s="212"/>
      <c r="SD30" s="212"/>
      <c r="SE30" s="212"/>
      <c r="SF30" s="212"/>
      <c r="SG30" s="212"/>
      <c r="SH30" s="212"/>
      <c r="SI30" s="212"/>
      <c r="SJ30" s="212"/>
      <c r="SK30" s="212"/>
      <c r="SL30" s="212"/>
      <c r="SM30" s="212"/>
      <c r="SN30" s="212"/>
      <c r="SO30" s="212"/>
      <c r="SP30" s="212"/>
      <c r="SQ30" s="212"/>
      <c r="SR30" s="212"/>
      <c r="SS30" s="212"/>
      <c r="ST30" s="212"/>
      <c r="SU30" s="212"/>
      <c r="SV30" s="212"/>
      <c r="SW30" s="212"/>
      <c r="SX30" s="212"/>
      <c r="SY30" s="212"/>
      <c r="SZ30" s="212"/>
      <c r="TA30" s="212"/>
      <c r="TB30" s="212"/>
      <c r="TC30" s="212"/>
      <c r="TD30" s="212"/>
      <c r="TE30" s="212"/>
      <c r="TF30" s="212"/>
      <c r="TG30" s="212"/>
      <c r="TH30" s="212"/>
      <c r="TI30" s="212"/>
      <c r="TJ30" s="212"/>
      <c r="TK30" s="212"/>
      <c r="TL30" s="212"/>
      <c r="TM30" s="212"/>
      <c r="TN30" s="212"/>
      <c r="TO30" s="212"/>
      <c r="TP30" s="212"/>
      <c r="TQ30" s="212"/>
      <c r="TR30" s="212"/>
      <c r="TS30" s="212"/>
      <c r="TT30" s="212"/>
      <c r="TU30" s="212"/>
      <c r="TV30" s="212"/>
      <c r="TW30" s="212"/>
      <c r="TX30" s="212"/>
      <c r="TY30" s="212"/>
      <c r="TZ30" s="212"/>
      <c r="UA30" s="212"/>
      <c r="UB30" s="212"/>
      <c r="UC30" s="212"/>
      <c r="UD30" s="212"/>
      <c r="UE30" s="212"/>
      <c r="UF30" s="212"/>
      <c r="UG30" s="212"/>
      <c r="UH30" s="212"/>
      <c r="UI30" s="212"/>
      <c r="UJ30" s="212"/>
      <c r="UK30" s="212"/>
      <c r="UL30" s="212"/>
      <c r="UM30" s="212"/>
      <c r="UN30" s="212"/>
      <c r="UO30" s="212"/>
      <c r="UP30" s="212"/>
      <c r="UQ30" s="212"/>
      <c r="UR30" s="212"/>
      <c r="US30" s="212"/>
      <c r="UT30" s="194"/>
    </row>
    <row r="31" spans="2:566" ht="15.75" customHeight="1" x14ac:dyDescent="0.3">
      <c r="B31" s="117" t="s">
        <v>65</v>
      </c>
      <c r="C31" s="107" t="s">
        <v>59</v>
      </c>
      <c r="D31" s="102" t="str">
        <f t="shared" si="28"/>
        <v/>
      </c>
      <c r="E31" s="103" t="str">
        <f t="shared" si="29"/>
        <v/>
      </c>
      <c r="F31" s="212"/>
      <c r="G31" s="212"/>
      <c r="H31" s="212"/>
      <c r="I31" s="212"/>
      <c r="J31" s="212"/>
      <c r="K31" s="212"/>
      <c r="L31" s="212"/>
      <c r="M31" s="212"/>
      <c r="N31" s="212"/>
      <c r="O31" s="212"/>
      <c r="P31" s="213"/>
      <c r="Q31" s="213"/>
      <c r="R31" s="212"/>
      <c r="S31" s="212"/>
      <c r="T31" s="212"/>
      <c r="U31" s="212"/>
      <c r="V31" s="212"/>
      <c r="W31" s="213"/>
      <c r="X31" s="213"/>
      <c r="Y31" s="212"/>
      <c r="Z31" s="212"/>
      <c r="AA31" s="212"/>
      <c r="AB31" s="213"/>
      <c r="AC31" s="213"/>
      <c r="AD31" s="213"/>
      <c r="AE31" s="213"/>
      <c r="AF31" s="213"/>
      <c r="AG31" s="213"/>
      <c r="AH31" s="212"/>
      <c r="AI31" s="212"/>
      <c r="AJ31" s="212"/>
      <c r="AK31" s="213"/>
      <c r="AL31" s="213"/>
      <c r="AM31" s="212"/>
      <c r="AN31" s="212"/>
      <c r="AO31" s="212"/>
      <c r="AP31" s="212"/>
      <c r="AQ31" s="212"/>
      <c r="AR31" s="212"/>
      <c r="AS31" s="212"/>
      <c r="AT31" s="212"/>
      <c r="AU31" s="212"/>
      <c r="AV31" s="212"/>
      <c r="AW31" s="212"/>
      <c r="AX31" s="212"/>
      <c r="AY31" s="212"/>
      <c r="AZ31" s="212"/>
      <c r="BA31" s="212"/>
      <c r="BB31" s="212"/>
      <c r="BC31" s="212"/>
      <c r="BD31" s="212"/>
      <c r="BE31" s="212"/>
      <c r="BF31" s="212"/>
      <c r="BG31" s="212"/>
      <c r="BH31" s="212"/>
      <c r="BI31" s="214"/>
      <c r="BJ31" s="214"/>
      <c r="BK31" s="214"/>
      <c r="BL31" s="214"/>
      <c r="BM31" s="212"/>
      <c r="BN31" s="212"/>
      <c r="BO31" s="212"/>
      <c r="BP31" s="212"/>
      <c r="BQ31" s="212"/>
      <c r="BR31" s="212"/>
      <c r="BS31" s="212"/>
      <c r="BT31" s="212"/>
      <c r="BU31" s="212"/>
      <c r="BV31" s="212"/>
      <c r="BW31" s="212"/>
      <c r="BX31" s="212"/>
      <c r="BY31" s="212"/>
      <c r="BZ31" s="212"/>
      <c r="CA31" s="212"/>
      <c r="CB31" s="212"/>
      <c r="CC31" s="212"/>
      <c r="CD31" s="212"/>
      <c r="CE31" s="212"/>
      <c r="CF31" s="212"/>
      <c r="CG31" s="212"/>
      <c r="CH31" s="212"/>
      <c r="CI31" s="212"/>
      <c r="CJ31" s="212"/>
      <c r="CK31" s="212"/>
      <c r="CL31" s="212"/>
      <c r="CM31" s="212"/>
      <c r="CN31" s="212"/>
      <c r="CO31" s="212"/>
      <c r="CP31" s="212"/>
      <c r="CQ31" s="212"/>
      <c r="CR31" s="212"/>
      <c r="CS31" s="212"/>
      <c r="CT31" s="212"/>
      <c r="CU31" s="214"/>
      <c r="CV31" s="212"/>
      <c r="CW31" s="212"/>
      <c r="CX31" s="212"/>
      <c r="CY31" s="212"/>
      <c r="CZ31" s="212"/>
      <c r="DA31" s="212"/>
      <c r="DB31" s="212"/>
      <c r="DC31" s="212"/>
      <c r="DD31" s="212"/>
      <c r="DE31" s="212"/>
      <c r="DF31" s="212"/>
      <c r="DG31" s="212"/>
      <c r="DH31" s="212"/>
      <c r="DI31" s="212"/>
      <c r="DJ31" s="212"/>
      <c r="DK31" s="212"/>
      <c r="DL31" s="212"/>
      <c r="DM31" s="212"/>
      <c r="DN31" s="212"/>
      <c r="DO31" s="212"/>
      <c r="DP31" s="212"/>
      <c r="DQ31" s="212"/>
      <c r="DR31" s="212"/>
      <c r="DS31" s="212"/>
      <c r="DT31" s="212"/>
      <c r="DU31" s="212"/>
      <c r="DV31" s="212"/>
      <c r="DW31" s="212"/>
      <c r="DX31" s="212"/>
      <c r="DY31" s="212"/>
      <c r="DZ31" s="212"/>
      <c r="EA31" s="212"/>
      <c r="EB31" s="214"/>
      <c r="EC31" s="212"/>
      <c r="ED31" s="212"/>
      <c r="EE31" s="212"/>
      <c r="EF31" s="212"/>
      <c r="EG31" s="212"/>
      <c r="EH31" s="212"/>
      <c r="EI31" s="212"/>
      <c r="EJ31" s="212"/>
      <c r="EK31" s="212"/>
      <c r="EL31" s="212"/>
      <c r="EM31" s="212"/>
      <c r="EN31" s="212"/>
      <c r="EO31" s="212"/>
      <c r="EP31" s="212"/>
      <c r="EQ31" s="212"/>
      <c r="ER31" s="212"/>
      <c r="ES31" s="212"/>
      <c r="ET31" s="212"/>
      <c r="EU31" s="212"/>
      <c r="EV31" s="212"/>
      <c r="EW31" s="212"/>
      <c r="EX31" s="212"/>
      <c r="EY31" s="212"/>
      <c r="EZ31" s="212"/>
      <c r="FA31" s="212"/>
      <c r="FB31" s="212"/>
      <c r="FC31" s="212"/>
      <c r="FD31" s="212"/>
      <c r="FE31" s="212"/>
      <c r="FF31" s="212"/>
      <c r="FG31" s="212"/>
      <c r="FH31" s="212"/>
      <c r="FI31" s="212"/>
      <c r="FJ31" s="212"/>
      <c r="FK31" s="212"/>
      <c r="FL31" s="212"/>
      <c r="FM31" s="212"/>
      <c r="FN31" s="212"/>
      <c r="FO31" s="212"/>
      <c r="FP31" s="212"/>
      <c r="FQ31" s="212"/>
      <c r="FR31" s="212"/>
      <c r="FS31" s="212"/>
      <c r="FT31" s="212"/>
      <c r="FU31" s="212"/>
      <c r="FV31" s="212"/>
      <c r="FW31" s="212"/>
      <c r="FX31" s="212"/>
      <c r="FY31" s="212"/>
      <c r="FZ31" s="212"/>
      <c r="GA31" s="212"/>
      <c r="GB31" s="212"/>
      <c r="GC31" s="212"/>
      <c r="GD31" s="212"/>
      <c r="GE31" s="212"/>
      <c r="GF31" s="212"/>
      <c r="GG31" s="212"/>
      <c r="GH31" s="212"/>
      <c r="GI31" s="212"/>
      <c r="GJ31" s="212"/>
      <c r="GK31" s="212"/>
      <c r="GL31" s="212"/>
      <c r="GM31" s="212"/>
      <c r="GN31" s="212"/>
      <c r="GO31" s="212"/>
      <c r="GP31" s="212"/>
      <c r="GQ31" s="212"/>
      <c r="GR31" s="212"/>
      <c r="GS31" s="212"/>
      <c r="GT31" s="212"/>
      <c r="GU31" s="212"/>
      <c r="GV31" s="212"/>
      <c r="GW31" s="212"/>
      <c r="GX31" s="212"/>
      <c r="GY31" s="212"/>
      <c r="GZ31" s="212"/>
      <c r="HA31" s="212"/>
      <c r="HB31" s="212"/>
      <c r="HC31" s="212"/>
      <c r="HD31" s="212"/>
      <c r="HE31" s="212"/>
      <c r="HF31" s="212"/>
      <c r="HG31" s="212"/>
      <c r="HH31" s="212"/>
      <c r="HI31" s="212"/>
      <c r="HJ31" s="212"/>
      <c r="HK31" s="212"/>
      <c r="HL31" s="212"/>
      <c r="HM31" s="212"/>
      <c r="HN31" s="212"/>
      <c r="HO31" s="212"/>
      <c r="HP31" s="212"/>
      <c r="HQ31" s="212"/>
      <c r="HR31" s="212"/>
      <c r="HS31" s="212"/>
      <c r="HT31" s="212"/>
      <c r="HU31" s="212"/>
      <c r="HV31" s="212"/>
      <c r="HW31" s="212"/>
      <c r="HX31" s="212"/>
      <c r="HY31" s="212"/>
      <c r="HZ31" s="212"/>
      <c r="IA31" s="212"/>
      <c r="IB31" s="212"/>
      <c r="IC31" s="212"/>
      <c r="ID31" s="212"/>
      <c r="IE31" s="212"/>
      <c r="IF31" s="212"/>
      <c r="IG31" s="212"/>
      <c r="IH31" s="212"/>
      <c r="II31" s="212"/>
      <c r="IJ31" s="212"/>
      <c r="IK31" s="212"/>
      <c r="IL31" s="212"/>
      <c r="IM31" s="212"/>
      <c r="IN31" s="212"/>
      <c r="IO31" s="212"/>
      <c r="IP31" s="212"/>
      <c r="IQ31" s="212"/>
      <c r="IR31" s="212"/>
      <c r="IS31" s="212"/>
      <c r="IT31" s="212"/>
      <c r="IU31" s="212"/>
      <c r="IV31" s="212"/>
      <c r="IW31" s="212"/>
      <c r="IX31" s="212"/>
      <c r="IY31" s="212"/>
      <c r="IZ31" s="212"/>
      <c r="JA31" s="212"/>
      <c r="JB31" s="212"/>
      <c r="JC31" s="212"/>
      <c r="JD31" s="212"/>
      <c r="JE31" s="212"/>
      <c r="JF31" s="212"/>
      <c r="JG31" s="212"/>
      <c r="JH31" s="212"/>
      <c r="JI31" s="212"/>
      <c r="JJ31" s="212"/>
      <c r="JK31" s="212"/>
      <c r="JL31" s="212"/>
      <c r="JM31" s="212"/>
      <c r="JN31" s="212"/>
      <c r="JO31" s="212"/>
      <c r="JP31" s="212"/>
      <c r="JQ31" s="212"/>
      <c r="JR31" s="212"/>
      <c r="JS31" s="212"/>
      <c r="JT31" s="212"/>
      <c r="JU31" s="212"/>
      <c r="JV31" s="212"/>
      <c r="JW31" s="212"/>
      <c r="JX31" s="212"/>
      <c r="JY31" s="212"/>
      <c r="JZ31" s="212"/>
      <c r="KA31" s="212"/>
      <c r="KB31" s="212"/>
      <c r="KC31" s="212"/>
      <c r="KD31" s="212"/>
      <c r="KE31" s="212"/>
      <c r="KF31" s="212"/>
      <c r="KG31" s="212"/>
      <c r="KH31" s="212"/>
      <c r="KI31" s="212"/>
      <c r="KJ31" s="212"/>
      <c r="KK31" s="212"/>
      <c r="KL31" s="212"/>
      <c r="KM31" s="212"/>
      <c r="KN31" s="212"/>
      <c r="KO31" s="212"/>
      <c r="KP31" s="212"/>
      <c r="KQ31" s="212"/>
      <c r="KR31" s="212"/>
      <c r="KS31" s="212"/>
      <c r="KT31" s="212"/>
      <c r="KU31" s="212"/>
      <c r="KV31" s="212"/>
      <c r="KW31" s="212"/>
      <c r="KX31" s="212"/>
      <c r="KY31" s="212"/>
      <c r="KZ31" s="212"/>
      <c r="LA31" s="212"/>
      <c r="LB31" s="212"/>
      <c r="LC31" s="212"/>
      <c r="LD31" s="212"/>
      <c r="LE31" s="212"/>
      <c r="LF31" s="212"/>
      <c r="LG31" s="212"/>
      <c r="LH31" s="212"/>
      <c r="LI31" s="212"/>
      <c r="LJ31" s="212"/>
      <c r="LK31" s="212"/>
      <c r="LL31" s="212"/>
      <c r="LM31" s="212"/>
      <c r="LN31" s="212"/>
      <c r="LO31" s="212"/>
      <c r="LP31" s="212"/>
      <c r="LQ31" s="212"/>
      <c r="LR31" s="212"/>
      <c r="LS31" s="212"/>
      <c r="LT31" s="212"/>
      <c r="LU31" s="212"/>
      <c r="LV31" s="212"/>
      <c r="LW31" s="212"/>
      <c r="LX31" s="212"/>
      <c r="LY31" s="212"/>
      <c r="LZ31" s="212"/>
      <c r="MA31" s="212"/>
      <c r="MB31" s="212"/>
      <c r="MC31" s="212"/>
      <c r="MD31" s="212"/>
      <c r="ME31" s="212"/>
      <c r="MF31" s="212"/>
      <c r="MG31" s="212"/>
      <c r="MH31" s="212"/>
      <c r="MI31" s="212"/>
      <c r="MJ31" s="212"/>
      <c r="MK31" s="212"/>
      <c r="ML31" s="212"/>
      <c r="MM31" s="212"/>
      <c r="MN31" s="212"/>
      <c r="MO31" s="212"/>
      <c r="MP31" s="212"/>
      <c r="MQ31" s="212"/>
      <c r="MR31" s="212"/>
      <c r="MS31" s="212"/>
      <c r="MT31" s="212"/>
      <c r="MU31" s="212"/>
      <c r="MV31" s="212"/>
      <c r="MW31" s="212"/>
      <c r="MX31" s="212"/>
      <c r="MY31" s="212"/>
      <c r="MZ31" s="212"/>
      <c r="NA31" s="212"/>
      <c r="NB31" s="212"/>
      <c r="NC31" s="212"/>
      <c r="ND31" s="212"/>
      <c r="NE31" s="212"/>
      <c r="NF31" s="212"/>
      <c r="NG31" s="212"/>
      <c r="NH31" s="212"/>
      <c r="NI31" s="212"/>
      <c r="NJ31" s="212"/>
      <c r="NK31" s="212"/>
      <c r="NL31" s="212"/>
      <c r="NM31" s="212"/>
      <c r="NN31" s="212"/>
      <c r="NO31" s="212"/>
      <c r="NP31" s="212"/>
      <c r="NQ31" s="212"/>
      <c r="NR31" s="212"/>
      <c r="NS31" s="212"/>
      <c r="NT31" s="212"/>
      <c r="NU31" s="212"/>
      <c r="NV31" s="212"/>
      <c r="NW31" s="212"/>
      <c r="NX31" s="212"/>
      <c r="NY31" s="212"/>
      <c r="NZ31" s="212"/>
      <c r="OA31" s="212"/>
      <c r="OB31" s="212"/>
      <c r="OC31" s="212"/>
      <c r="OD31" s="212"/>
      <c r="OE31" s="212"/>
      <c r="OF31" s="212"/>
      <c r="OG31" s="212"/>
      <c r="OH31" s="212"/>
      <c r="OI31" s="212"/>
      <c r="OJ31" s="212"/>
      <c r="OK31" s="212"/>
      <c r="OL31" s="212"/>
      <c r="OM31" s="212"/>
      <c r="ON31" s="212"/>
      <c r="OO31" s="212"/>
      <c r="OP31" s="212"/>
      <c r="OQ31" s="212"/>
      <c r="OR31" s="212"/>
      <c r="OS31" s="212"/>
      <c r="OT31" s="212"/>
      <c r="OU31" s="212"/>
      <c r="OV31" s="212"/>
      <c r="OW31" s="212"/>
      <c r="OX31" s="212"/>
      <c r="OY31" s="212"/>
      <c r="OZ31" s="212"/>
      <c r="PA31" s="212"/>
      <c r="PB31" s="212"/>
      <c r="PC31" s="212"/>
      <c r="PD31" s="212"/>
      <c r="PE31" s="212"/>
      <c r="PF31" s="212"/>
      <c r="PG31" s="212"/>
      <c r="PH31" s="212"/>
      <c r="PI31" s="212"/>
      <c r="PJ31" s="212"/>
      <c r="PK31" s="212"/>
      <c r="PL31" s="212"/>
      <c r="PM31" s="212"/>
      <c r="PN31" s="212"/>
      <c r="PO31" s="212"/>
      <c r="PP31" s="212"/>
      <c r="PQ31" s="212"/>
      <c r="PR31" s="212"/>
      <c r="PS31" s="212"/>
      <c r="PT31" s="212"/>
      <c r="PU31" s="212"/>
      <c r="PV31" s="212"/>
      <c r="PW31" s="212"/>
      <c r="PX31" s="212"/>
      <c r="PY31" s="212"/>
      <c r="PZ31" s="212"/>
      <c r="QA31" s="212"/>
      <c r="QB31" s="212"/>
      <c r="QC31" s="212"/>
      <c r="QD31" s="212"/>
      <c r="QE31" s="212"/>
      <c r="QF31" s="212"/>
      <c r="QG31" s="212"/>
      <c r="QH31" s="212"/>
      <c r="QI31" s="212"/>
      <c r="QJ31" s="212"/>
      <c r="QK31" s="212"/>
      <c r="QL31" s="212"/>
      <c r="QM31" s="212"/>
      <c r="QN31" s="212"/>
      <c r="QO31" s="212"/>
      <c r="QP31" s="212"/>
      <c r="QQ31" s="212"/>
      <c r="QR31" s="212"/>
      <c r="QS31" s="212"/>
      <c r="QT31" s="212"/>
      <c r="QU31" s="212"/>
      <c r="QV31" s="212"/>
      <c r="QW31" s="212"/>
      <c r="QX31" s="212"/>
      <c r="QY31" s="212"/>
      <c r="QZ31" s="212"/>
      <c r="RA31" s="212"/>
      <c r="RB31" s="212"/>
      <c r="RC31" s="212"/>
      <c r="RD31" s="212"/>
      <c r="RE31" s="212"/>
      <c r="RF31" s="212"/>
      <c r="RG31" s="212"/>
      <c r="RH31" s="212"/>
      <c r="RI31" s="212"/>
      <c r="RJ31" s="212"/>
      <c r="RK31" s="212"/>
      <c r="RL31" s="212"/>
      <c r="RM31" s="212"/>
      <c r="RN31" s="212"/>
      <c r="RO31" s="212"/>
      <c r="RP31" s="212"/>
      <c r="RQ31" s="212"/>
      <c r="RR31" s="212"/>
      <c r="RS31" s="212"/>
      <c r="RT31" s="212"/>
      <c r="RU31" s="212"/>
      <c r="RV31" s="212"/>
      <c r="RW31" s="212"/>
      <c r="RX31" s="212"/>
      <c r="RY31" s="212"/>
      <c r="RZ31" s="212"/>
      <c r="SA31" s="212"/>
      <c r="SB31" s="212"/>
      <c r="SC31" s="212"/>
      <c r="SD31" s="212"/>
      <c r="SE31" s="212"/>
      <c r="SF31" s="212"/>
      <c r="SG31" s="212"/>
      <c r="SH31" s="212"/>
      <c r="SI31" s="212"/>
      <c r="SJ31" s="212"/>
      <c r="SK31" s="212"/>
      <c r="SL31" s="212"/>
      <c r="SM31" s="212"/>
      <c r="SN31" s="212"/>
      <c r="SO31" s="212"/>
      <c r="SP31" s="212"/>
      <c r="SQ31" s="212"/>
      <c r="SR31" s="212"/>
      <c r="SS31" s="212"/>
      <c r="ST31" s="212"/>
      <c r="SU31" s="212"/>
      <c r="SV31" s="212"/>
      <c r="SW31" s="212"/>
      <c r="SX31" s="212"/>
      <c r="SY31" s="212"/>
      <c r="SZ31" s="212"/>
      <c r="TA31" s="212"/>
      <c r="TB31" s="212"/>
      <c r="TC31" s="212"/>
      <c r="TD31" s="212"/>
      <c r="TE31" s="212"/>
      <c r="TF31" s="212"/>
      <c r="TG31" s="212"/>
      <c r="TH31" s="212"/>
      <c r="TI31" s="212"/>
      <c r="TJ31" s="212"/>
      <c r="TK31" s="212"/>
      <c r="TL31" s="212"/>
      <c r="TM31" s="212"/>
      <c r="TN31" s="212"/>
      <c r="TO31" s="212"/>
      <c r="TP31" s="212"/>
      <c r="TQ31" s="212"/>
      <c r="TR31" s="212"/>
      <c r="TS31" s="212"/>
      <c r="TT31" s="212"/>
      <c r="TU31" s="212"/>
      <c r="TV31" s="212"/>
      <c r="TW31" s="212"/>
      <c r="TX31" s="212"/>
      <c r="TY31" s="212"/>
      <c r="TZ31" s="212"/>
      <c r="UA31" s="212"/>
      <c r="UB31" s="212"/>
      <c r="UC31" s="212"/>
      <c r="UD31" s="212"/>
      <c r="UE31" s="212"/>
      <c r="UF31" s="212"/>
      <c r="UG31" s="212"/>
      <c r="UH31" s="212"/>
      <c r="UI31" s="212"/>
      <c r="UJ31" s="212"/>
      <c r="UK31" s="212"/>
      <c r="UL31" s="212"/>
      <c r="UM31" s="212"/>
      <c r="UN31" s="212"/>
      <c r="UO31" s="212"/>
      <c r="UP31" s="212"/>
      <c r="UQ31" s="212"/>
      <c r="UR31" s="212"/>
      <c r="US31" s="212"/>
      <c r="UT31" s="194"/>
    </row>
    <row r="32" spans="2:566" ht="15.75" customHeight="1" x14ac:dyDescent="0.3">
      <c r="B32" s="117" t="s">
        <v>64</v>
      </c>
      <c r="C32" s="107" t="s">
        <v>57</v>
      </c>
      <c r="D32" s="102" t="str">
        <f t="shared" si="28"/>
        <v/>
      </c>
      <c r="E32" s="103" t="str">
        <f t="shared" si="29"/>
        <v/>
      </c>
      <c r="F32" s="212"/>
      <c r="G32" s="212"/>
      <c r="H32" s="212"/>
      <c r="I32" s="212"/>
      <c r="J32" s="212"/>
      <c r="K32" s="212"/>
      <c r="L32" s="212"/>
      <c r="M32" s="212"/>
      <c r="N32" s="212"/>
      <c r="O32" s="212"/>
      <c r="P32" s="213"/>
      <c r="Q32" s="213"/>
      <c r="R32" s="212"/>
      <c r="S32" s="212"/>
      <c r="T32" s="212"/>
      <c r="U32" s="212"/>
      <c r="V32" s="212"/>
      <c r="W32" s="213"/>
      <c r="X32" s="213"/>
      <c r="Y32" s="212"/>
      <c r="Z32" s="212"/>
      <c r="AA32" s="212"/>
      <c r="AB32" s="213"/>
      <c r="AC32" s="213"/>
      <c r="AD32" s="213"/>
      <c r="AE32" s="213"/>
      <c r="AF32" s="213"/>
      <c r="AG32" s="213"/>
      <c r="AH32" s="212"/>
      <c r="AI32" s="212"/>
      <c r="AJ32" s="212"/>
      <c r="AK32" s="213"/>
      <c r="AL32" s="213"/>
      <c r="AM32" s="212"/>
      <c r="AN32" s="212"/>
      <c r="AO32" s="212"/>
      <c r="AP32" s="212"/>
      <c r="AQ32" s="212"/>
      <c r="AR32" s="212"/>
      <c r="AS32" s="212"/>
      <c r="AT32" s="212"/>
      <c r="AU32" s="212"/>
      <c r="AV32" s="212"/>
      <c r="AW32" s="212"/>
      <c r="AX32" s="212"/>
      <c r="AY32" s="212"/>
      <c r="AZ32" s="212"/>
      <c r="BA32" s="212"/>
      <c r="BB32" s="212"/>
      <c r="BC32" s="212"/>
      <c r="BD32" s="212"/>
      <c r="BE32" s="212"/>
      <c r="BF32" s="212"/>
      <c r="BG32" s="212"/>
      <c r="BH32" s="212"/>
      <c r="BI32" s="214"/>
      <c r="BJ32" s="214"/>
      <c r="BK32" s="214"/>
      <c r="BL32" s="214"/>
      <c r="BM32" s="212"/>
      <c r="BN32" s="212"/>
      <c r="BO32" s="212"/>
      <c r="BP32" s="212"/>
      <c r="BQ32" s="212"/>
      <c r="BR32" s="212"/>
      <c r="BS32" s="212"/>
      <c r="BT32" s="212"/>
      <c r="BU32" s="212"/>
      <c r="BV32" s="212"/>
      <c r="BW32" s="212"/>
      <c r="BX32" s="212"/>
      <c r="BY32" s="212"/>
      <c r="BZ32" s="212"/>
      <c r="CA32" s="212"/>
      <c r="CB32" s="212"/>
      <c r="CC32" s="212"/>
      <c r="CD32" s="212"/>
      <c r="CE32" s="212"/>
      <c r="CF32" s="212"/>
      <c r="CG32" s="212"/>
      <c r="CH32" s="212"/>
      <c r="CI32" s="212"/>
      <c r="CJ32" s="212"/>
      <c r="CK32" s="212"/>
      <c r="CL32" s="212"/>
      <c r="CM32" s="212"/>
      <c r="CN32" s="212"/>
      <c r="CO32" s="212"/>
      <c r="CP32" s="212"/>
      <c r="CQ32" s="212"/>
      <c r="CR32" s="212"/>
      <c r="CS32" s="212"/>
      <c r="CT32" s="212"/>
      <c r="CU32" s="214"/>
      <c r="CV32" s="212"/>
      <c r="CW32" s="212"/>
      <c r="CX32" s="212"/>
      <c r="CY32" s="212"/>
      <c r="CZ32" s="212"/>
      <c r="DA32" s="212"/>
      <c r="DB32" s="212"/>
      <c r="DC32" s="212"/>
      <c r="DD32" s="212"/>
      <c r="DE32" s="212"/>
      <c r="DF32" s="212"/>
      <c r="DG32" s="212"/>
      <c r="DH32" s="212"/>
      <c r="DI32" s="212"/>
      <c r="DJ32" s="212"/>
      <c r="DK32" s="212"/>
      <c r="DL32" s="212"/>
      <c r="DM32" s="212"/>
      <c r="DN32" s="212"/>
      <c r="DO32" s="212"/>
      <c r="DP32" s="212"/>
      <c r="DQ32" s="212"/>
      <c r="DR32" s="212"/>
      <c r="DS32" s="212"/>
      <c r="DT32" s="212"/>
      <c r="DU32" s="212"/>
      <c r="DV32" s="212"/>
      <c r="DW32" s="212"/>
      <c r="DX32" s="212"/>
      <c r="DY32" s="212"/>
      <c r="DZ32" s="212"/>
      <c r="EA32" s="212"/>
      <c r="EB32" s="214"/>
      <c r="EC32" s="212"/>
      <c r="ED32" s="212"/>
      <c r="EE32" s="212"/>
      <c r="EF32" s="212"/>
      <c r="EG32" s="212"/>
      <c r="EH32" s="212"/>
      <c r="EI32" s="212"/>
      <c r="EJ32" s="212"/>
      <c r="EK32" s="212"/>
      <c r="EL32" s="212"/>
      <c r="EM32" s="212"/>
      <c r="EN32" s="212"/>
      <c r="EO32" s="212"/>
      <c r="EP32" s="212"/>
      <c r="EQ32" s="212"/>
      <c r="ER32" s="212"/>
      <c r="ES32" s="212"/>
      <c r="ET32" s="212"/>
      <c r="EU32" s="212"/>
      <c r="EV32" s="212"/>
      <c r="EW32" s="212"/>
      <c r="EX32" s="212"/>
      <c r="EY32" s="212"/>
      <c r="EZ32" s="212"/>
      <c r="FA32" s="212"/>
      <c r="FB32" s="212"/>
      <c r="FC32" s="212"/>
      <c r="FD32" s="212"/>
      <c r="FE32" s="212"/>
      <c r="FF32" s="212"/>
      <c r="FG32" s="212"/>
      <c r="FH32" s="212"/>
      <c r="FI32" s="212"/>
      <c r="FJ32" s="212"/>
      <c r="FK32" s="212"/>
      <c r="FL32" s="212"/>
      <c r="FM32" s="212"/>
      <c r="FN32" s="212"/>
      <c r="FO32" s="212"/>
      <c r="FP32" s="212"/>
      <c r="FQ32" s="212"/>
      <c r="FR32" s="212"/>
      <c r="FS32" s="212"/>
      <c r="FT32" s="212"/>
      <c r="FU32" s="212"/>
      <c r="FV32" s="212"/>
      <c r="FW32" s="212"/>
      <c r="FX32" s="212"/>
      <c r="FY32" s="212"/>
      <c r="FZ32" s="212"/>
      <c r="GA32" s="212"/>
      <c r="GB32" s="212"/>
      <c r="GC32" s="212"/>
      <c r="GD32" s="212"/>
      <c r="GE32" s="212"/>
      <c r="GF32" s="212"/>
      <c r="GG32" s="212"/>
      <c r="GH32" s="212"/>
      <c r="GI32" s="212"/>
      <c r="GJ32" s="212"/>
      <c r="GK32" s="212"/>
      <c r="GL32" s="212"/>
      <c r="GM32" s="212"/>
      <c r="GN32" s="212"/>
      <c r="GO32" s="212"/>
      <c r="GP32" s="212"/>
      <c r="GQ32" s="212"/>
      <c r="GR32" s="212"/>
      <c r="GS32" s="212"/>
      <c r="GT32" s="212"/>
      <c r="GU32" s="212"/>
      <c r="GV32" s="212"/>
      <c r="GW32" s="212"/>
      <c r="GX32" s="212"/>
      <c r="GY32" s="212"/>
      <c r="GZ32" s="212"/>
      <c r="HA32" s="212"/>
      <c r="HB32" s="212"/>
      <c r="HC32" s="212"/>
      <c r="HD32" s="212"/>
      <c r="HE32" s="212"/>
      <c r="HF32" s="212"/>
      <c r="HG32" s="212"/>
      <c r="HH32" s="212"/>
      <c r="HI32" s="212"/>
      <c r="HJ32" s="212"/>
      <c r="HK32" s="212"/>
      <c r="HL32" s="212"/>
      <c r="HM32" s="212"/>
      <c r="HN32" s="212"/>
      <c r="HO32" s="212"/>
      <c r="HP32" s="212"/>
      <c r="HQ32" s="212"/>
      <c r="HR32" s="212"/>
      <c r="HS32" s="212"/>
      <c r="HT32" s="212"/>
      <c r="HU32" s="212"/>
      <c r="HV32" s="212"/>
      <c r="HW32" s="212"/>
      <c r="HX32" s="212"/>
      <c r="HY32" s="212"/>
      <c r="HZ32" s="212"/>
      <c r="IA32" s="212"/>
      <c r="IB32" s="212"/>
      <c r="IC32" s="212"/>
      <c r="ID32" s="212"/>
      <c r="IE32" s="212"/>
      <c r="IF32" s="212"/>
      <c r="IG32" s="212"/>
      <c r="IH32" s="212"/>
      <c r="II32" s="212"/>
      <c r="IJ32" s="212"/>
      <c r="IK32" s="212"/>
      <c r="IL32" s="212"/>
      <c r="IM32" s="212"/>
      <c r="IN32" s="212"/>
      <c r="IO32" s="212"/>
      <c r="IP32" s="212"/>
      <c r="IQ32" s="212"/>
      <c r="IR32" s="212"/>
      <c r="IS32" s="212"/>
      <c r="IT32" s="212"/>
      <c r="IU32" s="212"/>
      <c r="IV32" s="212"/>
      <c r="IW32" s="212"/>
      <c r="IX32" s="212"/>
      <c r="IY32" s="212"/>
      <c r="IZ32" s="212"/>
      <c r="JA32" s="212"/>
      <c r="JB32" s="212"/>
      <c r="JC32" s="212"/>
      <c r="JD32" s="212"/>
      <c r="JE32" s="212"/>
      <c r="JF32" s="212"/>
      <c r="JG32" s="212"/>
      <c r="JH32" s="212"/>
      <c r="JI32" s="212"/>
      <c r="JJ32" s="212"/>
      <c r="JK32" s="212"/>
      <c r="JL32" s="212"/>
      <c r="JM32" s="212"/>
      <c r="JN32" s="212"/>
      <c r="JO32" s="212"/>
      <c r="JP32" s="212"/>
      <c r="JQ32" s="212"/>
      <c r="JR32" s="212"/>
      <c r="JS32" s="212"/>
      <c r="JT32" s="212"/>
      <c r="JU32" s="212"/>
      <c r="JV32" s="212"/>
      <c r="JW32" s="212"/>
      <c r="JX32" s="212"/>
      <c r="JY32" s="212"/>
      <c r="JZ32" s="212"/>
      <c r="KA32" s="212"/>
      <c r="KB32" s="212"/>
      <c r="KC32" s="212"/>
      <c r="KD32" s="212"/>
      <c r="KE32" s="212"/>
      <c r="KF32" s="212"/>
      <c r="KG32" s="212"/>
      <c r="KH32" s="212"/>
      <c r="KI32" s="212"/>
      <c r="KJ32" s="212"/>
      <c r="KK32" s="212"/>
      <c r="KL32" s="212"/>
      <c r="KM32" s="212"/>
      <c r="KN32" s="212"/>
      <c r="KO32" s="212"/>
      <c r="KP32" s="212"/>
      <c r="KQ32" s="212"/>
      <c r="KR32" s="212"/>
      <c r="KS32" s="212"/>
      <c r="KT32" s="212"/>
      <c r="KU32" s="212"/>
      <c r="KV32" s="212"/>
      <c r="KW32" s="212"/>
      <c r="KX32" s="212"/>
      <c r="KY32" s="212"/>
      <c r="KZ32" s="212"/>
      <c r="LA32" s="212"/>
      <c r="LB32" s="212"/>
      <c r="LC32" s="212"/>
      <c r="LD32" s="212"/>
      <c r="LE32" s="212"/>
      <c r="LF32" s="212"/>
      <c r="LG32" s="212"/>
      <c r="LH32" s="212"/>
      <c r="LI32" s="212"/>
      <c r="LJ32" s="212"/>
      <c r="LK32" s="212"/>
      <c r="LL32" s="212"/>
      <c r="LM32" s="212"/>
      <c r="LN32" s="212"/>
      <c r="LO32" s="212"/>
      <c r="LP32" s="212"/>
      <c r="LQ32" s="212"/>
      <c r="LR32" s="212"/>
      <c r="LS32" s="212"/>
      <c r="LT32" s="212"/>
      <c r="LU32" s="212"/>
      <c r="LV32" s="212"/>
      <c r="LW32" s="212"/>
      <c r="LX32" s="212"/>
      <c r="LY32" s="212"/>
      <c r="LZ32" s="212"/>
      <c r="MA32" s="212"/>
      <c r="MB32" s="212"/>
      <c r="MC32" s="212"/>
      <c r="MD32" s="212"/>
      <c r="ME32" s="212"/>
      <c r="MF32" s="212"/>
      <c r="MG32" s="212"/>
      <c r="MH32" s="212"/>
      <c r="MI32" s="212"/>
      <c r="MJ32" s="212"/>
      <c r="MK32" s="212"/>
      <c r="ML32" s="212"/>
      <c r="MM32" s="212"/>
      <c r="MN32" s="212"/>
      <c r="MO32" s="212"/>
      <c r="MP32" s="212"/>
      <c r="MQ32" s="212"/>
      <c r="MR32" s="212"/>
      <c r="MS32" s="212"/>
      <c r="MT32" s="212"/>
      <c r="MU32" s="212"/>
      <c r="MV32" s="212"/>
      <c r="MW32" s="212"/>
      <c r="MX32" s="212"/>
      <c r="MY32" s="212"/>
      <c r="MZ32" s="212"/>
      <c r="NA32" s="212"/>
      <c r="NB32" s="212"/>
      <c r="NC32" s="212"/>
      <c r="ND32" s="212"/>
      <c r="NE32" s="212"/>
      <c r="NF32" s="212"/>
      <c r="NG32" s="212"/>
      <c r="NH32" s="212"/>
      <c r="NI32" s="212"/>
      <c r="NJ32" s="212"/>
      <c r="NK32" s="212"/>
      <c r="NL32" s="212"/>
      <c r="NM32" s="212"/>
      <c r="NN32" s="212"/>
      <c r="NO32" s="212"/>
      <c r="NP32" s="212"/>
      <c r="NQ32" s="212"/>
      <c r="NR32" s="212"/>
      <c r="NS32" s="212"/>
      <c r="NT32" s="212"/>
      <c r="NU32" s="212"/>
      <c r="NV32" s="212"/>
      <c r="NW32" s="212"/>
      <c r="NX32" s="212"/>
      <c r="NY32" s="212"/>
      <c r="NZ32" s="212"/>
      <c r="OA32" s="212"/>
      <c r="OB32" s="212"/>
      <c r="OC32" s="212"/>
      <c r="OD32" s="212"/>
      <c r="OE32" s="212"/>
      <c r="OF32" s="212"/>
      <c r="OG32" s="212"/>
      <c r="OH32" s="212"/>
      <c r="OI32" s="212"/>
      <c r="OJ32" s="212"/>
      <c r="OK32" s="212"/>
      <c r="OL32" s="212"/>
      <c r="OM32" s="212"/>
      <c r="ON32" s="212"/>
      <c r="OO32" s="212"/>
      <c r="OP32" s="212"/>
      <c r="OQ32" s="212"/>
      <c r="OR32" s="212"/>
      <c r="OS32" s="212"/>
      <c r="OT32" s="212"/>
      <c r="OU32" s="212"/>
      <c r="OV32" s="212"/>
      <c r="OW32" s="212"/>
      <c r="OX32" s="212"/>
      <c r="OY32" s="212"/>
      <c r="OZ32" s="212"/>
      <c r="PA32" s="212"/>
      <c r="PB32" s="212"/>
      <c r="PC32" s="212"/>
      <c r="PD32" s="212"/>
      <c r="PE32" s="212"/>
      <c r="PF32" s="212"/>
      <c r="PG32" s="212"/>
      <c r="PH32" s="212"/>
      <c r="PI32" s="212"/>
      <c r="PJ32" s="212"/>
      <c r="PK32" s="212"/>
      <c r="PL32" s="212"/>
      <c r="PM32" s="212"/>
      <c r="PN32" s="212"/>
      <c r="PO32" s="212"/>
      <c r="PP32" s="212"/>
      <c r="PQ32" s="212"/>
      <c r="PR32" s="212"/>
      <c r="PS32" s="212"/>
      <c r="PT32" s="212"/>
      <c r="PU32" s="212"/>
      <c r="PV32" s="212"/>
      <c r="PW32" s="212"/>
      <c r="PX32" s="212"/>
      <c r="PY32" s="212"/>
      <c r="PZ32" s="212"/>
      <c r="QA32" s="212"/>
      <c r="QB32" s="212"/>
      <c r="QC32" s="212"/>
      <c r="QD32" s="212"/>
      <c r="QE32" s="212"/>
      <c r="QF32" s="212"/>
      <c r="QG32" s="212"/>
      <c r="QH32" s="212"/>
      <c r="QI32" s="212"/>
      <c r="QJ32" s="212"/>
      <c r="QK32" s="212"/>
      <c r="QL32" s="212"/>
      <c r="QM32" s="212"/>
      <c r="QN32" s="212"/>
      <c r="QO32" s="212"/>
      <c r="QP32" s="212"/>
      <c r="QQ32" s="212"/>
      <c r="QR32" s="212"/>
      <c r="QS32" s="212"/>
      <c r="QT32" s="212"/>
      <c r="QU32" s="212"/>
      <c r="QV32" s="212"/>
      <c r="QW32" s="212"/>
      <c r="QX32" s="212"/>
      <c r="QY32" s="212"/>
      <c r="QZ32" s="212"/>
      <c r="RA32" s="212"/>
      <c r="RB32" s="212"/>
      <c r="RC32" s="212"/>
      <c r="RD32" s="212"/>
      <c r="RE32" s="212"/>
      <c r="RF32" s="212"/>
      <c r="RG32" s="212"/>
      <c r="RH32" s="212"/>
      <c r="RI32" s="212"/>
      <c r="RJ32" s="212"/>
      <c r="RK32" s="212"/>
      <c r="RL32" s="212"/>
      <c r="RM32" s="212"/>
      <c r="RN32" s="212"/>
      <c r="RO32" s="212"/>
      <c r="RP32" s="212"/>
      <c r="RQ32" s="212"/>
      <c r="RR32" s="212"/>
      <c r="RS32" s="212"/>
      <c r="RT32" s="212"/>
      <c r="RU32" s="212"/>
      <c r="RV32" s="212"/>
      <c r="RW32" s="212"/>
      <c r="RX32" s="212"/>
      <c r="RY32" s="212"/>
      <c r="RZ32" s="212"/>
      <c r="SA32" s="212"/>
      <c r="SB32" s="212"/>
      <c r="SC32" s="212"/>
      <c r="SD32" s="212"/>
      <c r="SE32" s="212"/>
      <c r="SF32" s="212"/>
      <c r="SG32" s="212"/>
      <c r="SH32" s="212"/>
      <c r="SI32" s="212"/>
      <c r="SJ32" s="212"/>
      <c r="SK32" s="212"/>
      <c r="SL32" s="212"/>
      <c r="SM32" s="212"/>
      <c r="SN32" s="212"/>
      <c r="SO32" s="212"/>
      <c r="SP32" s="212"/>
      <c r="SQ32" s="212"/>
      <c r="SR32" s="212"/>
      <c r="SS32" s="212"/>
      <c r="ST32" s="212"/>
      <c r="SU32" s="212"/>
      <c r="SV32" s="212"/>
      <c r="SW32" s="212"/>
      <c r="SX32" s="212"/>
      <c r="SY32" s="212"/>
      <c r="SZ32" s="212"/>
      <c r="TA32" s="212"/>
      <c r="TB32" s="212"/>
      <c r="TC32" s="212"/>
      <c r="TD32" s="212"/>
      <c r="TE32" s="212"/>
      <c r="TF32" s="212"/>
      <c r="TG32" s="212"/>
      <c r="TH32" s="212"/>
      <c r="TI32" s="212"/>
      <c r="TJ32" s="212"/>
      <c r="TK32" s="212"/>
      <c r="TL32" s="212"/>
      <c r="TM32" s="212"/>
      <c r="TN32" s="212"/>
      <c r="TO32" s="212"/>
      <c r="TP32" s="212"/>
      <c r="TQ32" s="212"/>
      <c r="TR32" s="212"/>
      <c r="TS32" s="212"/>
      <c r="TT32" s="212"/>
      <c r="TU32" s="212"/>
      <c r="TV32" s="212"/>
      <c r="TW32" s="212"/>
      <c r="TX32" s="212"/>
      <c r="TY32" s="212"/>
      <c r="TZ32" s="212"/>
      <c r="UA32" s="212"/>
      <c r="UB32" s="212"/>
      <c r="UC32" s="212"/>
      <c r="UD32" s="212"/>
      <c r="UE32" s="212"/>
      <c r="UF32" s="212"/>
      <c r="UG32" s="212"/>
      <c r="UH32" s="212"/>
      <c r="UI32" s="212"/>
      <c r="UJ32" s="212"/>
      <c r="UK32" s="212"/>
      <c r="UL32" s="212"/>
      <c r="UM32" s="212"/>
      <c r="UN32" s="212"/>
      <c r="UO32" s="212"/>
      <c r="UP32" s="212"/>
      <c r="UQ32" s="212"/>
      <c r="UR32" s="212"/>
      <c r="US32" s="212"/>
      <c r="UT32" s="194"/>
    </row>
    <row r="33" spans="2:566" ht="15.75" customHeight="1" x14ac:dyDescent="0.3">
      <c r="B33" s="117" t="s">
        <v>63</v>
      </c>
      <c r="C33" s="107" t="s">
        <v>156</v>
      </c>
      <c r="D33" s="102" t="str">
        <f t="shared" si="28"/>
        <v/>
      </c>
      <c r="E33" s="103" t="str">
        <f t="shared" si="29"/>
        <v/>
      </c>
      <c r="F33" s="212"/>
      <c r="G33" s="212"/>
      <c r="H33" s="212"/>
      <c r="I33" s="212"/>
      <c r="J33" s="212"/>
      <c r="K33" s="212"/>
      <c r="L33" s="212"/>
      <c r="M33" s="212"/>
      <c r="N33" s="212"/>
      <c r="O33" s="212"/>
      <c r="P33" s="213"/>
      <c r="Q33" s="213"/>
      <c r="R33" s="212"/>
      <c r="S33" s="212"/>
      <c r="T33" s="212"/>
      <c r="U33" s="212"/>
      <c r="V33" s="212"/>
      <c r="W33" s="213"/>
      <c r="X33" s="213"/>
      <c r="Y33" s="212"/>
      <c r="Z33" s="212"/>
      <c r="AA33" s="212"/>
      <c r="AB33" s="213"/>
      <c r="AC33" s="213"/>
      <c r="AD33" s="213"/>
      <c r="AE33" s="213"/>
      <c r="AF33" s="213"/>
      <c r="AG33" s="213"/>
      <c r="AH33" s="212"/>
      <c r="AI33" s="212"/>
      <c r="AJ33" s="212"/>
      <c r="AK33" s="213"/>
      <c r="AL33" s="213"/>
      <c r="AM33" s="212"/>
      <c r="AN33" s="212"/>
      <c r="AO33" s="212"/>
      <c r="AP33" s="212"/>
      <c r="AQ33" s="212"/>
      <c r="AR33" s="212"/>
      <c r="AS33" s="212"/>
      <c r="AT33" s="212"/>
      <c r="AU33" s="212"/>
      <c r="AV33" s="212"/>
      <c r="AW33" s="212"/>
      <c r="AX33" s="212"/>
      <c r="AY33" s="212"/>
      <c r="AZ33" s="212"/>
      <c r="BA33" s="212"/>
      <c r="BB33" s="212"/>
      <c r="BC33" s="212"/>
      <c r="BD33" s="212"/>
      <c r="BE33" s="212"/>
      <c r="BF33" s="212"/>
      <c r="BG33" s="212"/>
      <c r="BH33" s="212"/>
      <c r="BI33" s="214"/>
      <c r="BJ33" s="214"/>
      <c r="BK33" s="214"/>
      <c r="BL33" s="214"/>
      <c r="BM33" s="212"/>
      <c r="BN33" s="212"/>
      <c r="BO33" s="212"/>
      <c r="BP33" s="212"/>
      <c r="BQ33" s="212"/>
      <c r="BR33" s="212"/>
      <c r="BS33" s="212"/>
      <c r="BT33" s="212"/>
      <c r="BU33" s="212"/>
      <c r="BV33" s="212"/>
      <c r="BW33" s="212"/>
      <c r="BX33" s="212"/>
      <c r="BY33" s="212"/>
      <c r="BZ33" s="212"/>
      <c r="CA33" s="212"/>
      <c r="CB33" s="212"/>
      <c r="CC33" s="212"/>
      <c r="CD33" s="212"/>
      <c r="CE33" s="212"/>
      <c r="CF33" s="212"/>
      <c r="CG33" s="212"/>
      <c r="CH33" s="212"/>
      <c r="CI33" s="212"/>
      <c r="CJ33" s="212"/>
      <c r="CK33" s="212"/>
      <c r="CL33" s="212"/>
      <c r="CM33" s="212"/>
      <c r="CN33" s="212"/>
      <c r="CO33" s="212"/>
      <c r="CP33" s="212"/>
      <c r="CQ33" s="212"/>
      <c r="CR33" s="212"/>
      <c r="CS33" s="212"/>
      <c r="CT33" s="212"/>
      <c r="CU33" s="214"/>
      <c r="CV33" s="212"/>
      <c r="CW33" s="212"/>
      <c r="CX33" s="212"/>
      <c r="CY33" s="212"/>
      <c r="CZ33" s="212"/>
      <c r="DA33" s="212"/>
      <c r="DB33" s="212"/>
      <c r="DC33" s="212"/>
      <c r="DD33" s="212"/>
      <c r="DE33" s="212"/>
      <c r="DF33" s="212"/>
      <c r="DG33" s="212"/>
      <c r="DH33" s="212"/>
      <c r="DI33" s="212"/>
      <c r="DJ33" s="212"/>
      <c r="DK33" s="212"/>
      <c r="DL33" s="212"/>
      <c r="DM33" s="212"/>
      <c r="DN33" s="212"/>
      <c r="DO33" s="212"/>
      <c r="DP33" s="212"/>
      <c r="DQ33" s="212"/>
      <c r="DR33" s="212"/>
      <c r="DS33" s="212"/>
      <c r="DT33" s="212"/>
      <c r="DU33" s="212"/>
      <c r="DV33" s="212"/>
      <c r="DW33" s="212"/>
      <c r="DX33" s="212"/>
      <c r="DY33" s="212"/>
      <c r="DZ33" s="212"/>
      <c r="EA33" s="212"/>
      <c r="EB33" s="214"/>
      <c r="EC33" s="212"/>
      <c r="ED33" s="212"/>
      <c r="EE33" s="212"/>
      <c r="EF33" s="212"/>
      <c r="EG33" s="212"/>
      <c r="EH33" s="212"/>
      <c r="EI33" s="212"/>
      <c r="EJ33" s="212"/>
      <c r="EK33" s="212"/>
      <c r="EL33" s="212"/>
      <c r="EM33" s="212"/>
      <c r="EN33" s="212"/>
      <c r="EO33" s="212"/>
      <c r="EP33" s="212"/>
      <c r="EQ33" s="212"/>
      <c r="ER33" s="212"/>
      <c r="ES33" s="212"/>
      <c r="ET33" s="212"/>
      <c r="EU33" s="212"/>
      <c r="EV33" s="212"/>
      <c r="EW33" s="212"/>
      <c r="EX33" s="212"/>
      <c r="EY33" s="212"/>
      <c r="EZ33" s="212"/>
      <c r="FA33" s="212"/>
      <c r="FB33" s="212"/>
      <c r="FC33" s="212"/>
      <c r="FD33" s="212"/>
      <c r="FE33" s="212"/>
      <c r="FF33" s="212"/>
      <c r="FG33" s="212"/>
      <c r="FH33" s="212"/>
      <c r="FI33" s="212"/>
      <c r="FJ33" s="212"/>
      <c r="FK33" s="212"/>
      <c r="FL33" s="212"/>
      <c r="FM33" s="212"/>
      <c r="FN33" s="212"/>
      <c r="FO33" s="212"/>
      <c r="FP33" s="212"/>
      <c r="FQ33" s="212"/>
      <c r="FR33" s="212"/>
      <c r="FS33" s="212"/>
      <c r="FT33" s="212"/>
      <c r="FU33" s="212"/>
      <c r="FV33" s="212"/>
      <c r="FW33" s="212"/>
      <c r="FX33" s="212"/>
      <c r="FY33" s="212"/>
      <c r="FZ33" s="212"/>
      <c r="GA33" s="212"/>
      <c r="GB33" s="212"/>
      <c r="GC33" s="212"/>
      <c r="GD33" s="212"/>
      <c r="GE33" s="212"/>
      <c r="GF33" s="212"/>
      <c r="GG33" s="212"/>
      <c r="GH33" s="212"/>
      <c r="GI33" s="212"/>
      <c r="GJ33" s="212"/>
      <c r="GK33" s="212"/>
      <c r="GL33" s="212"/>
      <c r="GM33" s="212"/>
      <c r="GN33" s="212"/>
      <c r="GO33" s="212"/>
      <c r="GP33" s="212"/>
      <c r="GQ33" s="212"/>
      <c r="GR33" s="212"/>
      <c r="GS33" s="212"/>
      <c r="GT33" s="212"/>
      <c r="GU33" s="212"/>
      <c r="GV33" s="212"/>
      <c r="GW33" s="212"/>
      <c r="GX33" s="212"/>
      <c r="GY33" s="212"/>
      <c r="GZ33" s="212"/>
      <c r="HA33" s="212"/>
      <c r="HB33" s="212"/>
      <c r="HC33" s="212"/>
      <c r="HD33" s="212"/>
      <c r="HE33" s="212"/>
      <c r="HF33" s="212"/>
      <c r="HG33" s="212"/>
      <c r="HH33" s="212"/>
      <c r="HI33" s="212"/>
      <c r="HJ33" s="212"/>
      <c r="HK33" s="212"/>
      <c r="HL33" s="212"/>
      <c r="HM33" s="212"/>
      <c r="HN33" s="212"/>
      <c r="HO33" s="212"/>
      <c r="HP33" s="212"/>
      <c r="HQ33" s="212"/>
      <c r="HR33" s="212"/>
      <c r="HS33" s="212"/>
      <c r="HT33" s="212"/>
      <c r="HU33" s="212"/>
      <c r="HV33" s="212"/>
      <c r="HW33" s="212"/>
      <c r="HX33" s="212"/>
      <c r="HY33" s="212"/>
      <c r="HZ33" s="212"/>
      <c r="IA33" s="212"/>
      <c r="IB33" s="212"/>
      <c r="IC33" s="212"/>
      <c r="ID33" s="212"/>
      <c r="IE33" s="212"/>
      <c r="IF33" s="212"/>
      <c r="IG33" s="212"/>
      <c r="IH33" s="212"/>
      <c r="II33" s="212"/>
      <c r="IJ33" s="212"/>
      <c r="IK33" s="212"/>
      <c r="IL33" s="212"/>
      <c r="IM33" s="212"/>
      <c r="IN33" s="212"/>
      <c r="IO33" s="212"/>
      <c r="IP33" s="212"/>
      <c r="IQ33" s="212"/>
      <c r="IR33" s="212"/>
      <c r="IS33" s="212"/>
      <c r="IT33" s="212"/>
      <c r="IU33" s="212"/>
      <c r="IV33" s="212"/>
      <c r="IW33" s="212"/>
      <c r="IX33" s="212"/>
      <c r="IY33" s="212"/>
      <c r="IZ33" s="212"/>
      <c r="JA33" s="212"/>
      <c r="JB33" s="212"/>
      <c r="JC33" s="212"/>
      <c r="JD33" s="212"/>
      <c r="JE33" s="212"/>
      <c r="JF33" s="212"/>
      <c r="JG33" s="212"/>
      <c r="JH33" s="212"/>
      <c r="JI33" s="212"/>
      <c r="JJ33" s="212"/>
      <c r="JK33" s="212"/>
      <c r="JL33" s="212"/>
      <c r="JM33" s="212"/>
      <c r="JN33" s="212"/>
      <c r="JO33" s="212"/>
      <c r="JP33" s="212"/>
      <c r="JQ33" s="212"/>
      <c r="JR33" s="212"/>
      <c r="JS33" s="212"/>
      <c r="JT33" s="212"/>
      <c r="JU33" s="212"/>
      <c r="JV33" s="212"/>
      <c r="JW33" s="212"/>
      <c r="JX33" s="212"/>
      <c r="JY33" s="212"/>
      <c r="JZ33" s="212"/>
      <c r="KA33" s="212"/>
      <c r="KB33" s="212"/>
      <c r="KC33" s="212"/>
      <c r="KD33" s="212"/>
      <c r="KE33" s="212"/>
      <c r="KF33" s="212"/>
      <c r="KG33" s="212"/>
      <c r="KH33" s="212"/>
      <c r="KI33" s="212"/>
      <c r="KJ33" s="212"/>
      <c r="KK33" s="212"/>
      <c r="KL33" s="212"/>
      <c r="KM33" s="212"/>
      <c r="KN33" s="212"/>
      <c r="KO33" s="212"/>
      <c r="KP33" s="212"/>
      <c r="KQ33" s="212"/>
      <c r="KR33" s="212"/>
      <c r="KS33" s="212"/>
      <c r="KT33" s="212"/>
      <c r="KU33" s="212"/>
      <c r="KV33" s="212"/>
      <c r="KW33" s="212"/>
      <c r="KX33" s="212"/>
      <c r="KY33" s="212"/>
      <c r="KZ33" s="212"/>
      <c r="LA33" s="212"/>
      <c r="LB33" s="212"/>
      <c r="LC33" s="212"/>
      <c r="LD33" s="212"/>
      <c r="LE33" s="212"/>
      <c r="LF33" s="212"/>
      <c r="LG33" s="212"/>
      <c r="LH33" s="212"/>
      <c r="LI33" s="212"/>
      <c r="LJ33" s="212"/>
      <c r="LK33" s="212"/>
      <c r="LL33" s="212"/>
      <c r="LM33" s="212"/>
      <c r="LN33" s="212"/>
      <c r="LO33" s="212"/>
      <c r="LP33" s="212"/>
      <c r="LQ33" s="212"/>
      <c r="LR33" s="212"/>
      <c r="LS33" s="212"/>
      <c r="LT33" s="212"/>
      <c r="LU33" s="212"/>
      <c r="LV33" s="212"/>
      <c r="LW33" s="212"/>
      <c r="LX33" s="212"/>
      <c r="LY33" s="212"/>
      <c r="LZ33" s="212"/>
      <c r="MA33" s="212"/>
      <c r="MB33" s="212"/>
      <c r="MC33" s="212"/>
      <c r="MD33" s="212"/>
      <c r="ME33" s="212"/>
      <c r="MF33" s="212"/>
      <c r="MG33" s="212"/>
      <c r="MH33" s="212"/>
      <c r="MI33" s="212"/>
      <c r="MJ33" s="212"/>
      <c r="MK33" s="212"/>
      <c r="ML33" s="212"/>
      <c r="MM33" s="212"/>
      <c r="MN33" s="212"/>
      <c r="MO33" s="212"/>
      <c r="MP33" s="212"/>
      <c r="MQ33" s="212"/>
      <c r="MR33" s="212"/>
      <c r="MS33" s="212"/>
      <c r="MT33" s="212"/>
      <c r="MU33" s="212"/>
      <c r="MV33" s="212"/>
      <c r="MW33" s="212"/>
      <c r="MX33" s="212"/>
      <c r="MY33" s="212"/>
      <c r="MZ33" s="212"/>
      <c r="NA33" s="212"/>
      <c r="NB33" s="212"/>
      <c r="NC33" s="212"/>
      <c r="ND33" s="212"/>
      <c r="NE33" s="212"/>
      <c r="NF33" s="212"/>
      <c r="NG33" s="212"/>
      <c r="NH33" s="212"/>
      <c r="NI33" s="212"/>
      <c r="NJ33" s="212"/>
      <c r="NK33" s="212"/>
      <c r="NL33" s="212"/>
      <c r="NM33" s="212"/>
      <c r="NN33" s="212"/>
      <c r="NO33" s="212"/>
      <c r="NP33" s="212"/>
      <c r="NQ33" s="212"/>
      <c r="NR33" s="212"/>
      <c r="NS33" s="212"/>
      <c r="NT33" s="212"/>
      <c r="NU33" s="212"/>
      <c r="NV33" s="212"/>
      <c r="NW33" s="212"/>
      <c r="NX33" s="212"/>
      <c r="NY33" s="212"/>
      <c r="NZ33" s="212"/>
      <c r="OA33" s="212"/>
      <c r="OB33" s="212"/>
      <c r="OC33" s="212"/>
      <c r="OD33" s="212"/>
      <c r="OE33" s="212"/>
      <c r="OF33" s="212"/>
      <c r="OG33" s="212"/>
      <c r="OH33" s="212"/>
      <c r="OI33" s="212"/>
      <c r="OJ33" s="212"/>
      <c r="OK33" s="212"/>
      <c r="OL33" s="212"/>
      <c r="OM33" s="212"/>
      <c r="ON33" s="212"/>
      <c r="OO33" s="212"/>
      <c r="OP33" s="212"/>
      <c r="OQ33" s="212"/>
      <c r="OR33" s="212"/>
      <c r="OS33" s="212"/>
      <c r="OT33" s="212"/>
      <c r="OU33" s="212"/>
      <c r="OV33" s="212"/>
      <c r="OW33" s="212"/>
      <c r="OX33" s="212"/>
      <c r="OY33" s="212"/>
      <c r="OZ33" s="212"/>
      <c r="PA33" s="212"/>
      <c r="PB33" s="212"/>
      <c r="PC33" s="212"/>
      <c r="PD33" s="212"/>
      <c r="PE33" s="212"/>
      <c r="PF33" s="212"/>
      <c r="PG33" s="212"/>
      <c r="PH33" s="212"/>
      <c r="PI33" s="212"/>
      <c r="PJ33" s="212"/>
      <c r="PK33" s="212"/>
      <c r="PL33" s="212"/>
      <c r="PM33" s="212"/>
      <c r="PN33" s="212"/>
      <c r="PO33" s="212"/>
      <c r="PP33" s="212"/>
      <c r="PQ33" s="212"/>
      <c r="PR33" s="212"/>
      <c r="PS33" s="212"/>
      <c r="PT33" s="212"/>
      <c r="PU33" s="212"/>
      <c r="PV33" s="212"/>
      <c r="PW33" s="212"/>
      <c r="PX33" s="212"/>
      <c r="PY33" s="212"/>
      <c r="PZ33" s="212"/>
      <c r="QA33" s="212"/>
      <c r="QB33" s="212"/>
      <c r="QC33" s="212"/>
      <c r="QD33" s="212"/>
      <c r="QE33" s="212"/>
      <c r="QF33" s="212"/>
      <c r="QG33" s="212"/>
      <c r="QH33" s="212"/>
      <c r="QI33" s="212"/>
      <c r="QJ33" s="212"/>
      <c r="QK33" s="212"/>
      <c r="QL33" s="212"/>
      <c r="QM33" s="212"/>
      <c r="QN33" s="212"/>
      <c r="QO33" s="212"/>
      <c r="QP33" s="212"/>
      <c r="QQ33" s="212"/>
      <c r="QR33" s="212"/>
      <c r="QS33" s="212"/>
      <c r="QT33" s="212"/>
      <c r="QU33" s="212"/>
      <c r="QV33" s="212"/>
      <c r="QW33" s="212"/>
      <c r="QX33" s="212"/>
      <c r="QY33" s="212"/>
      <c r="QZ33" s="212"/>
      <c r="RA33" s="212"/>
      <c r="RB33" s="212"/>
      <c r="RC33" s="212"/>
      <c r="RD33" s="212"/>
      <c r="RE33" s="212"/>
      <c r="RF33" s="212"/>
      <c r="RG33" s="212"/>
      <c r="RH33" s="212"/>
      <c r="RI33" s="212"/>
      <c r="RJ33" s="212"/>
      <c r="RK33" s="212"/>
      <c r="RL33" s="212"/>
      <c r="RM33" s="212"/>
      <c r="RN33" s="212"/>
      <c r="RO33" s="212"/>
      <c r="RP33" s="212"/>
      <c r="RQ33" s="212"/>
      <c r="RR33" s="212"/>
      <c r="RS33" s="212"/>
      <c r="RT33" s="212"/>
      <c r="RU33" s="212"/>
      <c r="RV33" s="212"/>
      <c r="RW33" s="212"/>
      <c r="RX33" s="212"/>
      <c r="RY33" s="212"/>
      <c r="RZ33" s="212"/>
      <c r="SA33" s="212"/>
      <c r="SB33" s="212"/>
      <c r="SC33" s="212"/>
      <c r="SD33" s="212"/>
      <c r="SE33" s="212"/>
      <c r="SF33" s="212"/>
      <c r="SG33" s="212"/>
      <c r="SH33" s="212"/>
      <c r="SI33" s="212"/>
      <c r="SJ33" s="212"/>
      <c r="SK33" s="212"/>
      <c r="SL33" s="212"/>
      <c r="SM33" s="212"/>
      <c r="SN33" s="212"/>
      <c r="SO33" s="212"/>
      <c r="SP33" s="212"/>
      <c r="SQ33" s="212"/>
      <c r="SR33" s="212"/>
      <c r="SS33" s="212"/>
      <c r="ST33" s="212"/>
      <c r="SU33" s="212"/>
      <c r="SV33" s="212"/>
      <c r="SW33" s="212"/>
      <c r="SX33" s="212"/>
      <c r="SY33" s="212"/>
      <c r="SZ33" s="212"/>
      <c r="TA33" s="212"/>
      <c r="TB33" s="212"/>
      <c r="TC33" s="212"/>
      <c r="TD33" s="212"/>
      <c r="TE33" s="212"/>
      <c r="TF33" s="212"/>
      <c r="TG33" s="212"/>
      <c r="TH33" s="212"/>
      <c r="TI33" s="212"/>
      <c r="TJ33" s="212"/>
      <c r="TK33" s="212"/>
      <c r="TL33" s="212"/>
      <c r="TM33" s="212"/>
      <c r="TN33" s="212"/>
      <c r="TO33" s="212"/>
      <c r="TP33" s="212"/>
      <c r="TQ33" s="212"/>
      <c r="TR33" s="212"/>
      <c r="TS33" s="212"/>
      <c r="TT33" s="212"/>
      <c r="TU33" s="212"/>
      <c r="TV33" s="212"/>
      <c r="TW33" s="212"/>
      <c r="TX33" s="212"/>
      <c r="TY33" s="212"/>
      <c r="TZ33" s="212"/>
      <c r="UA33" s="212"/>
      <c r="UB33" s="212"/>
      <c r="UC33" s="212"/>
      <c r="UD33" s="212"/>
      <c r="UE33" s="212"/>
      <c r="UF33" s="212"/>
      <c r="UG33" s="212"/>
      <c r="UH33" s="212"/>
      <c r="UI33" s="212"/>
      <c r="UJ33" s="212"/>
      <c r="UK33" s="212"/>
      <c r="UL33" s="212"/>
      <c r="UM33" s="212"/>
      <c r="UN33" s="212"/>
      <c r="UO33" s="212"/>
      <c r="UP33" s="212"/>
      <c r="UQ33" s="212"/>
      <c r="UR33" s="212"/>
      <c r="US33" s="212"/>
      <c r="UT33" s="194"/>
    </row>
    <row r="34" spans="2:566" ht="15.75" customHeight="1" x14ac:dyDescent="0.3">
      <c r="B34" s="117" t="s">
        <v>62</v>
      </c>
      <c r="C34" s="107" t="s">
        <v>155</v>
      </c>
      <c r="D34" s="102" t="str">
        <f t="shared" si="28"/>
        <v/>
      </c>
      <c r="E34" s="103" t="str">
        <f t="shared" si="29"/>
        <v/>
      </c>
      <c r="F34" s="212"/>
      <c r="G34" s="212"/>
      <c r="H34" s="212"/>
      <c r="I34" s="212"/>
      <c r="J34" s="212"/>
      <c r="K34" s="212"/>
      <c r="L34" s="212"/>
      <c r="M34" s="212"/>
      <c r="N34" s="212"/>
      <c r="O34" s="212"/>
      <c r="P34" s="213"/>
      <c r="Q34" s="213"/>
      <c r="R34" s="212"/>
      <c r="S34" s="212"/>
      <c r="T34" s="212"/>
      <c r="U34" s="212"/>
      <c r="V34" s="212"/>
      <c r="W34" s="213"/>
      <c r="X34" s="213"/>
      <c r="Y34" s="212"/>
      <c r="Z34" s="212"/>
      <c r="AA34" s="212"/>
      <c r="AB34" s="213"/>
      <c r="AC34" s="213"/>
      <c r="AD34" s="213"/>
      <c r="AE34" s="213"/>
      <c r="AF34" s="213"/>
      <c r="AG34" s="213"/>
      <c r="AH34" s="212"/>
      <c r="AI34" s="212"/>
      <c r="AJ34" s="212"/>
      <c r="AK34" s="213"/>
      <c r="AL34" s="213"/>
      <c r="AM34" s="212"/>
      <c r="AN34" s="212"/>
      <c r="AO34" s="212"/>
      <c r="AP34" s="212"/>
      <c r="AQ34" s="212"/>
      <c r="AR34" s="212"/>
      <c r="AS34" s="212"/>
      <c r="AT34" s="212"/>
      <c r="AU34" s="212"/>
      <c r="AV34" s="212"/>
      <c r="AW34" s="212"/>
      <c r="AX34" s="212"/>
      <c r="AY34" s="212"/>
      <c r="AZ34" s="212"/>
      <c r="BA34" s="212"/>
      <c r="BB34" s="212"/>
      <c r="BC34" s="212"/>
      <c r="BD34" s="212"/>
      <c r="BE34" s="212"/>
      <c r="BF34" s="212"/>
      <c r="BG34" s="212"/>
      <c r="BH34" s="212"/>
      <c r="BI34" s="212"/>
      <c r="BJ34" s="212"/>
      <c r="BK34" s="212"/>
      <c r="BL34" s="212"/>
      <c r="BM34" s="212"/>
      <c r="BN34" s="212"/>
      <c r="BO34" s="212"/>
      <c r="BP34" s="212"/>
      <c r="BQ34" s="212"/>
      <c r="BR34" s="212"/>
      <c r="BS34" s="212"/>
      <c r="BT34" s="212"/>
      <c r="BU34" s="212"/>
      <c r="BV34" s="212"/>
      <c r="BW34" s="212"/>
      <c r="BX34" s="212"/>
      <c r="BY34" s="212"/>
      <c r="BZ34" s="212"/>
      <c r="CA34" s="212"/>
      <c r="CB34" s="212"/>
      <c r="CC34" s="212"/>
      <c r="CD34" s="212"/>
      <c r="CE34" s="212"/>
      <c r="CF34" s="212"/>
      <c r="CG34" s="212"/>
      <c r="CH34" s="212"/>
      <c r="CI34" s="212"/>
      <c r="CJ34" s="212"/>
      <c r="CK34" s="212"/>
      <c r="CL34" s="212"/>
      <c r="CM34" s="212"/>
      <c r="CN34" s="212"/>
      <c r="CO34" s="212"/>
      <c r="CP34" s="212"/>
      <c r="CQ34" s="212"/>
      <c r="CR34" s="212"/>
      <c r="CS34" s="212"/>
      <c r="CT34" s="212"/>
      <c r="CU34" s="214"/>
      <c r="CV34" s="212"/>
      <c r="CW34" s="212"/>
      <c r="CX34" s="212"/>
      <c r="CY34" s="212"/>
      <c r="CZ34" s="212"/>
      <c r="DA34" s="212"/>
      <c r="DB34" s="212"/>
      <c r="DC34" s="212"/>
      <c r="DD34" s="212"/>
      <c r="DE34" s="212"/>
      <c r="DF34" s="212"/>
      <c r="DG34" s="212"/>
      <c r="DH34" s="212"/>
      <c r="DI34" s="212"/>
      <c r="DJ34" s="212"/>
      <c r="DK34" s="212"/>
      <c r="DL34" s="212"/>
      <c r="DM34" s="212"/>
      <c r="DN34" s="212"/>
      <c r="DO34" s="212"/>
      <c r="DP34" s="212"/>
      <c r="DQ34" s="212"/>
      <c r="DR34" s="212"/>
      <c r="DS34" s="212"/>
      <c r="DT34" s="212"/>
      <c r="DU34" s="212"/>
      <c r="DV34" s="212"/>
      <c r="DW34" s="212"/>
      <c r="DX34" s="212"/>
      <c r="DY34" s="212"/>
      <c r="DZ34" s="212"/>
      <c r="EA34" s="212"/>
      <c r="EB34" s="214"/>
      <c r="EC34" s="212"/>
      <c r="ED34" s="212"/>
      <c r="EE34" s="212"/>
      <c r="EF34" s="212"/>
      <c r="EG34" s="212"/>
      <c r="EH34" s="212"/>
      <c r="EI34" s="212"/>
      <c r="EJ34" s="212"/>
      <c r="EK34" s="212"/>
      <c r="EL34" s="212"/>
      <c r="EM34" s="212"/>
      <c r="EN34" s="212"/>
      <c r="EO34" s="212"/>
      <c r="EP34" s="212"/>
      <c r="EQ34" s="212"/>
      <c r="ER34" s="212"/>
      <c r="ES34" s="212"/>
      <c r="ET34" s="212"/>
      <c r="EU34" s="212"/>
      <c r="EV34" s="212"/>
      <c r="EW34" s="212"/>
      <c r="EX34" s="212"/>
      <c r="EY34" s="212"/>
      <c r="EZ34" s="212"/>
      <c r="FA34" s="212"/>
      <c r="FB34" s="212"/>
      <c r="FC34" s="212"/>
      <c r="FD34" s="212"/>
      <c r="FE34" s="212"/>
      <c r="FF34" s="212"/>
      <c r="FG34" s="212"/>
      <c r="FH34" s="212"/>
      <c r="FI34" s="212"/>
      <c r="FJ34" s="212"/>
      <c r="FK34" s="212"/>
      <c r="FL34" s="212"/>
      <c r="FM34" s="212"/>
      <c r="FN34" s="212"/>
      <c r="FO34" s="212"/>
      <c r="FP34" s="212"/>
      <c r="FQ34" s="212"/>
      <c r="FR34" s="212"/>
      <c r="FS34" s="212"/>
      <c r="FT34" s="212"/>
      <c r="FU34" s="212"/>
      <c r="FV34" s="212"/>
      <c r="FW34" s="212"/>
      <c r="FX34" s="212"/>
      <c r="FY34" s="212"/>
      <c r="FZ34" s="212"/>
      <c r="GA34" s="212"/>
      <c r="GB34" s="212"/>
      <c r="GC34" s="212"/>
      <c r="GD34" s="212"/>
      <c r="GE34" s="212"/>
      <c r="GF34" s="212"/>
      <c r="GG34" s="212"/>
      <c r="GH34" s="212"/>
      <c r="GI34" s="212"/>
      <c r="GJ34" s="212"/>
      <c r="GK34" s="212"/>
      <c r="GL34" s="212"/>
      <c r="GM34" s="212"/>
      <c r="GN34" s="212"/>
      <c r="GO34" s="212"/>
      <c r="GP34" s="212"/>
      <c r="GQ34" s="212"/>
      <c r="GR34" s="212"/>
      <c r="GS34" s="212"/>
      <c r="GT34" s="212"/>
      <c r="GU34" s="212"/>
      <c r="GV34" s="212"/>
      <c r="GW34" s="212"/>
      <c r="GX34" s="212"/>
      <c r="GY34" s="212"/>
      <c r="GZ34" s="212"/>
      <c r="HA34" s="212"/>
      <c r="HB34" s="212"/>
      <c r="HC34" s="212"/>
      <c r="HD34" s="212"/>
      <c r="HE34" s="212"/>
      <c r="HF34" s="212"/>
      <c r="HG34" s="212"/>
      <c r="HH34" s="212"/>
      <c r="HI34" s="212"/>
      <c r="HJ34" s="212"/>
      <c r="HK34" s="212"/>
      <c r="HL34" s="212"/>
      <c r="HM34" s="212"/>
      <c r="HN34" s="212"/>
      <c r="HO34" s="212"/>
      <c r="HP34" s="212"/>
      <c r="HQ34" s="212"/>
      <c r="HR34" s="212"/>
      <c r="HS34" s="212"/>
      <c r="HT34" s="212"/>
      <c r="HU34" s="212"/>
      <c r="HV34" s="212"/>
      <c r="HW34" s="212"/>
      <c r="HX34" s="212"/>
      <c r="HY34" s="212"/>
      <c r="HZ34" s="212"/>
      <c r="IA34" s="212"/>
      <c r="IB34" s="212"/>
      <c r="IC34" s="212"/>
      <c r="ID34" s="212"/>
      <c r="IE34" s="212"/>
      <c r="IF34" s="212"/>
      <c r="IG34" s="212"/>
      <c r="IH34" s="212"/>
      <c r="II34" s="212"/>
      <c r="IJ34" s="212"/>
      <c r="IK34" s="212"/>
      <c r="IL34" s="212"/>
      <c r="IM34" s="212"/>
      <c r="IN34" s="212"/>
      <c r="IO34" s="212"/>
      <c r="IP34" s="212"/>
      <c r="IQ34" s="212"/>
      <c r="IR34" s="212"/>
      <c r="IS34" s="212"/>
      <c r="IT34" s="212"/>
      <c r="IU34" s="212"/>
      <c r="IV34" s="212"/>
      <c r="IW34" s="212"/>
      <c r="IX34" s="212"/>
      <c r="IY34" s="212"/>
      <c r="IZ34" s="212"/>
      <c r="JA34" s="212"/>
      <c r="JB34" s="212"/>
      <c r="JC34" s="212"/>
      <c r="JD34" s="212"/>
      <c r="JE34" s="212"/>
      <c r="JF34" s="212"/>
      <c r="JG34" s="212"/>
      <c r="JH34" s="212"/>
      <c r="JI34" s="212"/>
      <c r="JJ34" s="212"/>
      <c r="JK34" s="212"/>
      <c r="JL34" s="212"/>
      <c r="JM34" s="212"/>
      <c r="JN34" s="212"/>
      <c r="JO34" s="212"/>
      <c r="JP34" s="212"/>
      <c r="JQ34" s="212"/>
      <c r="JR34" s="212"/>
      <c r="JS34" s="212"/>
      <c r="JT34" s="212"/>
      <c r="JU34" s="212"/>
      <c r="JV34" s="212"/>
      <c r="JW34" s="212"/>
      <c r="JX34" s="212"/>
      <c r="JY34" s="212"/>
      <c r="JZ34" s="212"/>
      <c r="KA34" s="212"/>
      <c r="KB34" s="212"/>
      <c r="KC34" s="212"/>
      <c r="KD34" s="212"/>
      <c r="KE34" s="212"/>
      <c r="KF34" s="212"/>
      <c r="KG34" s="212"/>
      <c r="KH34" s="212"/>
      <c r="KI34" s="212"/>
      <c r="KJ34" s="212"/>
      <c r="KK34" s="212"/>
      <c r="KL34" s="212"/>
      <c r="KM34" s="212"/>
      <c r="KN34" s="212"/>
      <c r="KO34" s="212"/>
      <c r="KP34" s="212"/>
      <c r="KQ34" s="212"/>
      <c r="KR34" s="212"/>
      <c r="KS34" s="212"/>
      <c r="KT34" s="212"/>
      <c r="KU34" s="212"/>
      <c r="KV34" s="212"/>
      <c r="KW34" s="212"/>
      <c r="KX34" s="212"/>
      <c r="KY34" s="212"/>
      <c r="KZ34" s="212"/>
      <c r="LA34" s="212"/>
      <c r="LB34" s="212"/>
      <c r="LC34" s="212"/>
      <c r="LD34" s="212"/>
      <c r="LE34" s="212"/>
      <c r="LF34" s="212"/>
      <c r="LG34" s="212"/>
      <c r="LH34" s="212"/>
      <c r="LI34" s="212"/>
      <c r="LJ34" s="212"/>
      <c r="LK34" s="212"/>
      <c r="LL34" s="212"/>
      <c r="LM34" s="212"/>
      <c r="LN34" s="212"/>
      <c r="LO34" s="212"/>
      <c r="LP34" s="212"/>
      <c r="LQ34" s="212"/>
      <c r="LR34" s="212"/>
      <c r="LS34" s="212"/>
      <c r="LT34" s="212"/>
      <c r="LU34" s="212"/>
      <c r="LV34" s="212"/>
      <c r="LW34" s="212"/>
      <c r="LX34" s="212"/>
      <c r="LY34" s="212"/>
      <c r="LZ34" s="212"/>
      <c r="MA34" s="212"/>
      <c r="MB34" s="212"/>
      <c r="MC34" s="212"/>
      <c r="MD34" s="212"/>
      <c r="ME34" s="212"/>
      <c r="MF34" s="212"/>
      <c r="MG34" s="212"/>
      <c r="MH34" s="212"/>
      <c r="MI34" s="212"/>
      <c r="MJ34" s="212"/>
      <c r="MK34" s="212"/>
      <c r="ML34" s="212"/>
      <c r="MM34" s="212"/>
      <c r="MN34" s="212"/>
      <c r="MO34" s="212"/>
      <c r="MP34" s="212"/>
      <c r="MQ34" s="212"/>
      <c r="MR34" s="212"/>
      <c r="MS34" s="212"/>
      <c r="MT34" s="212"/>
      <c r="MU34" s="212"/>
      <c r="MV34" s="212"/>
      <c r="MW34" s="212"/>
      <c r="MX34" s="212"/>
      <c r="MY34" s="212"/>
      <c r="MZ34" s="212"/>
      <c r="NA34" s="212"/>
      <c r="NB34" s="212"/>
      <c r="NC34" s="212"/>
      <c r="ND34" s="212"/>
      <c r="NE34" s="212"/>
      <c r="NF34" s="212"/>
      <c r="NG34" s="212"/>
      <c r="NH34" s="212"/>
      <c r="NI34" s="212"/>
      <c r="NJ34" s="212"/>
      <c r="NK34" s="212"/>
      <c r="NL34" s="212"/>
      <c r="NM34" s="212"/>
      <c r="NN34" s="212"/>
      <c r="NO34" s="212"/>
      <c r="NP34" s="212"/>
      <c r="NQ34" s="212"/>
      <c r="NR34" s="212"/>
      <c r="NS34" s="212"/>
      <c r="NT34" s="212"/>
      <c r="NU34" s="212"/>
      <c r="NV34" s="212"/>
      <c r="NW34" s="212"/>
      <c r="NX34" s="212"/>
      <c r="NY34" s="212"/>
      <c r="NZ34" s="212"/>
      <c r="OA34" s="212"/>
      <c r="OB34" s="212"/>
      <c r="OC34" s="212"/>
      <c r="OD34" s="212"/>
      <c r="OE34" s="212"/>
      <c r="OF34" s="212"/>
      <c r="OG34" s="212"/>
      <c r="OH34" s="212"/>
      <c r="OI34" s="212"/>
      <c r="OJ34" s="212"/>
      <c r="OK34" s="212"/>
      <c r="OL34" s="212"/>
      <c r="OM34" s="212"/>
      <c r="ON34" s="212"/>
      <c r="OO34" s="212"/>
      <c r="OP34" s="212"/>
      <c r="OQ34" s="212"/>
      <c r="OR34" s="212"/>
      <c r="OS34" s="212"/>
      <c r="OT34" s="212"/>
      <c r="OU34" s="212"/>
      <c r="OV34" s="212"/>
      <c r="OW34" s="212"/>
      <c r="OX34" s="212"/>
      <c r="OY34" s="212"/>
      <c r="OZ34" s="212"/>
      <c r="PA34" s="212"/>
      <c r="PB34" s="212"/>
      <c r="PC34" s="212"/>
      <c r="PD34" s="212"/>
      <c r="PE34" s="212"/>
      <c r="PF34" s="212"/>
      <c r="PG34" s="212"/>
      <c r="PH34" s="212"/>
      <c r="PI34" s="212"/>
      <c r="PJ34" s="212"/>
      <c r="PK34" s="212"/>
      <c r="PL34" s="212"/>
      <c r="PM34" s="212"/>
      <c r="PN34" s="212"/>
      <c r="PO34" s="212"/>
      <c r="PP34" s="212"/>
      <c r="PQ34" s="212"/>
      <c r="PR34" s="212"/>
      <c r="PS34" s="212"/>
      <c r="PT34" s="212"/>
      <c r="PU34" s="212"/>
      <c r="PV34" s="212"/>
      <c r="PW34" s="212"/>
      <c r="PX34" s="212"/>
      <c r="PY34" s="212"/>
      <c r="PZ34" s="212"/>
      <c r="QA34" s="212"/>
      <c r="QB34" s="212"/>
      <c r="QC34" s="212"/>
      <c r="QD34" s="212"/>
      <c r="QE34" s="212"/>
      <c r="QF34" s="212"/>
      <c r="QG34" s="212"/>
      <c r="QH34" s="212"/>
      <c r="QI34" s="212"/>
      <c r="QJ34" s="212"/>
      <c r="QK34" s="212"/>
      <c r="QL34" s="212"/>
      <c r="QM34" s="212"/>
      <c r="QN34" s="212"/>
      <c r="QO34" s="212"/>
      <c r="QP34" s="212"/>
      <c r="QQ34" s="212"/>
      <c r="QR34" s="212"/>
      <c r="QS34" s="212"/>
      <c r="QT34" s="212"/>
      <c r="QU34" s="212"/>
      <c r="QV34" s="212"/>
      <c r="QW34" s="212"/>
      <c r="QX34" s="212"/>
      <c r="QY34" s="212"/>
      <c r="QZ34" s="212"/>
      <c r="RA34" s="212"/>
      <c r="RB34" s="212"/>
      <c r="RC34" s="212"/>
      <c r="RD34" s="212"/>
      <c r="RE34" s="212"/>
      <c r="RF34" s="212"/>
      <c r="RG34" s="212"/>
      <c r="RH34" s="212"/>
      <c r="RI34" s="212"/>
      <c r="RJ34" s="212"/>
      <c r="RK34" s="212"/>
      <c r="RL34" s="212"/>
      <c r="RM34" s="212"/>
      <c r="RN34" s="212"/>
      <c r="RO34" s="212"/>
      <c r="RP34" s="212"/>
      <c r="RQ34" s="212"/>
      <c r="RR34" s="212"/>
      <c r="RS34" s="212"/>
      <c r="RT34" s="212"/>
      <c r="RU34" s="212"/>
      <c r="RV34" s="212"/>
      <c r="RW34" s="212"/>
      <c r="RX34" s="212"/>
      <c r="RY34" s="212"/>
      <c r="RZ34" s="212"/>
      <c r="SA34" s="212"/>
      <c r="SB34" s="212"/>
      <c r="SC34" s="212"/>
      <c r="SD34" s="212"/>
      <c r="SE34" s="212"/>
      <c r="SF34" s="212"/>
      <c r="SG34" s="212"/>
      <c r="SH34" s="212"/>
      <c r="SI34" s="212"/>
      <c r="SJ34" s="212"/>
      <c r="SK34" s="212"/>
      <c r="SL34" s="212"/>
      <c r="SM34" s="212"/>
      <c r="SN34" s="212"/>
      <c r="SO34" s="212"/>
      <c r="SP34" s="212"/>
      <c r="SQ34" s="212"/>
      <c r="SR34" s="212"/>
      <c r="SS34" s="212"/>
      <c r="ST34" s="212"/>
      <c r="SU34" s="212"/>
      <c r="SV34" s="212"/>
      <c r="SW34" s="212"/>
      <c r="SX34" s="212"/>
      <c r="SY34" s="212"/>
      <c r="SZ34" s="212"/>
      <c r="TA34" s="212"/>
      <c r="TB34" s="212"/>
      <c r="TC34" s="212"/>
      <c r="TD34" s="212"/>
      <c r="TE34" s="212"/>
      <c r="TF34" s="212"/>
      <c r="TG34" s="212"/>
      <c r="TH34" s="212"/>
      <c r="TI34" s="212"/>
      <c r="TJ34" s="212"/>
      <c r="TK34" s="212"/>
      <c r="TL34" s="212"/>
      <c r="TM34" s="212"/>
      <c r="TN34" s="212"/>
      <c r="TO34" s="212"/>
      <c r="TP34" s="212"/>
      <c r="TQ34" s="212"/>
      <c r="TR34" s="212"/>
      <c r="TS34" s="212"/>
      <c r="TT34" s="212"/>
      <c r="TU34" s="212"/>
      <c r="TV34" s="212"/>
      <c r="TW34" s="212"/>
      <c r="TX34" s="212"/>
      <c r="TY34" s="212"/>
      <c r="TZ34" s="212"/>
      <c r="UA34" s="212"/>
      <c r="UB34" s="212"/>
      <c r="UC34" s="212"/>
      <c r="UD34" s="212"/>
      <c r="UE34" s="212"/>
      <c r="UF34" s="212"/>
      <c r="UG34" s="212"/>
      <c r="UH34" s="212"/>
      <c r="UI34" s="212"/>
      <c r="UJ34" s="212"/>
      <c r="UK34" s="212"/>
      <c r="UL34" s="212"/>
      <c r="UM34" s="212"/>
      <c r="UN34" s="212"/>
      <c r="UO34" s="212"/>
      <c r="UP34" s="212"/>
      <c r="UQ34" s="212"/>
      <c r="UR34" s="212"/>
      <c r="US34" s="212"/>
      <c r="UT34" s="194"/>
    </row>
    <row r="35" spans="2:566" ht="15.75" customHeight="1" x14ac:dyDescent="0.3">
      <c r="B35" s="117" t="s">
        <v>61</v>
      </c>
      <c r="C35" s="107" t="s">
        <v>177</v>
      </c>
      <c r="D35" s="102" t="str">
        <f t="shared" si="28"/>
        <v/>
      </c>
      <c r="E35" s="103" t="str">
        <f t="shared" si="29"/>
        <v/>
      </c>
      <c r="F35" s="212"/>
      <c r="G35" s="212"/>
      <c r="H35" s="212"/>
      <c r="I35" s="212"/>
      <c r="J35" s="212"/>
      <c r="K35" s="212"/>
      <c r="L35" s="212"/>
      <c r="M35" s="212"/>
      <c r="N35" s="212"/>
      <c r="O35" s="212"/>
      <c r="P35" s="213"/>
      <c r="Q35" s="213"/>
      <c r="R35" s="212"/>
      <c r="S35" s="212"/>
      <c r="T35" s="212"/>
      <c r="U35" s="212"/>
      <c r="V35" s="212"/>
      <c r="W35" s="213"/>
      <c r="X35" s="213"/>
      <c r="Y35" s="212"/>
      <c r="Z35" s="212"/>
      <c r="AA35" s="212"/>
      <c r="AB35" s="213"/>
      <c r="AC35" s="213"/>
      <c r="AD35" s="213"/>
      <c r="AE35" s="213"/>
      <c r="AF35" s="213"/>
      <c r="AG35" s="213"/>
      <c r="AH35" s="212"/>
      <c r="AI35" s="212"/>
      <c r="AJ35" s="212"/>
      <c r="AK35" s="213"/>
      <c r="AL35" s="213"/>
      <c r="AM35" s="212"/>
      <c r="AN35" s="212"/>
      <c r="AO35" s="212"/>
      <c r="AP35" s="212"/>
      <c r="AQ35" s="212"/>
      <c r="AR35" s="212"/>
      <c r="AS35" s="212"/>
      <c r="AT35" s="212"/>
      <c r="AU35" s="212"/>
      <c r="AV35" s="212"/>
      <c r="AW35" s="212"/>
      <c r="AX35" s="212"/>
      <c r="AY35" s="212"/>
      <c r="AZ35" s="212"/>
      <c r="BA35" s="212"/>
      <c r="BB35" s="212"/>
      <c r="BC35" s="212"/>
      <c r="BD35" s="212"/>
      <c r="BE35" s="212"/>
      <c r="BF35" s="212"/>
      <c r="BG35" s="212"/>
      <c r="BH35" s="212"/>
      <c r="BI35" s="212"/>
      <c r="BJ35" s="212"/>
      <c r="BK35" s="212"/>
      <c r="BL35" s="212"/>
      <c r="BM35" s="212"/>
      <c r="BN35" s="212"/>
      <c r="BO35" s="212"/>
      <c r="BP35" s="212"/>
      <c r="BQ35" s="212"/>
      <c r="BR35" s="212"/>
      <c r="BS35" s="212"/>
      <c r="BT35" s="212"/>
      <c r="BU35" s="212"/>
      <c r="BV35" s="212"/>
      <c r="BW35" s="212"/>
      <c r="BX35" s="212"/>
      <c r="BY35" s="212"/>
      <c r="BZ35" s="212"/>
      <c r="CA35" s="212"/>
      <c r="CB35" s="212"/>
      <c r="CC35" s="212"/>
      <c r="CD35" s="212"/>
      <c r="CE35" s="212"/>
      <c r="CF35" s="212"/>
      <c r="CG35" s="212"/>
      <c r="CH35" s="212"/>
      <c r="CI35" s="212"/>
      <c r="CJ35" s="212"/>
      <c r="CK35" s="212"/>
      <c r="CL35" s="212"/>
      <c r="CM35" s="212"/>
      <c r="CN35" s="212"/>
      <c r="CO35" s="212"/>
      <c r="CP35" s="212"/>
      <c r="CQ35" s="212"/>
      <c r="CR35" s="212"/>
      <c r="CS35" s="212"/>
      <c r="CT35" s="212"/>
      <c r="CU35" s="214"/>
      <c r="CV35" s="212"/>
      <c r="CW35" s="212"/>
      <c r="CX35" s="212"/>
      <c r="CY35" s="212"/>
      <c r="CZ35" s="212"/>
      <c r="DA35" s="212"/>
      <c r="DB35" s="212"/>
      <c r="DC35" s="212"/>
      <c r="DD35" s="212"/>
      <c r="DE35" s="212"/>
      <c r="DF35" s="212"/>
      <c r="DG35" s="212"/>
      <c r="DH35" s="212"/>
      <c r="DI35" s="212"/>
      <c r="DJ35" s="212"/>
      <c r="DK35" s="212"/>
      <c r="DL35" s="212"/>
      <c r="DM35" s="212"/>
      <c r="DN35" s="212"/>
      <c r="DO35" s="212"/>
      <c r="DP35" s="212"/>
      <c r="DQ35" s="212"/>
      <c r="DR35" s="212"/>
      <c r="DS35" s="212"/>
      <c r="DT35" s="212"/>
      <c r="DU35" s="212"/>
      <c r="DV35" s="212"/>
      <c r="DW35" s="212"/>
      <c r="DX35" s="212"/>
      <c r="DY35" s="212"/>
      <c r="DZ35" s="212"/>
      <c r="EA35" s="212"/>
      <c r="EB35" s="214"/>
      <c r="EC35" s="212"/>
      <c r="ED35" s="212"/>
      <c r="EE35" s="212"/>
      <c r="EF35" s="212"/>
      <c r="EG35" s="212"/>
      <c r="EH35" s="212"/>
      <c r="EI35" s="212"/>
      <c r="EJ35" s="212"/>
      <c r="EK35" s="212"/>
      <c r="EL35" s="212"/>
      <c r="EM35" s="212"/>
      <c r="EN35" s="212"/>
      <c r="EO35" s="212"/>
      <c r="EP35" s="212"/>
      <c r="EQ35" s="212"/>
      <c r="ER35" s="212"/>
      <c r="ES35" s="212"/>
      <c r="ET35" s="212"/>
      <c r="EU35" s="212"/>
      <c r="EV35" s="212"/>
      <c r="EW35" s="212"/>
      <c r="EX35" s="212"/>
      <c r="EY35" s="212"/>
      <c r="EZ35" s="212"/>
      <c r="FA35" s="212"/>
      <c r="FB35" s="212"/>
      <c r="FC35" s="212"/>
      <c r="FD35" s="212"/>
      <c r="FE35" s="212"/>
      <c r="FF35" s="212"/>
      <c r="FG35" s="212"/>
      <c r="FH35" s="212"/>
      <c r="FI35" s="212"/>
      <c r="FJ35" s="212"/>
      <c r="FK35" s="212"/>
      <c r="FL35" s="212"/>
      <c r="FM35" s="212"/>
      <c r="FN35" s="212"/>
      <c r="FO35" s="212"/>
      <c r="FP35" s="212"/>
      <c r="FQ35" s="212"/>
      <c r="FR35" s="212"/>
      <c r="FS35" s="212"/>
      <c r="FT35" s="212"/>
      <c r="FU35" s="212"/>
      <c r="FV35" s="212"/>
      <c r="FW35" s="212"/>
      <c r="FX35" s="212"/>
      <c r="FY35" s="212"/>
      <c r="FZ35" s="212"/>
      <c r="GA35" s="212"/>
      <c r="GB35" s="212"/>
      <c r="GC35" s="212"/>
      <c r="GD35" s="212"/>
      <c r="GE35" s="212"/>
      <c r="GF35" s="212"/>
      <c r="GG35" s="212"/>
      <c r="GH35" s="212"/>
      <c r="GI35" s="212"/>
      <c r="GJ35" s="212"/>
      <c r="GK35" s="212"/>
      <c r="GL35" s="212"/>
      <c r="GM35" s="212"/>
      <c r="GN35" s="212"/>
      <c r="GO35" s="212"/>
      <c r="GP35" s="212"/>
      <c r="GQ35" s="212"/>
      <c r="GR35" s="212"/>
      <c r="GS35" s="212"/>
      <c r="GT35" s="212"/>
      <c r="GU35" s="212"/>
      <c r="GV35" s="212"/>
      <c r="GW35" s="212"/>
      <c r="GX35" s="212"/>
      <c r="GY35" s="212"/>
      <c r="GZ35" s="212"/>
      <c r="HA35" s="212"/>
      <c r="HB35" s="212"/>
      <c r="HC35" s="212"/>
      <c r="HD35" s="212"/>
      <c r="HE35" s="212"/>
      <c r="HF35" s="212"/>
      <c r="HG35" s="212"/>
      <c r="HH35" s="212"/>
      <c r="HI35" s="212"/>
      <c r="HJ35" s="212"/>
      <c r="HK35" s="212"/>
      <c r="HL35" s="212"/>
      <c r="HM35" s="212"/>
      <c r="HN35" s="212"/>
      <c r="HO35" s="212"/>
      <c r="HP35" s="212"/>
      <c r="HQ35" s="212"/>
      <c r="HR35" s="212"/>
      <c r="HS35" s="212"/>
      <c r="HT35" s="212"/>
      <c r="HU35" s="212"/>
      <c r="HV35" s="212"/>
      <c r="HW35" s="212"/>
      <c r="HX35" s="212"/>
      <c r="HY35" s="212"/>
      <c r="HZ35" s="212"/>
      <c r="IA35" s="212"/>
      <c r="IB35" s="212"/>
      <c r="IC35" s="212"/>
      <c r="ID35" s="212"/>
      <c r="IE35" s="212"/>
      <c r="IF35" s="212"/>
      <c r="IG35" s="212"/>
      <c r="IH35" s="212"/>
      <c r="II35" s="212"/>
      <c r="IJ35" s="212"/>
      <c r="IK35" s="212"/>
      <c r="IL35" s="212"/>
      <c r="IM35" s="212"/>
      <c r="IN35" s="212"/>
      <c r="IO35" s="212"/>
      <c r="IP35" s="212"/>
      <c r="IQ35" s="212"/>
      <c r="IR35" s="212"/>
      <c r="IS35" s="212"/>
      <c r="IT35" s="212"/>
      <c r="IU35" s="212"/>
      <c r="IV35" s="212"/>
      <c r="IW35" s="212"/>
      <c r="IX35" s="212"/>
      <c r="IY35" s="212"/>
      <c r="IZ35" s="212"/>
      <c r="JA35" s="212"/>
      <c r="JB35" s="212"/>
      <c r="JC35" s="212"/>
      <c r="JD35" s="212"/>
      <c r="JE35" s="212"/>
      <c r="JF35" s="212"/>
      <c r="JG35" s="212"/>
      <c r="JH35" s="212"/>
      <c r="JI35" s="212"/>
      <c r="JJ35" s="212"/>
      <c r="JK35" s="212"/>
      <c r="JL35" s="212"/>
      <c r="JM35" s="212"/>
      <c r="JN35" s="212"/>
      <c r="JO35" s="212"/>
      <c r="JP35" s="212"/>
      <c r="JQ35" s="212"/>
      <c r="JR35" s="212"/>
      <c r="JS35" s="212"/>
      <c r="JT35" s="212"/>
      <c r="JU35" s="212"/>
      <c r="JV35" s="212"/>
      <c r="JW35" s="212"/>
      <c r="JX35" s="212"/>
      <c r="JY35" s="212"/>
      <c r="JZ35" s="212"/>
      <c r="KA35" s="212"/>
      <c r="KB35" s="212"/>
      <c r="KC35" s="212"/>
      <c r="KD35" s="212"/>
      <c r="KE35" s="212"/>
      <c r="KF35" s="212"/>
      <c r="KG35" s="212"/>
      <c r="KH35" s="212"/>
      <c r="KI35" s="212"/>
      <c r="KJ35" s="212"/>
      <c r="KK35" s="212"/>
      <c r="KL35" s="212"/>
      <c r="KM35" s="212"/>
      <c r="KN35" s="212"/>
      <c r="KO35" s="212"/>
      <c r="KP35" s="212"/>
      <c r="KQ35" s="212"/>
      <c r="KR35" s="212"/>
      <c r="KS35" s="212"/>
      <c r="KT35" s="212"/>
      <c r="KU35" s="212"/>
      <c r="KV35" s="212"/>
      <c r="KW35" s="212"/>
      <c r="KX35" s="212"/>
      <c r="KY35" s="212"/>
      <c r="KZ35" s="212"/>
      <c r="LA35" s="212"/>
      <c r="LB35" s="212"/>
      <c r="LC35" s="212"/>
      <c r="LD35" s="212"/>
      <c r="LE35" s="212"/>
      <c r="LF35" s="212"/>
      <c r="LG35" s="212"/>
      <c r="LH35" s="212"/>
      <c r="LI35" s="212"/>
      <c r="LJ35" s="212"/>
      <c r="LK35" s="212"/>
      <c r="LL35" s="212"/>
      <c r="LM35" s="212"/>
      <c r="LN35" s="212"/>
      <c r="LO35" s="212"/>
      <c r="LP35" s="212"/>
      <c r="LQ35" s="212"/>
      <c r="LR35" s="212"/>
      <c r="LS35" s="212"/>
      <c r="LT35" s="212"/>
      <c r="LU35" s="212"/>
      <c r="LV35" s="212"/>
      <c r="LW35" s="212"/>
      <c r="LX35" s="212"/>
      <c r="LY35" s="212"/>
      <c r="LZ35" s="212"/>
      <c r="MA35" s="212"/>
      <c r="MB35" s="212"/>
      <c r="MC35" s="212"/>
      <c r="MD35" s="212"/>
      <c r="ME35" s="212"/>
      <c r="MF35" s="212"/>
      <c r="MG35" s="212"/>
      <c r="MH35" s="212"/>
      <c r="MI35" s="212"/>
      <c r="MJ35" s="212"/>
      <c r="MK35" s="212"/>
      <c r="ML35" s="212"/>
      <c r="MM35" s="212"/>
      <c r="MN35" s="212"/>
      <c r="MO35" s="212"/>
      <c r="MP35" s="212"/>
      <c r="MQ35" s="212"/>
      <c r="MR35" s="212"/>
      <c r="MS35" s="212"/>
      <c r="MT35" s="212"/>
      <c r="MU35" s="212"/>
      <c r="MV35" s="212"/>
      <c r="MW35" s="212"/>
      <c r="MX35" s="212"/>
      <c r="MY35" s="212"/>
      <c r="MZ35" s="212"/>
      <c r="NA35" s="212"/>
      <c r="NB35" s="212"/>
      <c r="NC35" s="212"/>
      <c r="ND35" s="212"/>
      <c r="NE35" s="212"/>
      <c r="NF35" s="212"/>
      <c r="NG35" s="212"/>
      <c r="NH35" s="212"/>
      <c r="NI35" s="212"/>
      <c r="NJ35" s="212"/>
      <c r="NK35" s="212"/>
      <c r="NL35" s="212"/>
      <c r="NM35" s="212"/>
      <c r="NN35" s="212"/>
      <c r="NO35" s="212"/>
      <c r="NP35" s="212"/>
      <c r="NQ35" s="212"/>
      <c r="NR35" s="212"/>
      <c r="NS35" s="212"/>
      <c r="NT35" s="212"/>
      <c r="NU35" s="212"/>
      <c r="NV35" s="212"/>
      <c r="NW35" s="212"/>
      <c r="NX35" s="212"/>
      <c r="NY35" s="212"/>
      <c r="NZ35" s="212"/>
      <c r="OA35" s="212"/>
      <c r="OB35" s="212"/>
      <c r="OC35" s="212"/>
      <c r="OD35" s="212"/>
      <c r="OE35" s="212"/>
      <c r="OF35" s="212"/>
      <c r="OG35" s="212"/>
      <c r="OH35" s="212"/>
      <c r="OI35" s="212"/>
      <c r="OJ35" s="212"/>
      <c r="OK35" s="212"/>
      <c r="OL35" s="212"/>
      <c r="OM35" s="212"/>
      <c r="ON35" s="212"/>
      <c r="OO35" s="212"/>
      <c r="OP35" s="212"/>
      <c r="OQ35" s="212"/>
      <c r="OR35" s="212"/>
      <c r="OS35" s="212"/>
      <c r="OT35" s="212"/>
      <c r="OU35" s="212"/>
      <c r="OV35" s="212"/>
      <c r="OW35" s="212"/>
      <c r="OX35" s="212"/>
      <c r="OY35" s="212"/>
      <c r="OZ35" s="212"/>
      <c r="PA35" s="212"/>
      <c r="PB35" s="212"/>
      <c r="PC35" s="212"/>
      <c r="PD35" s="212"/>
      <c r="PE35" s="212"/>
      <c r="PF35" s="212"/>
      <c r="PG35" s="212"/>
      <c r="PH35" s="212"/>
      <c r="PI35" s="212"/>
      <c r="PJ35" s="212"/>
      <c r="PK35" s="212"/>
      <c r="PL35" s="212"/>
      <c r="PM35" s="212"/>
      <c r="PN35" s="212"/>
      <c r="PO35" s="212"/>
      <c r="PP35" s="212"/>
      <c r="PQ35" s="212"/>
      <c r="PR35" s="212"/>
      <c r="PS35" s="212"/>
      <c r="PT35" s="212"/>
      <c r="PU35" s="212"/>
      <c r="PV35" s="212"/>
      <c r="PW35" s="212"/>
      <c r="PX35" s="212"/>
      <c r="PY35" s="212"/>
      <c r="PZ35" s="212"/>
      <c r="QA35" s="212"/>
      <c r="QB35" s="212"/>
      <c r="QC35" s="212"/>
      <c r="QD35" s="212"/>
      <c r="QE35" s="212"/>
      <c r="QF35" s="212"/>
      <c r="QG35" s="212"/>
      <c r="QH35" s="212"/>
      <c r="QI35" s="212"/>
      <c r="QJ35" s="212"/>
      <c r="QK35" s="212"/>
      <c r="QL35" s="212"/>
      <c r="QM35" s="212"/>
      <c r="QN35" s="212"/>
      <c r="QO35" s="212"/>
      <c r="QP35" s="212"/>
      <c r="QQ35" s="212"/>
      <c r="QR35" s="212"/>
      <c r="QS35" s="212"/>
      <c r="QT35" s="212"/>
      <c r="QU35" s="212"/>
      <c r="QV35" s="212"/>
      <c r="QW35" s="212"/>
      <c r="QX35" s="212"/>
      <c r="QY35" s="212"/>
      <c r="QZ35" s="212"/>
      <c r="RA35" s="212"/>
      <c r="RB35" s="212"/>
      <c r="RC35" s="212"/>
      <c r="RD35" s="212"/>
      <c r="RE35" s="212"/>
      <c r="RF35" s="212"/>
      <c r="RG35" s="212"/>
      <c r="RH35" s="212"/>
      <c r="RI35" s="212"/>
      <c r="RJ35" s="212"/>
      <c r="RK35" s="212"/>
      <c r="RL35" s="212"/>
      <c r="RM35" s="212"/>
      <c r="RN35" s="212"/>
      <c r="RO35" s="212"/>
      <c r="RP35" s="212"/>
      <c r="RQ35" s="212"/>
      <c r="RR35" s="212"/>
      <c r="RS35" s="212"/>
      <c r="RT35" s="212"/>
      <c r="RU35" s="212"/>
      <c r="RV35" s="212"/>
      <c r="RW35" s="212"/>
      <c r="RX35" s="212"/>
      <c r="RY35" s="212"/>
      <c r="RZ35" s="212"/>
      <c r="SA35" s="212"/>
      <c r="SB35" s="212"/>
      <c r="SC35" s="212"/>
      <c r="SD35" s="212"/>
      <c r="SE35" s="212"/>
      <c r="SF35" s="212"/>
      <c r="SG35" s="212"/>
      <c r="SH35" s="212"/>
      <c r="SI35" s="212"/>
      <c r="SJ35" s="212"/>
      <c r="SK35" s="212"/>
      <c r="SL35" s="212"/>
      <c r="SM35" s="212"/>
      <c r="SN35" s="212"/>
      <c r="SO35" s="212"/>
      <c r="SP35" s="212"/>
      <c r="SQ35" s="212"/>
      <c r="SR35" s="212"/>
      <c r="SS35" s="212"/>
      <c r="ST35" s="212"/>
      <c r="SU35" s="212"/>
      <c r="SV35" s="212"/>
      <c r="SW35" s="212"/>
      <c r="SX35" s="212"/>
      <c r="SY35" s="212"/>
      <c r="SZ35" s="212"/>
      <c r="TA35" s="212"/>
      <c r="TB35" s="212"/>
      <c r="TC35" s="212"/>
      <c r="TD35" s="212"/>
      <c r="TE35" s="212"/>
      <c r="TF35" s="212"/>
      <c r="TG35" s="212"/>
      <c r="TH35" s="212"/>
      <c r="TI35" s="212"/>
      <c r="TJ35" s="212"/>
      <c r="TK35" s="212"/>
      <c r="TL35" s="212"/>
      <c r="TM35" s="212"/>
      <c r="TN35" s="212"/>
      <c r="TO35" s="212"/>
      <c r="TP35" s="212"/>
      <c r="TQ35" s="212"/>
      <c r="TR35" s="212"/>
      <c r="TS35" s="212"/>
      <c r="TT35" s="212"/>
      <c r="TU35" s="212"/>
      <c r="TV35" s="212"/>
      <c r="TW35" s="212"/>
      <c r="TX35" s="212"/>
      <c r="TY35" s="212"/>
      <c r="TZ35" s="212"/>
      <c r="UA35" s="212"/>
      <c r="UB35" s="212"/>
      <c r="UC35" s="212"/>
      <c r="UD35" s="212"/>
      <c r="UE35" s="212"/>
      <c r="UF35" s="212"/>
      <c r="UG35" s="212"/>
      <c r="UH35" s="212"/>
      <c r="UI35" s="212"/>
      <c r="UJ35" s="212"/>
      <c r="UK35" s="212"/>
      <c r="UL35" s="212"/>
      <c r="UM35" s="212"/>
      <c r="UN35" s="212"/>
      <c r="UO35" s="212"/>
      <c r="UP35" s="212"/>
      <c r="UQ35" s="212"/>
      <c r="UR35" s="212"/>
      <c r="US35" s="212"/>
      <c r="UT35" s="194"/>
    </row>
    <row r="36" spans="2:566" ht="15.75" customHeight="1" x14ac:dyDescent="0.3">
      <c r="B36" s="117" t="s">
        <v>60</v>
      </c>
      <c r="C36" s="107" t="s">
        <v>178</v>
      </c>
      <c r="D36" s="102" t="str">
        <f t="shared" si="28"/>
        <v/>
      </c>
      <c r="E36" s="103" t="str">
        <f t="shared" si="29"/>
        <v/>
      </c>
      <c r="F36" s="212"/>
      <c r="G36" s="212"/>
      <c r="H36" s="212"/>
      <c r="I36" s="212"/>
      <c r="J36" s="212"/>
      <c r="K36" s="212"/>
      <c r="L36" s="212"/>
      <c r="M36" s="212"/>
      <c r="N36" s="212"/>
      <c r="O36" s="212"/>
      <c r="P36" s="213"/>
      <c r="Q36" s="213"/>
      <c r="R36" s="212"/>
      <c r="S36" s="212"/>
      <c r="T36" s="212"/>
      <c r="U36" s="212"/>
      <c r="V36" s="212"/>
      <c r="W36" s="213"/>
      <c r="X36" s="213"/>
      <c r="Y36" s="212"/>
      <c r="Z36" s="212"/>
      <c r="AA36" s="212"/>
      <c r="AB36" s="213"/>
      <c r="AC36" s="213"/>
      <c r="AD36" s="213"/>
      <c r="AE36" s="213"/>
      <c r="AF36" s="213"/>
      <c r="AG36" s="213"/>
      <c r="AH36" s="212"/>
      <c r="AI36" s="212"/>
      <c r="AJ36" s="212"/>
      <c r="AK36" s="213"/>
      <c r="AL36" s="213"/>
      <c r="AM36" s="212"/>
      <c r="AN36" s="212"/>
      <c r="AO36" s="212"/>
      <c r="AP36" s="212"/>
      <c r="AQ36" s="212"/>
      <c r="AR36" s="212"/>
      <c r="AS36" s="212"/>
      <c r="AT36" s="212"/>
      <c r="AU36" s="212"/>
      <c r="AV36" s="212"/>
      <c r="AW36" s="212"/>
      <c r="AX36" s="212"/>
      <c r="AY36" s="212"/>
      <c r="AZ36" s="212"/>
      <c r="BA36" s="212"/>
      <c r="BB36" s="212"/>
      <c r="BC36" s="212"/>
      <c r="BD36" s="212"/>
      <c r="BE36" s="212"/>
      <c r="BF36" s="212"/>
      <c r="BG36" s="212"/>
      <c r="BH36" s="212"/>
      <c r="BI36" s="212"/>
      <c r="BJ36" s="212"/>
      <c r="BK36" s="212"/>
      <c r="BL36" s="212"/>
      <c r="BM36" s="212"/>
      <c r="BN36" s="212"/>
      <c r="BO36" s="212"/>
      <c r="BP36" s="212"/>
      <c r="BQ36" s="212"/>
      <c r="BR36" s="212"/>
      <c r="BS36" s="212"/>
      <c r="BT36" s="212"/>
      <c r="BU36" s="212"/>
      <c r="BV36" s="212"/>
      <c r="BW36" s="212"/>
      <c r="BX36" s="212"/>
      <c r="BY36" s="212"/>
      <c r="BZ36" s="212"/>
      <c r="CA36" s="212"/>
      <c r="CB36" s="212"/>
      <c r="CC36" s="212"/>
      <c r="CD36" s="212"/>
      <c r="CE36" s="212"/>
      <c r="CF36" s="212"/>
      <c r="CG36" s="212"/>
      <c r="CH36" s="212"/>
      <c r="CI36" s="212"/>
      <c r="CJ36" s="212"/>
      <c r="CK36" s="212"/>
      <c r="CL36" s="212"/>
      <c r="CM36" s="212"/>
      <c r="CN36" s="212"/>
      <c r="CO36" s="212"/>
      <c r="CP36" s="212"/>
      <c r="CQ36" s="212"/>
      <c r="CR36" s="212"/>
      <c r="CS36" s="212"/>
      <c r="CT36" s="212"/>
      <c r="CU36" s="214"/>
      <c r="CV36" s="212"/>
      <c r="CW36" s="212"/>
      <c r="CX36" s="212"/>
      <c r="CY36" s="212"/>
      <c r="CZ36" s="212"/>
      <c r="DA36" s="212"/>
      <c r="DB36" s="212"/>
      <c r="DC36" s="212"/>
      <c r="DD36" s="212"/>
      <c r="DE36" s="212"/>
      <c r="DF36" s="212"/>
      <c r="DG36" s="212"/>
      <c r="DH36" s="212"/>
      <c r="DI36" s="212"/>
      <c r="DJ36" s="212"/>
      <c r="DK36" s="212"/>
      <c r="DL36" s="212"/>
      <c r="DM36" s="212"/>
      <c r="DN36" s="212"/>
      <c r="DO36" s="212"/>
      <c r="DP36" s="212"/>
      <c r="DQ36" s="212"/>
      <c r="DR36" s="212"/>
      <c r="DS36" s="212"/>
      <c r="DT36" s="212"/>
      <c r="DU36" s="212"/>
      <c r="DV36" s="212"/>
      <c r="DW36" s="212"/>
      <c r="DX36" s="212"/>
      <c r="DY36" s="212"/>
      <c r="DZ36" s="212"/>
      <c r="EA36" s="212"/>
      <c r="EB36" s="214"/>
      <c r="EC36" s="212"/>
      <c r="ED36" s="212"/>
      <c r="EE36" s="212"/>
      <c r="EF36" s="212"/>
      <c r="EG36" s="212"/>
      <c r="EH36" s="212"/>
      <c r="EI36" s="212"/>
      <c r="EJ36" s="212"/>
      <c r="EK36" s="212"/>
      <c r="EL36" s="212"/>
      <c r="EM36" s="212"/>
      <c r="EN36" s="212"/>
      <c r="EO36" s="212"/>
      <c r="EP36" s="212"/>
      <c r="EQ36" s="212"/>
      <c r="ER36" s="212"/>
      <c r="ES36" s="212"/>
      <c r="ET36" s="212"/>
      <c r="EU36" s="212"/>
      <c r="EV36" s="212"/>
      <c r="EW36" s="212"/>
      <c r="EX36" s="212"/>
      <c r="EY36" s="212"/>
      <c r="EZ36" s="212"/>
      <c r="FA36" s="212"/>
      <c r="FB36" s="212"/>
      <c r="FC36" s="212"/>
      <c r="FD36" s="212"/>
      <c r="FE36" s="212"/>
      <c r="FF36" s="212"/>
      <c r="FG36" s="212"/>
      <c r="FH36" s="212"/>
      <c r="FI36" s="212"/>
      <c r="FJ36" s="212"/>
      <c r="FK36" s="212"/>
      <c r="FL36" s="212"/>
      <c r="FM36" s="212"/>
      <c r="FN36" s="212"/>
      <c r="FO36" s="212"/>
      <c r="FP36" s="212"/>
      <c r="FQ36" s="212"/>
      <c r="FR36" s="212"/>
      <c r="FS36" s="212"/>
      <c r="FT36" s="212"/>
      <c r="FU36" s="212"/>
      <c r="FV36" s="212"/>
      <c r="FW36" s="212"/>
      <c r="FX36" s="212"/>
      <c r="FY36" s="212"/>
      <c r="FZ36" s="212"/>
      <c r="GA36" s="212"/>
      <c r="GB36" s="212"/>
      <c r="GC36" s="212"/>
      <c r="GD36" s="212"/>
      <c r="GE36" s="212"/>
      <c r="GF36" s="212"/>
      <c r="GG36" s="212"/>
      <c r="GH36" s="212"/>
      <c r="GI36" s="212"/>
      <c r="GJ36" s="212"/>
      <c r="GK36" s="212"/>
      <c r="GL36" s="212"/>
      <c r="GM36" s="212"/>
      <c r="GN36" s="212"/>
      <c r="GO36" s="212"/>
      <c r="GP36" s="212"/>
      <c r="GQ36" s="212"/>
      <c r="GR36" s="212"/>
      <c r="GS36" s="212"/>
      <c r="GT36" s="212"/>
      <c r="GU36" s="212"/>
      <c r="GV36" s="212"/>
      <c r="GW36" s="212"/>
      <c r="GX36" s="212"/>
      <c r="GY36" s="212"/>
      <c r="GZ36" s="212"/>
      <c r="HA36" s="212"/>
      <c r="HB36" s="212"/>
      <c r="HC36" s="212"/>
      <c r="HD36" s="212"/>
      <c r="HE36" s="212"/>
      <c r="HF36" s="212"/>
      <c r="HG36" s="212"/>
      <c r="HH36" s="212"/>
      <c r="HI36" s="212"/>
      <c r="HJ36" s="212"/>
      <c r="HK36" s="212"/>
      <c r="HL36" s="212"/>
      <c r="HM36" s="212"/>
      <c r="HN36" s="212"/>
      <c r="HO36" s="212"/>
      <c r="HP36" s="212"/>
      <c r="HQ36" s="212"/>
      <c r="HR36" s="212"/>
      <c r="HS36" s="212"/>
      <c r="HT36" s="212"/>
      <c r="HU36" s="212"/>
      <c r="HV36" s="212"/>
      <c r="HW36" s="212"/>
      <c r="HX36" s="212"/>
      <c r="HY36" s="212"/>
      <c r="HZ36" s="212"/>
      <c r="IA36" s="212"/>
      <c r="IB36" s="212"/>
      <c r="IC36" s="212"/>
      <c r="ID36" s="212"/>
      <c r="IE36" s="212"/>
      <c r="IF36" s="212"/>
      <c r="IG36" s="212"/>
      <c r="IH36" s="212"/>
      <c r="II36" s="212"/>
      <c r="IJ36" s="212"/>
      <c r="IK36" s="212"/>
      <c r="IL36" s="212"/>
      <c r="IM36" s="212"/>
      <c r="IN36" s="212"/>
      <c r="IO36" s="212"/>
      <c r="IP36" s="212"/>
      <c r="IQ36" s="212"/>
      <c r="IR36" s="212"/>
      <c r="IS36" s="212"/>
      <c r="IT36" s="212"/>
      <c r="IU36" s="212"/>
      <c r="IV36" s="212"/>
      <c r="IW36" s="212"/>
      <c r="IX36" s="212"/>
      <c r="IY36" s="212"/>
      <c r="IZ36" s="212"/>
      <c r="JA36" s="212"/>
      <c r="JB36" s="212"/>
      <c r="JC36" s="212"/>
      <c r="JD36" s="212"/>
      <c r="JE36" s="212"/>
      <c r="JF36" s="212"/>
      <c r="JG36" s="212"/>
      <c r="JH36" s="212"/>
      <c r="JI36" s="212"/>
      <c r="JJ36" s="212"/>
      <c r="JK36" s="212"/>
      <c r="JL36" s="212"/>
      <c r="JM36" s="212"/>
      <c r="JN36" s="212"/>
      <c r="JO36" s="212"/>
      <c r="JP36" s="212"/>
      <c r="JQ36" s="212"/>
      <c r="JR36" s="212"/>
      <c r="JS36" s="212"/>
      <c r="JT36" s="212"/>
      <c r="JU36" s="212"/>
      <c r="JV36" s="212"/>
      <c r="JW36" s="212"/>
      <c r="JX36" s="212"/>
      <c r="JY36" s="212"/>
      <c r="JZ36" s="212"/>
      <c r="KA36" s="212"/>
      <c r="KB36" s="212"/>
      <c r="KC36" s="212"/>
      <c r="KD36" s="212"/>
      <c r="KE36" s="212"/>
      <c r="KF36" s="212"/>
      <c r="KG36" s="212"/>
      <c r="KH36" s="212"/>
      <c r="KI36" s="212"/>
      <c r="KJ36" s="212"/>
      <c r="KK36" s="212"/>
      <c r="KL36" s="212"/>
      <c r="KM36" s="212"/>
      <c r="KN36" s="212"/>
      <c r="KO36" s="212"/>
      <c r="KP36" s="212"/>
      <c r="KQ36" s="212"/>
      <c r="KR36" s="212"/>
      <c r="KS36" s="212"/>
      <c r="KT36" s="212"/>
      <c r="KU36" s="212"/>
      <c r="KV36" s="212"/>
      <c r="KW36" s="212"/>
      <c r="KX36" s="212"/>
      <c r="KY36" s="212"/>
      <c r="KZ36" s="212"/>
      <c r="LA36" s="212"/>
      <c r="LB36" s="212"/>
      <c r="LC36" s="212"/>
      <c r="LD36" s="212"/>
      <c r="LE36" s="212"/>
      <c r="LF36" s="212"/>
      <c r="LG36" s="212"/>
      <c r="LH36" s="212"/>
      <c r="LI36" s="212"/>
      <c r="LJ36" s="212"/>
      <c r="LK36" s="212"/>
      <c r="LL36" s="212"/>
      <c r="LM36" s="212"/>
      <c r="LN36" s="212"/>
      <c r="LO36" s="212"/>
      <c r="LP36" s="212"/>
      <c r="LQ36" s="212"/>
      <c r="LR36" s="212"/>
      <c r="LS36" s="212"/>
      <c r="LT36" s="212"/>
      <c r="LU36" s="212"/>
      <c r="LV36" s="212"/>
      <c r="LW36" s="212"/>
      <c r="LX36" s="212"/>
      <c r="LY36" s="212"/>
      <c r="LZ36" s="212"/>
      <c r="MA36" s="212"/>
      <c r="MB36" s="212"/>
      <c r="MC36" s="212"/>
      <c r="MD36" s="212"/>
      <c r="ME36" s="212"/>
      <c r="MF36" s="212"/>
      <c r="MG36" s="212"/>
      <c r="MH36" s="212"/>
      <c r="MI36" s="212"/>
      <c r="MJ36" s="212"/>
      <c r="MK36" s="212"/>
      <c r="ML36" s="212"/>
      <c r="MM36" s="212"/>
      <c r="MN36" s="212"/>
      <c r="MO36" s="212"/>
      <c r="MP36" s="212"/>
      <c r="MQ36" s="212"/>
      <c r="MR36" s="212"/>
      <c r="MS36" s="212"/>
      <c r="MT36" s="212"/>
      <c r="MU36" s="212"/>
      <c r="MV36" s="212"/>
      <c r="MW36" s="212"/>
      <c r="MX36" s="212"/>
      <c r="MY36" s="212"/>
      <c r="MZ36" s="212"/>
      <c r="NA36" s="212"/>
      <c r="NB36" s="212"/>
      <c r="NC36" s="212"/>
      <c r="ND36" s="212"/>
      <c r="NE36" s="212"/>
      <c r="NF36" s="212"/>
      <c r="NG36" s="212"/>
      <c r="NH36" s="212"/>
      <c r="NI36" s="212"/>
      <c r="NJ36" s="212"/>
      <c r="NK36" s="212"/>
      <c r="NL36" s="212"/>
      <c r="NM36" s="212"/>
      <c r="NN36" s="212"/>
      <c r="NO36" s="212"/>
      <c r="NP36" s="212"/>
      <c r="NQ36" s="212"/>
      <c r="NR36" s="212"/>
      <c r="NS36" s="212"/>
      <c r="NT36" s="212"/>
      <c r="NU36" s="212"/>
      <c r="NV36" s="212"/>
      <c r="NW36" s="212"/>
      <c r="NX36" s="212"/>
      <c r="NY36" s="212"/>
      <c r="NZ36" s="212"/>
      <c r="OA36" s="212"/>
      <c r="OB36" s="212"/>
      <c r="OC36" s="212"/>
      <c r="OD36" s="212"/>
      <c r="OE36" s="212"/>
      <c r="OF36" s="212"/>
      <c r="OG36" s="212"/>
      <c r="OH36" s="212"/>
      <c r="OI36" s="212"/>
      <c r="OJ36" s="212"/>
      <c r="OK36" s="212"/>
      <c r="OL36" s="212"/>
      <c r="OM36" s="212"/>
      <c r="ON36" s="212"/>
      <c r="OO36" s="212"/>
      <c r="OP36" s="212"/>
      <c r="OQ36" s="212"/>
      <c r="OR36" s="212"/>
      <c r="OS36" s="212"/>
      <c r="OT36" s="212"/>
      <c r="OU36" s="212"/>
      <c r="OV36" s="212"/>
      <c r="OW36" s="212"/>
      <c r="OX36" s="212"/>
      <c r="OY36" s="212"/>
      <c r="OZ36" s="212"/>
      <c r="PA36" s="212"/>
      <c r="PB36" s="212"/>
      <c r="PC36" s="212"/>
      <c r="PD36" s="212"/>
      <c r="PE36" s="212"/>
      <c r="PF36" s="212"/>
      <c r="PG36" s="212"/>
      <c r="PH36" s="212"/>
      <c r="PI36" s="212"/>
      <c r="PJ36" s="212"/>
      <c r="PK36" s="212"/>
      <c r="PL36" s="212"/>
      <c r="PM36" s="212"/>
      <c r="PN36" s="212"/>
      <c r="PO36" s="212"/>
      <c r="PP36" s="212"/>
      <c r="PQ36" s="212"/>
      <c r="PR36" s="212"/>
      <c r="PS36" s="212"/>
      <c r="PT36" s="212"/>
      <c r="PU36" s="212"/>
      <c r="PV36" s="212"/>
      <c r="PW36" s="212"/>
      <c r="PX36" s="212"/>
      <c r="PY36" s="212"/>
      <c r="PZ36" s="212"/>
      <c r="QA36" s="212"/>
      <c r="QB36" s="212"/>
      <c r="QC36" s="212"/>
      <c r="QD36" s="212"/>
      <c r="QE36" s="212"/>
      <c r="QF36" s="212"/>
      <c r="QG36" s="212"/>
      <c r="QH36" s="212"/>
      <c r="QI36" s="212"/>
      <c r="QJ36" s="212"/>
      <c r="QK36" s="212"/>
      <c r="QL36" s="212"/>
      <c r="QM36" s="212"/>
      <c r="QN36" s="212"/>
      <c r="QO36" s="212"/>
      <c r="QP36" s="212"/>
      <c r="QQ36" s="212"/>
      <c r="QR36" s="212"/>
      <c r="QS36" s="212"/>
      <c r="QT36" s="212"/>
      <c r="QU36" s="212"/>
      <c r="QV36" s="212"/>
      <c r="QW36" s="212"/>
      <c r="QX36" s="212"/>
      <c r="QY36" s="212"/>
      <c r="QZ36" s="212"/>
      <c r="RA36" s="212"/>
      <c r="RB36" s="212"/>
      <c r="RC36" s="212"/>
      <c r="RD36" s="212"/>
      <c r="RE36" s="212"/>
      <c r="RF36" s="212"/>
      <c r="RG36" s="212"/>
      <c r="RH36" s="212"/>
      <c r="RI36" s="212"/>
      <c r="RJ36" s="212"/>
      <c r="RK36" s="212"/>
      <c r="RL36" s="212"/>
      <c r="RM36" s="212"/>
      <c r="RN36" s="212"/>
      <c r="RO36" s="212"/>
      <c r="RP36" s="212"/>
      <c r="RQ36" s="212"/>
      <c r="RR36" s="212"/>
      <c r="RS36" s="212"/>
      <c r="RT36" s="212"/>
      <c r="RU36" s="212"/>
      <c r="RV36" s="212"/>
      <c r="RW36" s="212"/>
      <c r="RX36" s="212"/>
      <c r="RY36" s="212"/>
      <c r="RZ36" s="212"/>
      <c r="SA36" s="212"/>
      <c r="SB36" s="212"/>
      <c r="SC36" s="212"/>
      <c r="SD36" s="212"/>
      <c r="SE36" s="212"/>
      <c r="SF36" s="212"/>
      <c r="SG36" s="212"/>
      <c r="SH36" s="212"/>
      <c r="SI36" s="212"/>
      <c r="SJ36" s="212"/>
      <c r="SK36" s="212"/>
      <c r="SL36" s="212"/>
      <c r="SM36" s="212"/>
      <c r="SN36" s="212"/>
      <c r="SO36" s="212"/>
      <c r="SP36" s="212"/>
      <c r="SQ36" s="212"/>
      <c r="SR36" s="212"/>
      <c r="SS36" s="212"/>
      <c r="ST36" s="212"/>
      <c r="SU36" s="212"/>
      <c r="SV36" s="212"/>
      <c r="SW36" s="212"/>
      <c r="SX36" s="212"/>
      <c r="SY36" s="212"/>
      <c r="SZ36" s="212"/>
      <c r="TA36" s="212"/>
      <c r="TB36" s="212"/>
      <c r="TC36" s="212"/>
      <c r="TD36" s="212"/>
      <c r="TE36" s="212"/>
      <c r="TF36" s="212"/>
      <c r="TG36" s="212"/>
      <c r="TH36" s="212"/>
      <c r="TI36" s="212"/>
      <c r="TJ36" s="212"/>
      <c r="TK36" s="212"/>
      <c r="TL36" s="212"/>
      <c r="TM36" s="212"/>
      <c r="TN36" s="212"/>
      <c r="TO36" s="212"/>
      <c r="TP36" s="212"/>
      <c r="TQ36" s="212"/>
      <c r="TR36" s="212"/>
      <c r="TS36" s="212"/>
      <c r="TT36" s="212"/>
      <c r="TU36" s="212"/>
      <c r="TV36" s="212"/>
      <c r="TW36" s="212"/>
      <c r="TX36" s="212"/>
      <c r="TY36" s="212"/>
      <c r="TZ36" s="212"/>
      <c r="UA36" s="212"/>
      <c r="UB36" s="212"/>
      <c r="UC36" s="212"/>
      <c r="UD36" s="212"/>
      <c r="UE36" s="212"/>
      <c r="UF36" s="212"/>
      <c r="UG36" s="212"/>
      <c r="UH36" s="212"/>
      <c r="UI36" s="212"/>
      <c r="UJ36" s="212"/>
      <c r="UK36" s="212"/>
      <c r="UL36" s="212"/>
      <c r="UM36" s="212"/>
      <c r="UN36" s="212"/>
      <c r="UO36" s="212"/>
      <c r="UP36" s="212"/>
      <c r="UQ36" s="212"/>
      <c r="UR36" s="212"/>
      <c r="US36" s="212"/>
      <c r="UT36" s="194"/>
    </row>
    <row r="37" spans="2:566" ht="15.75" customHeight="1" x14ac:dyDescent="0.3">
      <c r="B37" s="117" t="s">
        <v>58</v>
      </c>
      <c r="C37" s="107" t="s">
        <v>179</v>
      </c>
      <c r="D37" s="102" t="str">
        <f t="shared" si="28"/>
        <v/>
      </c>
      <c r="E37" s="103" t="str">
        <f t="shared" si="29"/>
        <v/>
      </c>
      <c r="F37" s="212"/>
      <c r="G37" s="212"/>
      <c r="H37" s="212"/>
      <c r="I37" s="212"/>
      <c r="J37" s="212"/>
      <c r="K37" s="212"/>
      <c r="L37" s="212"/>
      <c r="M37" s="212"/>
      <c r="N37" s="212"/>
      <c r="O37" s="212"/>
      <c r="P37" s="213"/>
      <c r="Q37" s="213"/>
      <c r="R37" s="212"/>
      <c r="S37" s="212"/>
      <c r="T37" s="212"/>
      <c r="U37" s="212"/>
      <c r="V37" s="212"/>
      <c r="W37" s="213"/>
      <c r="X37" s="213"/>
      <c r="Y37" s="212"/>
      <c r="Z37" s="212"/>
      <c r="AA37" s="212"/>
      <c r="AB37" s="213"/>
      <c r="AC37" s="213"/>
      <c r="AD37" s="213"/>
      <c r="AE37" s="213"/>
      <c r="AF37" s="213"/>
      <c r="AG37" s="213"/>
      <c r="AH37" s="212"/>
      <c r="AI37" s="212"/>
      <c r="AJ37" s="212"/>
      <c r="AK37" s="213"/>
      <c r="AL37" s="213"/>
      <c r="AM37" s="212"/>
      <c r="AN37" s="212"/>
      <c r="AO37" s="212"/>
      <c r="AP37" s="212"/>
      <c r="AQ37" s="212"/>
      <c r="AR37" s="212"/>
      <c r="AS37" s="212"/>
      <c r="AT37" s="212"/>
      <c r="AU37" s="212"/>
      <c r="AV37" s="212"/>
      <c r="AW37" s="212"/>
      <c r="AX37" s="212"/>
      <c r="AY37" s="212"/>
      <c r="AZ37" s="212"/>
      <c r="BA37" s="212"/>
      <c r="BB37" s="212"/>
      <c r="BC37" s="212"/>
      <c r="BD37" s="212"/>
      <c r="BE37" s="212"/>
      <c r="BF37" s="212"/>
      <c r="BG37" s="212"/>
      <c r="BH37" s="212"/>
      <c r="BI37" s="212"/>
      <c r="BJ37" s="212"/>
      <c r="BK37" s="212"/>
      <c r="BL37" s="212"/>
      <c r="BM37" s="212"/>
      <c r="BN37" s="212"/>
      <c r="BO37" s="212"/>
      <c r="BP37" s="212"/>
      <c r="BQ37" s="212"/>
      <c r="BR37" s="212"/>
      <c r="BS37" s="212"/>
      <c r="BT37" s="212"/>
      <c r="BU37" s="212"/>
      <c r="BV37" s="212"/>
      <c r="BW37" s="212"/>
      <c r="BX37" s="212"/>
      <c r="BY37" s="212"/>
      <c r="BZ37" s="212"/>
      <c r="CA37" s="212"/>
      <c r="CB37" s="212"/>
      <c r="CC37" s="212"/>
      <c r="CD37" s="212"/>
      <c r="CE37" s="212"/>
      <c r="CF37" s="212"/>
      <c r="CG37" s="212"/>
      <c r="CH37" s="212"/>
      <c r="CI37" s="212"/>
      <c r="CJ37" s="212"/>
      <c r="CK37" s="212"/>
      <c r="CL37" s="212"/>
      <c r="CM37" s="212"/>
      <c r="CN37" s="212"/>
      <c r="CO37" s="212"/>
      <c r="CP37" s="212"/>
      <c r="CQ37" s="212"/>
      <c r="CR37" s="212"/>
      <c r="CS37" s="212"/>
      <c r="CT37" s="212"/>
      <c r="CU37" s="214"/>
      <c r="CV37" s="212"/>
      <c r="CW37" s="212"/>
      <c r="CX37" s="212"/>
      <c r="CY37" s="212"/>
      <c r="CZ37" s="212"/>
      <c r="DA37" s="212"/>
      <c r="DB37" s="212"/>
      <c r="DC37" s="212"/>
      <c r="DD37" s="212"/>
      <c r="DE37" s="212"/>
      <c r="DF37" s="212"/>
      <c r="DG37" s="212"/>
      <c r="DH37" s="212"/>
      <c r="DI37" s="212"/>
      <c r="DJ37" s="212"/>
      <c r="DK37" s="212"/>
      <c r="DL37" s="212"/>
      <c r="DM37" s="212"/>
      <c r="DN37" s="212"/>
      <c r="DO37" s="212"/>
      <c r="DP37" s="212"/>
      <c r="DQ37" s="212"/>
      <c r="DR37" s="212"/>
      <c r="DS37" s="212"/>
      <c r="DT37" s="212"/>
      <c r="DU37" s="212"/>
      <c r="DV37" s="212"/>
      <c r="DW37" s="212"/>
      <c r="DX37" s="212"/>
      <c r="DY37" s="212"/>
      <c r="DZ37" s="212"/>
      <c r="EA37" s="212"/>
      <c r="EB37" s="214"/>
      <c r="EC37" s="212"/>
      <c r="ED37" s="212"/>
      <c r="EE37" s="212"/>
      <c r="EF37" s="212"/>
      <c r="EG37" s="212"/>
      <c r="EH37" s="212"/>
      <c r="EI37" s="212"/>
      <c r="EJ37" s="212"/>
      <c r="EK37" s="212"/>
      <c r="EL37" s="212"/>
      <c r="EM37" s="212"/>
      <c r="EN37" s="212"/>
      <c r="EO37" s="212"/>
      <c r="EP37" s="212"/>
      <c r="EQ37" s="212"/>
      <c r="ER37" s="212"/>
      <c r="ES37" s="212"/>
      <c r="ET37" s="212"/>
      <c r="EU37" s="212"/>
      <c r="EV37" s="212"/>
      <c r="EW37" s="212"/>
      <c r="EX37" s="212"/>
      <c r="EY37" s="212"/>
      <c r="EZ37" s="212"/>
      <c r="FA37" s="212"/>
      <c r="FB37" s="212"/>
      <c r="FC37" s="212"/>
      <c r="FD37" s="212"/>
      <c r="FE37" s="212"/>
      <c r="FF37" s="212"/>
      <c r="FG37" s="212"/>
      <c r="FH37" s="212"/>
      <c r="FI37" s="212"/>
      <c r="FJ37" s="212"/>
      <c r="FK37" s="212"/>
      <c r="FL37" s="212"/>
      <c r="FM37" s="212"/>
      <c r="FN37" s="212"/>
      <c r="FO37" s="212"/>
      <c r="FP37" s="212"/>
      <c r="FQ37" s="212"/>
      <c r="FR37" s="212"/>
      <c r="FS37" s="212"/>
      <c r="FT37" s="212"/>
      <c r="FU37" s="212"/>
      <c r="FV37" s="212"/>
      <c r="FW37" s="212"/>
      <c r="FX37" s="212"/>
      <c r="FY37" s="212"/>
      <c r="FZ37" s="212"/>
      <c r="GA37" s="212"/>
      <c r="GB37" s="212"/>
      <c r="GC37" s="212"/>
      <c r="GD37" s="212"/>
      <c r="GE37" s="212"/>
      <c r="GF37" s="212"/>
      <c r="GG37" s="212"/>
      <c r="GH37" s="212"/>
      <c r="GI37" s="212"/>
      <c r="GJ37" s="212"/>
      <c r="GK37" s="212"/>
      <c r="GL37" s="212"/>
      <c r="GM37" s="212"/>
      <c r="GN37" s="212"/>
      <c r="GO37" s="212"/>
      <c r="GP37" s="212"/>
      <c r="GQ37" s="212"/>
      <c r="GR37" s="212"/>
      <c r="GS37" s="212"/>
      <c r="GT37" s="212"/>
      <c r="GU37" s="212"/>
      <c r="GV37" s="212"/>
      <c r="GW37" s="212"/>
      <c r="GX37" s="212"/>
      <c r="GY37" s="212"/>
      <c r="GZ37" s="212"/>
      <c r="HA37" s="212"/>
      <c r="HB37" s="212"/>
      <c r="HC37" s="212"/>
      <c r="HD37" s="212"/>
      <c r="HE37" s="212"/>
      <c r="HF37" s="212"/>
      <c r="HG37" s="212"/>
      <c r="HH37" s="212"/>
      <c r="HI37" s="212"/>
      <c r="HJ37" s="212"/>
      <c r="HK37" s="212"/>
      <c r="HL37" s="212"/>
      <c r="HM37" s="212"/>
      <c r="HN37" s="212"/>
      <c r="HO37" s="212"/>
      <c r="HP37" s="212"/>
      <c r="HQ37" s="212"/>
      <c r="HR37" s="212"/>
      <c r="HS37" s="212"/>
      <c r="HT37" s="212"/>
      <c r="HU37" s="212"/>
      <c r="HV37" s="212"/>
      <c r="HW37" s="212"/>
      <c r="HX37" s="212"/>
      <c r="HY37" s="212"/>
      <c r="HZ37" s="212"/>
      <c r="IA37" s="212"/>
      <c r="IB37" s="212"/>
      <c r="IC37" s="212"/>
      <c r="ID37" s="212"/>
      <c r="IE37" s="212"/>
      <c r="IF37" s="212"/>
      <c r="IG37" s="212"/>
      <c r="IH37" s="212"/>
      <c r="II37" s="212"/>
      <c r="IJ37" s="212"/>
      <c r="IK37" s="212"/>
      <c r="IL37" s="212"/>
      <c r="IM37" s="212"/>
      <c r="IN37" s="212"/>
      <c r="IO37" s="212"/>
      <c r="IP37" s="212"/>
      <c r="IQ37" s="212"/>
      <c r="IR37" s="212"/>
      <c r="IS37" s="212"/>
      <c r="IT37" s="212"/>
      <c r="IU37" s="212"/>
      <c r="IV37" s="212"/>
      <c r="IW37" s="212"/>
      <c r="IX37" s="212"/>
      <c r="IY37" s="212"/>
      <c r="IZ37" s="212"/>
      <c r="JA37" s="212"/>
      <c r="JB37" s="212"/>
      <c r="JC37" s="212"/>
      <c r="JD37" s="212"/>
      <c r="JE37" s="212"/>
      <c r="JF37" s="212"/>
      <c r="JG37" s="212"/>
      <c r="JH37" s="212"/>
      <c r="JI37" s="212"/>
      <c r="JJ37" s="212"/>
      <c r="JK37" s="212"/>
      <c r="JL37" s="212"/>
      <c r="JM37" s="212"/>
      <c r="JN37" s="212"/>
      <c r="JO37" s="212"/>
      <c r="JP37" s="212"/>
      <c r="JQ37" s="212"/>
      <c r="JR37" s="212"/>
      <c r="JS37" s="212"/>
      <c r="JT37" s="212"/>
      <c r="JU37" s="212"/>
      <c r="JV37" s="212"/>
      <c r="JW37" s="212"/>
      <c r="JX37" s="212"/>
      <c r="JY37" s="212"/>
      <c r="JZ37" s="212"/>
      <c r="KA37" s="212"/>
      <c r="KB37" s="212"/>
      <c r="KC37" s="212"/>
      <c r="KD37" s="212"/>
      <c r="KE37" s="212"/>
      <c r="KF37" s="212"/>
      <c r="KG37" s="212"/>
      <c r="KH37" s="212"/>
      <c r="KI37" s="212"/>
      <c r="KJ37" s="212"/>
      <c r="KK37" s="212"/>
      <c r="KL37" s="212"/>
      <c r="KM37" s="212"/>
      <c r="KN37" s="212"/>
      <c r="KO37" s="212"/>
      <c r="KP37" s="212"/>
      <c r="KQ37" s="212"/>
      <c r="KR37" s="212"/>
      <c r="KS37" s="212"/>
      <c r="KT37" s="212"/>
      <c r="KU37" s="212"/>
      <c r="KV37" s="212"/>
      <c r="KW37" s="212"/>
      <c r="KX37" s="212"/>
      <c r="KY37" s="212"/>
      <c r="KZ37" s="212"/>
      <c r="LA37" s="212"/>
      <c r="LB37" s="212"/>
      <c r="LC37" s="212"/>
      <c r="LD37" s="212"/>
      <c r="LE37" s="212"/>
      <c r="LF37" s="212"/>
      <c r="LG37" s="212"/>
      <c r="LH37" s="212"/>
      <c r="LI37" s="212"/>
      <c r="LJ37" s="212"/>
      <c r="LK37" s="212"/>
      <c r="LL37" s="212"/>
      <c r="LM37" s="212"/>
      <c r="LN37" s="212"/>
      <c r="LO37" s="212"/>
      <c r="LP37" s="212"/>
      <c r="LQ37" s="212"/>
      <c r="LR37" s="212"/>
      <c r="LS37" s="212"/>
      <c r="LT37" s="212"/>
      <c r="LU37" s="212"/>
      <c r="LV37" s="212"/>
      <c r="LW37" s="212"/>
      <c r="LX37" s="212"/>
      <c r="LY37" s="212"/>
      <c r="LZ37" s="212"/>
      <c r="MA37" s="212"/>
      <c r="MB37" s="212"/>
      <c r="MC37" s="212"/>
      <c r="MD37" s="212"/>
      <c r="ME37" s="212"/>
      <c r="MF37" s="212"/>
      <c r="MG37" s="212"/>
      <c r="MH37" s="212"/>
      <c r="MI37" s="212"/>
      <c r="MJ37" s="212"/>
      <c r="MK37" s="212"/>
      <c r="ML37" s="212"/>
      <c r="MM37" s="212"/>
      <c r="MN37" s="212"/>
      <c r="MO37" s="212"/>
      <c r="MP37" s="212"/>
      <c r="MQ37" s="212"/>
      <c r="MR37" s="212"/>
      <c r="MS37" s="212"/>
      <c r="MT37" s="212"/>
      <c r="MU37" s="212"/>
      <c r="MV37" s="212"/>
      <c r="MW37" s="212"/>
      <c r="MX37" s="212"/>
      <c r="MY37" s="212"/>
      <c r="MZ37" s="212"/>
      <c r="NA37" s="212"/>
      <c r="NB37" s="212"/>
      <c r="NC37" s="212"/>
      <c r="ND37" s="212"/>
      <c r="NE37" s="212"/>
      <c r="NF37" s="212"/>
      <c r="NG37" s="212"/>
      <c r="NH37" s="212"/>
      <c r="NI37" s="212"/>
      <c r="NJ37" s="212"/>
      <c r="NK37" s="212"/>
      <c r="NL37" s="212"/>
      <c r="NM37" s="212"/>
      <c r="NN37" s="212"/>
      <c r="NO37" s="212"/>
      <c r="NP37" s="212"/>
      <c r="NQ37" s="212"/>
      <c r="NR37" s="212"/>
      <c r="NS37" s="212"/>
      <c r="NT37" s="212"/>
      <c r="NU37" s="212"/>
      <c r="NV37" s="212"/>
      <c r="NW37" s="212"/>
      <c r="NX37" s="212"/>
      <c r="NY37" s="212"/>
      <c r="NZ37" s="212"/>
      <c r="OA37" s="212"/>
      <c r="OB37" s="212"/>
      <c r="OC37" s="212"/>
      <c r="OD37" s="212"/>
      <c r="OE37" s="212"/>
      <c r="OF37" s="212"/>
      <c r="OG37" s="212"/>
      <c r="OH37" s="212"/>
      <c r="OI37" s="212"/>
      <c r="OJ37" s="212"/>
      <c r="OK37" s="212"/>
      <c r="OL37" s="212"/>
      <c r="OM37" s="212"/>
      <c r="ON37" s="212"/>
      <c r="OO37" s="212"/>
      <c r="OP37" s="212"/>
      <c r="OQ37" s="212"/>
      <c r="OR37" s="212"/>
      <c r="OS37" s="212"/>
      <c r="OT37" s="212"/>
      <c r="OU37" s="212"/>
      <c r="OV37" s="212"/>
      <c r="OW37" s="212"/>
      <c r="OX37" s="212"/>
      <c r="OY37" s="212"/>
      <c r="OZ37" s="212"/>
      <c r="PA37" s="212"/>
      <c r="PB37" s="212"/>
      <c r="PC37" s="212"/>
      <c r="PD37" s="212"/>
      <c r="PE37" s="212"/>
      <c r="PF37" s="212"/>
      <c r="PG37" s="212"/>
      <c r="PH37" s="212"/>
      <c r="PI37" s="212"/>
      <c r="PJ37" s="212"/>
      <c r="PK37" s="212"/>
      <c r="PL37" s="212"/>
      <c r="PM37" s="212"/>
      <c r="PN37" s="212"/>
      <c r="PO37" s="212"/>
      <c r="PP37" s="212"/>
      <c r="PQ37" s="212"/>
      <c r="PR37" s="212"/>
      <c r="PS37" s="212"/>
      <c r="PT37" s="212"/>
      <c r="PU37" s="212"/>
      <c r="PV37" s="212"/>
      <c r="PW37" s="212"/>
      <c r="PX37" s="212"/>
      <c r="PY37" s="212"/>
      <c r="PZ37" s="212"/>
      <c r="QA37" s="212"/>
      <c r="QB37" s="212"/>
      <c r="QC37" s="212"/>
      <c r="QD37" s="212"/>
      <c r="QE37" s="212"/>
      <c r="QF37" s="212"/>
      <c r="QG37" s="212"/>
      <c r="QH37" s="212"/>
      <c r="QI37" s="212"/>
      <c r="QJ37" s="212"/>
      <c r="QK37" s="212"/>
      <c r="QL37" s="212"/>
      <c r="QM37" s="212"/>
      <c r="QN37" s="212"/>
      <c r="QO37" s="212"/>
      <c r="QP37" s="212"/>
      <c r="QQ37" s="212"/>
      <c r="QR37" s="212"/>
      <c r="QS37" s="212"/>
      <c r="QT37" s="212"/>
      <c r="QU37" s="212"/>
      <c r="QV37" s="212"/>
      <c r="QW37" s="212"/>
      <c r="QX37" s="212"/>
      <c r="QY37" s="212"/>
      <c r="QZ37" s="212"/>
      <c r="RA37" s="212"/>
      <c r="RB37" s="212"/>
      <c r="RC37" s="212"/>
      <c r="RD37" s="212"/>
      <c r="RE37" s="212"/>
      <c r="RF37" s="212"/>
      <c r="RG37" s="212"/>
      <c r="RH37" s="212"/>
      <c r="RI37" s="212"/>
      <c r="RJ37" s="212"/>
      <c r="RK37" s="212"/>
      <c r="RL37" s="212"/>
      <c r="RM37" s="212"/>
      <c r="RN37" s="212"/>
      <c r="RO37" s="212"/>
      <c r="RP37" s="212"/>
      <c r="RQ37" s="212"/>
      <c r="RR37" s="212"/>
      <c r="RS37" s="212"/>
      <c r="RT37" s="212"/>
      <c r="RU37" s="212"/>
      <c r="RV37" s="212"/>
      <c r="RW37" s="212"/>
      <c r="RX37" s="212"/>
      <c r="RY37" s="212"/>
      <c r="RZ37" s="212"/>
      <c r="SA37" s="212"/>
      <c r="SB37" s="212"/>
      <c r="SC37" s="212"/>
      <c r="SD37" s="212"/>
      <c r="SE37" s="212"/>
      <c r="SF37" s="212"/>
      <c r="SG37" s="212"/>
      <c r="SH37" s="212"/>
      <c r="SI37" s="212"/>
      <c r="SJ37" s="212"/>
      <c r="SK37" s="212"/>
      <c r="SL37" s="212"/>
      <c r="SM37" s="212"/>
      <c r="SN37" s="212"/>
      <c r="SO37" s="212"/>
      <c r="SP37" s="212"/>
      <c r="SQ37" s="212"/>
      <c r="SR37" s="212"/>
      <c r="SS37" s="212"/>
      <c r="ST37" s="212"/>
      <c r="SU37" s="212"/>
      <c r="SV37" s="212"/>
      <c r="SW37" s="212"/>
      <c r="SX37" s="212"/>
      <c r="SY37" s="212"/>
      <c r="SZ37" s="212"/>
      <c r="TA37" s="212"/>
      <c r="TB37" s="212"/>
      <c r="TC37" s="212"/>
      <c r="TD37" s="212"/>
      <c r="TE37" s="212"/>
      <c r="TF37" s="212"/>
      <c r="TG37" s="212"/>
      <c r="TH37" s="212"/>
      <c r="TI37" s="212"/>
      <c r="TJ37" s="212"/>
      <c r="TK37" s="212"/>
      <c r="TL37" s="212"/>
      <c r="TM37" s="212"/>
      <c r="TN37" s="212"/>
      <c r="TO37" s="212"/>
      <c r="TP37" s="212"/>
      <c r="TQ37" s="212"/>
      <c r="TR37" s="212"/>
      <c r="TS37" s="212"/>
      <c r="TT37" s="212"/>
      <c r="TU37" s="212"/>
      <c r="TV37" s="212"/>
      <c r="TW37" s="212"/>
      <c r="TX37" s="212"/>
      <c r="TY37" s="212"/>
      <c r="TZ37" s="212"/>
      <c r="UA37" s="212"/>
      <c r="UB37" s="212"/>
      <c r="UC37" s="212"/>
      <c r="UD37" s="212"/>
      <c r="UE37" s="212"/>
      <c r="UF37" s="212"/>
      <c r="UG37" s="212"/>
      <c r="UH37" s="212"/>
      <c r="UI37" s="212"/>
      <c r="UJ37" s="212"/>
      <c r="UK37" s="212"/>
      <c r="UL37" s="212"/>
      <c r="UM37" s="212"/>
      <c r="UN37" s="212"/>
      <c r="UO37" s="212"/>
      <c r="UP37" s="212"/>
      <c r="UQ37" s="212"/>
      <c r="UR37" s="212"/>
      <c r="US37" s="212"/>
      <c r="UT37" s="194"/>
    </row>
    <row r="38" spans="2:566" ht="15.75" customHeight="1" x14ac:dyDescent="0.3">
      <c r="B38" s="117" t="s">
        <v>56</v>
      </c>
      <c r="C38" s="107" t="s">
        <v>180</v>
      </c>
      <c r="D38" s="102" t="str">
        <f t="shared" si="28"/>
        <v/>
      </c>
      <c r="E38" s="103" t="str">
        <f t="shared" si="29"/>
        <v/>
      </c>
      <c r="F38" s="212"/>
      <c r="G38" s="212"/>
      <c r="H38" s="212"/>
      <c r="I38" s="212"/>
      <c r="J38" s="212"/>
      <c r="K38" s="212"/>
      <c r="L38" s="212"/>
      <c r="M38" s="212"/>
      <c r="N38" s="212"/>
      <c r="O38" s="212"/>
      <c r="P38" s="213"/>
      <c r="Q38" s="213"/>
      <c r="R38" s="212"/>
      <c r="S38" s="212"/>
      <c r="T38" s="212"/>
      <c r="U38" s="212"/>
      <c r="V38" s="212"/>
      <c r="W38" s="213"/>
      <c r="X38" s="213"/>
      <c r="Y38" s="212"/>
      <c r="Z38" s="212"/>
      <c r="AA38" s="212"/>
      <c r="AB38" s="213"/>
      <c r="AC38" s="213"/>
      <c r="AD38" s="213"/>
      <c r="AE38" s="213"/>
      <c r="AF38" s="213"/>
      <c r="AG38" s="213"/>
      <c r="AH38" s="212"/>
      <c r="AI38" s="212"/>
      <c r="AJ38" s="212"/>
      <c r="AK38" s="213"/>
      <c r="AL38" s="213"/>
      <c r="AM38" s="212"/>
      <c r="AN38" s="212"/>
      <c r="AO38" s="212"/>
      <c r="AP38" s="212"/>
      <c r="AQ38" s="212"/>
      <c r="AR38" s="212"/>
      <c r="AS38" s="212"/>
      <c r="AT38" s="212"/>
      <c r="AU38" s="212"/>
      <c r="AV38" s="212"/>
      <c r="AW38" s="212"/>
      <c r="AX38" s="212"/>
      <c r="AY38" s="212"/>
      <c r="AZ38" s="212"/>
      <c r="BA38" s="212"/>
      <c r="BB38" s="212"/>
      <c r="BC38" s="212"/>
      <c r="BD38" s="212"/>
      <c r="BE38" s="212"/>
      <c r="BF38" s="212"/>
      <c r="BG38" s="212"/>
      <c r="BH38" s="212"/>
      <c r="BI38" s="212"/>
      <c r="BJ38" s="212"/>
      <c r="BK38" s="212"/>
      <c r="BL38" s="212"/>
      <c r="BM38" s="212"/>
      <c r="BN38" s="212"/>
      <c r="BO38" s="212"/>
      <c r="BP38" s="212"/>
      <c r="BQ38" s="212"/>
      <c r="BR38" s="212"/>
      <c r="BS38" s="212"/>
      <c r="BT38" s="212"/>
      <c r="BU38" s="212"/>
      <c r="BV38" s="212"/>
      <c r="BW38" s="212"/>
      <c r="BX38" s="212"/>
      <c r="BY38" s="212"/>
      <c r="BZ38" s="212"/>
      <c r="CA38" s="212"/>
      <c r="CB38" s="212"/>
      <c r="CC38" s="212"/>
      <c r="CD38" s="212"/>
      <c r="CE38" s="212"/>
      <c r="CF38" s="212"/>
      <c r="CG38" s="212"/>
      <c r="CH38" s="212"/>
      <c r="CI38" s="212"/>
      <c r="CJ38" s="212"/>
      <c r="CK38" s="212"/>
      <c r="CL38" s="212"/>
      <c r="CM38" s="212"/>
      <c r="CN38" s="212"/>
      <c r="CO38" s="212"/>
      <c r="CP38" s="212"/>
      <c r="CQ38" s="212"/>
      <c r="CR38" s="212"/>
      <c r="CS38" s="212"/>
      <c r="CT38" s="212"/>
      <c r="CU38" s="214"/>
      <c r="CV38" s="212"/>
      <c r="CW38" s="212"/>
      <c r="CX38" s="212"/>
      <c r="CY38" s="212"/>
      <c r="CZ38" s="212"/>
      <c r="DA38" s="212"/>
      <c r="DB38" s="212"/>
      <c r="DC38" s="212"/>
      <c r="DD38" s="212"/>
      <c r="DE38" s="212"/>
      <c r="DF38" s="212"/>
      <c r="DG38" s="212"/>
      <c r="DH38" s="212"/>
      <c r="DI38" s="212"/>
      <c r="DJ38" s="212"/>
      <c r="DK38" s="212"/>
      <c r="DL38" s="212"/>
      <c r="DM38" s="212"/>
      <c r="DN38" s="212"/>
      <c r="DO38" s="212"/>
      <c r="DP38" s="212"/>
      <c r="DQ38" s="212"/>
      <c r="DR38" s="212"/>
      <c r="DS38" s="212"/>
      <c r="DT38" s="212"/>
      <c r="DU38" s="212"/>
      <c r="DV38" s="212"/>
      <c r="DW38" s="212"/>
      <c r="DX38" s="212"/>
      <c r="DY38" s="212"/>
      <c r="DZ38" s="212"/>
      <c r="EA38" s="212"/>
      <c r="EB38" s="214"/>
      <c r="EC38" s="212"/>
      <c r="ED38" s="212"/>
      <c r="EE38" s="212"/>
      <c r="EF38" s="212"/>
      <c r="EG38" s="212"/>
      <c r="EH38" s="212"/>
      <c r="EI38" s="212"/>
      <c r="EJ38" s="212"/>
      <c r="EK38" s="212"/>
      <c r="EL38" s="212"/>
      <c r="EM38" s="212"/>
      <c r="EN38" s="212"/>
      <c r="EO38" s="212"/>
      <c r="EP38" s="212"/>
      <c r="EQ38" s="212"/>
      <c r="ER38" s="212"/>
      <c r="ES38" s="212"/>
      <c r="ET38" s="212"/>
      <c r="EU38" s="212"/>
      <c r="EV38" s="212"/>
      <c r="EW38" s="212"/>
      <c r="EX38" s="212"/>
      <c r="EY38" s="212"/>
      <c r="EZ38" s="212"/>
      <c r="FA38" s="212"/>
      <c r="FB38" s="212"/>
      <c r="FC38" s="212"/>
      <c r="FD38" s="212"/>
      <c r="FE38" s="212"/>
      <c r="FF38" s="212"/>
      <c r="FG38" s="212"/>
      <c r="FH38" s="212"/>
      <c r="FI38" s="212"/>
      <c r="FJ38" s="212"/>
      <c r="FK38" s="212"/>
      <c r="FL38" s="212"/>
      <c r="FM38" s="212"/>
      <c r="FN38" s="212"/>
      <c r="FO38" s="212"/>
      <c r="FP38" s="212"/>
      <c r="FQ38" s="212"/>
      <c r="FR38" s="212"/>
      <c r="FS38" s="212"/>
      <c r="FT38" s="212"/>
      <c r="FU38" s="212"/>
      <c r="FV38" s="212"/>
      <c r="FW38" s="212"/>
      <c r="FX38" s="212"/>
      <c r="FY38" s="212"/>
      <c r="FZ38" s="212"/>
      <c r="GA38" s="212"/>
      <c r="GB38" s="212"/>
      <c r="GC38" s="212"/>
      <c r="GD38" s="212"/>
      <c r="GE38" s="212"/>
      <c r="GF38" s="212"/>
      <c r="GG38" s="212"/>
      <c r="GH38" s="212"/>
      <c r="GI38" s="212"/>
      <c r="GJ38" s="212"/>
      <c r="GK38" s="212"/>
      <c r="GL38" s="212"/>
      <c r="GM38" s="212"/>
      <c r="GN38" s="212"/>
      <c r="GO38" s="212"/>
      <c r="GP38" s="212"/>
      <c r="GQ38" s="212"/>
      <c r="GR38" s="212"/>
      <c r="GS38" s="212"/>
      <c r="GT38" s="212"/>
      <c r="GU38" s="212"/>
      <c r="GV38" s="212"/>
      <c r="GW38" s="212"/>
      <c r="GX38" s="212"/>
      <c r="GY38" s="212"/>
      <c r="GZ38" s="212"/>
      <c r="HA38" s="212"/>
      <c r="HB38" s="212"/>
      <c r="HC38" s="212"/>
      <c r="HD38" s="212"/>
      <c r="HE38" s="212"/>
      <c r="HF38" s="212"/>
      <c r="HG38" s="212"/>
      <c r="HH38" s="212"/>
      <c r="HI38" s="212"/>
      <c r="HJ38" s="212"/>
      <c r="HK38" s="212"/>
      <c r="HL38" s="212"/>
      <c r="HM38" s="212"/>
      <c r="HN38" s="212"/>
      <c r="HO38" s="212"/>
      <c r="HP38" s="212"/>
      <c r="HQ38" s="212"/>
      <c r="HR38" s="212"/>
      <c r="HS38" s="212"/>
      <c r="HT38" s="212"/>
      <c r="HU38" s="212"/>
      <c r="HV38" s="212"/>
      <c r="HW38" s="212"/>
      <c r="HX38" s="212"/>
      <c r="HY38" s="212"/>
      <c r="HZ38" s="212"/>
      <c r="IA38" s="212"/>
      <c r="IB38" s="212"/>
      <c r="IC38" s="212"/>
      <c r="ID38" s="212"/>
      <c r="IE38" s="212"/>
      <c r="IF38" s="212"/>
      <c r="IG38" s="212"/>
      <c r="IH38" s="212"/>
      <c r="II38" s="212"/>
      <c r="IJ38" s="212"/>
      <c r="IK38" s="212"/>
      <c r="IL38" s="212"/>
      <c r="IM38" s="212"/>
      <c r="IN38" s="212"/>
      <c r="IO38" s="212"/>
      <c r="IP38" s="212"/>
      <c r="IQ38" s="212"/>
      <c r="IR38" s="212"/>
      <c r="IS38" s="212"/>
      <c r="IT38" s="212"/>
      <c r="IU38" s="212"/>
      <c r="IV38" s="212"/>
      <c r="IW38" s="212"/>
      <c r="IX38" s="212"/>
      <c r="IY38" s="212"/>
      <c r="IZ38" s="212"/>
      <c r="JA38" s="212"/>
      <c r="JB38" s="212"/>
      <c r="JC38" s="212"/>
      <c r="JD38" s="212"/>
      <c r="JE38" s="212"/>
      <c r="JF38" s="212"/>
      <c r="JG38" s="212"/>
      <c r="JH38" s="212"/>
      <c r="JI38" s="212"/>
      <c r="JJ38" s="212"/>
      <c r="JK38" s="212"/>
      <c r="JL38" s="212"/>
      <c r="JM38" s="212"/>
      <c r="JN38" s="212"/>
      <c r="JO38" s="212"/>
      <c r="JP38" s="212"/>
      <c r="JQ38" s="212"/>
      <c r="JR38" s="212"/>
      <c r="JS38" s="212"/>
      <c r="JT38" s="212"/>
      <c r="JU38" s="212"/>
      <c r="JV38" s="212"/>
      <c r="JW38" s="212"/>
      <c r="JX38" s="212"/>
      <c r="JY38" s="212"/>
      <c r="JZ38" s="212"/>
      <c r="KA38" s="212"/>
      <c r="KB38" s="212"/>
      <c r="KC38" s="212"/>
      <c r="KD38" s="212"/>
      <c r="KE38" s="212"/>
      <c r="KF38" s="212"/>
      <c r="KG38" s="212"/>
      <c r="KH38" s="212"/>
      <c r="KI38" s="212"/>
      <c r="KJ38" s="212"/>
      <c r="KK38" s="212"/>
      <c r="KL38" s="212"/>
      <c r="KM38" s="212"/>
      <c r="KN38" s="212"/>
      <c r="KO38" s="212"/>
      <c r="KP38" s="212"/>
      <c r="KQ38" s="212"/>
      <c r="KR38" s="212"/>
      <c r="KS38" s="212"/>
      <c r="KT38" s="212"/>
      <c r="KU38" s="212"/>
      <c r="KV38" s="212"/>
      <c r="KW38" s="212"/>
      <c r="KX38" s="212"/>
      <c r="KY38" s="212"/>
      <c r="KZ38" s="212"/>
      <c r="LA38" s="212"/>
      <c r="LB38" s="212"/>
      <c r="LC38" s="212"/>
      <c r="LD38" s="212"/>
      <c r="LE38" s="212"/>
      <c r="LF38" s="212"/>
      <c r="LG38" s="212"/>
      <c r="LH38" s="212"/>
      <c r="LI38" s="212"/>
      <c r="LJ38" s="212"/>
      <c r="LK38" s="212"/>
      <c r="LL38" s="212"/>
      <c r="LM38" s="212"/>
      <c r="LN38" s="212"/>
      <c r="LO38" s="212"/>
      <c r="LP38" s="212"/>
      <c r="LQ38" s="212"/>
      <c r="LR38" s="212"/>
      <c r="LS38" s="212"/>
      <c r="LT38" s="212"/>
      <c r="LU38" s="212"/>
      <c r="LV38" s="212"/>
      <c r="LW38" s="212"/>
      <c r="LX38" s="212"/>
      <c r="LY38" s="212"/>
      <c r="LZ38" s="212"/>
      <c r="MA38" s="212"/>
      <c r="MB38" s="212"/>
      <c r="MC38" s="212"/>
      <c r="MD38" s="212"/>
      <c r="ME38" s="212"/>
      <c r="MF38" s="212"/>
      <c r="MG38" s="212"/>
      <c r="MH38" s="212"/>
      <c r="MI38" s="212"/>
      <c r="MJ38" s="212"/>
      <c r="MK38" s="212"/>
      <c r="ML38" s="212"/>
      <c r="MM38" s="212"/>
      <c r="MN38" s="212"/>
      <c r="MO38" s="212"/>
      <c r="MP38" s="212"/>
      <c r="MQ38" s="212"/>
      <c r="MR38" s="212"/>
      <c r="MS38" s="212"/>
      <c r="MT38" s="212"/>
      <c r="MU38" s="212"/>
      <c r="MV38" s="212"/>
      <c r="MW38" s="212"/>
      <c r="MX38" s="212"/>
      <c r="MY38" s="212"/>
      <c r="MZ38" s="212"/>
      <c r="NA38" s="212"/>
      <c r="NB38" s="212"/>
      <c r="NC38" s="212"/>
      <c r="ND38" s="212"/>
      <c r="NE38" s="212"/>
      <c r="NF38" s="212"/>
      <c r="NG38" s="212"/>
      <c r="NH38" s="212"/>
      <c r="NI38" s="212"/>
      <c r="NJ38" s="212"/>
      <c r="NK38" s="212"/>
      <c r="NL38" s="212"/>
      <c r="NM38" s="212"/>
      <c r="NN38" s="212"/>
      <c r="NO38" s="212"/>
      <c r="NP38" s="212"/>
      <c r="NQ38" s="212"/>
      <c r="NR38" s="212"/>
      <c r="NS38" s="212"/>
      <c r="NT38" s="212"/>
      <c r="NU38" s="212"/>
      <c r="NV38" s="212"/>
      <c r="NW38" s="212"/>
      <c r="NX38" s="212"/>
      <c r="NY38" s="212"/>
      <c r="NZ38" s="212"/>
      <c r="OA38" s="212"/>
      <c r="OB38" s="212"/>
      <c r="OC38" s="212"/>
      <c r="OD38" s="212"/>
      <c r="OE38" s="212"/>
      <c r="OF38" s="212"/>
      <c r="OG38" s="212"/>
      <c r="OH38" s="212"/>
      <c r="OI38" s="212"/>
      <c r="OJ38" s="212"/>
      <c r="OK38" s="212"/>
      <c r="OL38" s="212"/>
      <c r="OM38" s="212"/>
      <c r="ON38" s="212"/>
      <c r="OO38" s="212"/>
      <c r="OP38" s="212"/>
      <c r="OQ38" s="212"/>
      <c r="OR38" s="212"/>
      <c r="OS38" s="212"/>
      <c r="OT38" s="212"/>
      <c r="OU38" s="212"/>
      <c r="OV38" s="212"/>
      <c r="OW38" s="212"/>
      <c r="OX38" s="212"/>
      <c r="OY38" s="212"/>
      <c r="OZ38" s="212"/>
      <c r="PA38" s="212"/>
      <c r="PB38" s="212"/>
      <c r="PC38" s="212"/>
      <c r="PD38" s="212"/>
      <c r="PE38" s="212"/>
      <c r="PF38" s="212"/>
      <c r="PG38" s="212"/>
      <c r="PH38" s="212"/>
      <c r="PI38" s="212"/>
      <c r="PJ38" s="212"/>
      <c r="PK38" s="212"/>
      <c r="PL38" s="212"/>
      <c r="PM38" s="212"/>
      <c r="PN38" s="212"/>
      <c r="PO38" s="212"/>
      <c r="PP38" s="212"/>
      <c r="PQ38" s="212"/>
      <c r="PR38" s="212"/>
      <c r="PS38" s="212"/>
      <c r="PT38" s="212"/>
      <c r="PU38" s="212"/>
      <c r="PV38" s="212"/>
      <c r="PW38" s="212"/>
      <c r="PX38" s="212"/>
      <c r="PY38" s="212"/>
      <c r="PZ38" s="212"/>
      <c r="QA38" s="212"/>
      <c r="QB38" s="212"/>
      <c r="QC38" s="212"/>
      <c r="QD38" s="212"/>
      <c r="QE38" s="212"/>
      <c r="QF38" s="212"/>
      <c r="QG38" s="212"/>
      <c r="QH38" s="212"/>
      <c r="QI38" s="212"/>
      <c r="QJ38" s="212"/>
      <c r="QK38" s="212"/>
      <c r="QL38" s="212"/>
      <c r="QM38" s="212"/>
      <c r="QN38" s="212"/>
      <c r="QO38" s="212"/>
      <c r="QP38" s="212"/>
      <c r="QQ38" s="212"/>
      <c r="QR38" s="212"/>
      <c r="QS38" s="212"/>
      <c r="QT38" s="212"/>
      <c r="QU38" s="212"/>
      <c r="QV38" s="212"/>
      <c r="QW38" s="212"/>
      <c r="QX38" s="212"/>
      <c r="QY38" s="212"/>
      <c r="QZ38" s="212"/>
      <c r="RA38" s="212"/>
      <c r="RB38" s="212"/>
      <c r="RC38" s="212"/>
      <c r="RD38" s="212"/>
      <c r="RE38" s="212"/>
      <c r="RF38" s="212"/>
      <c r="RG38" s="212"/>
      <c r="RH38" s="212"/>
      <c r="RI38" s="212"/>
      <c r="RJ38" s="212"/>
      <c r="RK38" s="212"/>
      <c r="RL38" s="212"/>
      <c r="RM38" s="212"/>
      <c r="RN38" s="212"/>
      <c r="RO38" s="212"/>
      <c r="RP38" s="212"/>
      <c r="RQ38" s="212"/>
      <c r="RR38" s="212"/>
      <c r="RS38" s="212"/>
      <c r="RT38" s="212"/>
      <c r="RU38" s="212"/>
      <c r="RV38" s="212"/>
      <c r="RW38" s="212"/>
      <c r="RX38" s="212"/>
      <c r="RY38" s="212"/>
      <c r="RZ38" s="212"/>
      <c r="SA38" s="212"/>
      <c r="SB38" s="212"/>
      <c r="SC38" s="212"/>
      <c r="SD38" s="212"/>
      <c r="SE38" s="212"/>
      <c r="SF38" s="212"/>
      <c r="SG38" s="212"/>
      <c r="SH38" s="212"/>
      <c r="SI38" s="212"/>
      <c r="SJ38" s="212"/>
      <c r="SK38" s="212"/>
      <c r="SL38" s="212"/>
      <c r="SM38" s="212"/>
      <c r="SN38" s="212"/>
      <c r="SO38" s="212"/>
      <c r="SP38" s="212"/>
      <c r="SQ38" s="212"/>
      <c r="SR38" s="212"/>
      <c r="SS38" s="212"/>
      <c r="ST38" s="212"/>
      <c r="SU38" s="212"/>
      <c r="SV38" s="212"/>
      <c r="SW38" s="212"/>
      <c r="SX38" s="212"/>
      <c r="SY38" s="212"/>
      <c r="SZ38" s="212"/>
      <c r="TA38" s="212"/>
      <c r="TB38" s="212"/>
      <c r="TC38" s="212"/>
      <c r="TD38" s="212"/>
      <c r="TE38" s="212"/>
      <c r="TF38" s="212"/>
      <c r="TG38" s="212"/>
      <c r="TH38" s="212"/>
      <c r="TI38" s="212"/>
      <c r="TJ38" s="212"/>
      <c r="TK38" s="212"/>
      <c r="TL38" s="212"/>
      <c r="TM38" s="212"/>
      <c r="TN38" s="212"/>
      <c r="TO38" s="212"/>
      <c r="TP38" s="212"/>
      <c r="TQ38" s="212"/>
      <c r="TR38" s="212"/>
      <c r="TS38" s="212"/>
      <c r="TT38" s="212"/>
      <c r="TU38" s="212"/>
      <c r="TV38" s="212"/>
      <c r="TW38" s="212"/>
      <c r="TX38" s="212"/>
      <c r="TY38" s="212"/>
      <c r="TZ38" s="212"/>
      <c r="UA38" s="212"/>
      <c r="UB38" s="212"/>
      <c r="UC38" s="212"/>
      <c r="UD38" s="212"/>
      <c r="UE38" s="212"/>
      <c r="UF38" s="212"/>
      <c r="UG38" s="212"/>
      <c r="UH38" s="212"/>
      <c r="UI38" s="212"/>
      <c r="UJ38" s="212"/>
      <c r="UK38" s="212"/>
      <c r="UL38" s="212"/>
      <c r="UM38" s="212"/>
      <c r="UN38" s="212"/>
      <c r="UO38" s="212"/>
      <c r="UP38" s="212"/>
      <c r="UQ38" s="212"/>
      <c r="UR38" s="212"/>
      <c r="US38" s="212"/>
      <c r="UT38" s="194"/>
    </row>
    <row r="39" spans="2:566" ht="15.75" customHeight="1" x14ac:dyDescent="0.3">
      <c r="B39" s="117" t="s">
        <v>55</v>
      </c>
      <c r="C39" s="107" t="s">
        <v>181</v>
      </c>
      <c r="D39" s="102" t="str">
        <f t="shared" si="28"/>
        <v/>
      </c>
      <c r="E39" s="103" t="str">
        <f t="shared" si="29"/>
        <v/>
      </c>
      <c r="F39" s="212"/>
      <c r="G39" s="212"/>
      <c r="H39" s="212"/>
      <c r="I39" s="212"/>
      <c r="J39" s="212"/>
      <c r="K39" s="212"/>
      <c r="L39" s="212"/>
      <c r="M39" s="212"/>
      <c r="N39" s="212"/>
      <c r="O39" s="212"/>
      <c r="P39" s="213"/>
      <c r="Q39" s="213"/>
      <c r="R39" s="212"/>
      <c r="S39" s="212"/>
      <c r="T39" s="212"/>
      <c r="U39" s="212"/>
      <c r="V39" s="212"/>
      <c r="W39" s="213"/>
      <c r="X39" s="213"/>
      <c r="Y39" s="212"/>
      <c r="Z39" s="212"/>
      <c r="AA39" s="212"/>
      <c r="AB39" s="213"/>
      <c r="AC39" s="213"/>
      <c r="AD39" s="213"/>
      <c r="AE39" s="213"/>
      <c r="AF39" s="213"/>
      <c r="AG39" s="213"/>
      <c r="AH39" s="212"/>
      <c r="AI39" s="212"/>
      <c r="AJ39" s="212"/>
      <c r="AK39" s="213"/>
      <c r="AL39" s="213"/>
      <c r="AM39" s="212"/>
      <c r="AN39" s="212"/>
      <c r="AO39" s="212"/>
      <c r="AP39" s="212"/>
      <c r="AQ39" s="212"/>
      <c r="AR39" s="212"/>
      <c r="AS39" s="212"/>
      <c r="AT39" s="212"/>
      <c r="AU39" s="212"/>
      <c r="AV39" s="212"/>
      <c r="AW39" s="212"/>
      <c r="AX39" s="212"/>
      <c r="AY39" s="212"/>
      <c r="AZ39" s="212"/>
      <c r="BA39" s="212"/>
      <c r="BB39" s="212"/>
      <c r="BC39" s="212"/>
      <c r="BD39" s="212"/>
      <c r="BE39" s="212"/>
      <c r="BF39" s="212"/>
      <c r="BG39" s="212"/>
      <c r="BH39" s="212"/>
      <c r="BI39" s="212"/>
      <c r="BJ39" s="212"/>
      <c r="BK39" s="212"/>
      <c r="BL39" s="212"/>
      <c r="BM39" s="212"/>
      <c r="BN39" s="212"/>
      <c r="BO39" s="212"/>
      <c r="BP39" s="212"/>
      <c r="BQ39" s="212"/>
      <c r="BR39" s="212"/>
      <c r="BS39" s="212"/>
      <c r="BT39" s="212"/>
      <c r="BU39" s="212"/>
      <c r="BV39" s="212"/>
      <c r="BW39" s="212"/>
      <c r="BX39" s="212"/>
      <c r="BY39" s="212"/>
      <c r="BZ39" s="212"/>
      <c r="CA39" s="212"/>
      <c r="CB39" s="212"/>
      <c r="CC39" s="212"/>
      <c r="CD39" s="212"/>
      <c r="CE39" s="212"/>
      <c r="CF39" s="212"/>
      <c r="CG39" s="212"/>
      <c r="CH39" s="212"/>
      <c r="CI39" s="212"/>
      <c r="CJ39" s="212"/>
      <c r="CK39" s="212"/>
      <c r="CL39" s="212"/>
      <c r="CM39" s="212"/>
      <c r="CN39" s="212"/>
      <c r="CO39" s="212"/>
      <c r="CP39" s="212"/>
      <c r="CQ39" s="212"/>
      <c r="CR39" s="212"/>
      <c r="CS39" s="212"/>
      <c r="CT39" s="212"/>
      <c r="CU39" s="212"/>
      <c r="CV39" s="212"/>
      <c r="CW39" s="212"/>
      <c r="CX39" s="212"/>
      <c r="CY39" s="212"/>
      <c r="CZ39" s="212"/>
      <c r="DA39" s="212"/>
      <c r="DB39" s="212"/>
      <c r="DC39" s="212"/>
      <c r="DD39" s="212"/>
      <c r="DE39" s="212"/>
      <c r="DF39" s="212"/>
      <c r="DG39" s="212"/>
      <c r="DH39" s="212"/>
      <c r="DI39" s="212"/>
      <c r="DJ39" s="212"/>
      <c r="DK39" s="212"/>
      <c r="DL39" s="212"/>
      <c r="DM39" s="212"/>
      <c r="DN39" s="212"/>
      <c r="DO39" s="212"/>
      <c r="DP39" s="212"/>
      <c r="DQ39" s="212"/>
      <c r="DR39" s="212"/>
      <c r="DS39" s="212"/>
      <c r="DT39" s="212"/>
      <c r="DU39" s="212"/>
      <c r="DV39" s="212"/>
      <c r="DW39" s="212"/>
      <c r="DX39" s="212"/>
      <c r="DY39" s="212"/>
      <c r="DZ39" s="212"/>
      <c r="EA39" s="212"/>
      <c r="EB39" s="214"/>
      <c r="EC39" s="212"/>
      <c r="ED39" s="212"/>
      <c r="EE39" s="212"/>
      <c r="EF39" s="212"/>
      <c r="EG39" s="212"/>
      <c r="EH39" s="212"/>
      <c r="EI39" s="212"/>
      <c r="EJ39" s="212"/>
      <c r="EK39" s="212"/>
      <c r="EL39" s="212"/>
      <c r="EM39" s="212"/>
      <c r="EN39" s="212"/>
      <c r="EO39" s="212"/>
      <c r="EP39" s="212"/>
      <c r="EQ39" s="212"/>
      <c r="ER39" s="212"/>
      <c r="ES39" s="212"/>
      <c r="ET39" s="212"/>
      <c r="EU39" s="212"/>
      <c r="EV39" s="212"/>
      <c r="EW39" s="212"/>
      <c r="EX39" s="212"/>
      <c r="EY39" s="212"/>
      <c r="EZ39" s="212"/>
      <c r="FA39" s="212"/>
      <c r="FB39" s="212"/>
      <c r="FC39" s="212"/>
      <c r="FD39" s="212"/>
      <c r="FE39" s="212"/>
      <c r="FF39" s="212"/>
      <c r="FG39" s="212"/>
      <c r="FH39" s="212"/>
      <c r="FI39" s="212"/>
      <c r="FJ39" s="212"/>
      <c r="FK39" s="212"/>
      <c r="FL39" s="212"/>
      <c r="FM39" s="212"/>
      <c r="FN39" s="212"/>
      <c r="FO39" s="212"/>
      <c r="FP39" s="212"/>
      <c r="FQ39" s="212"/>
      <c r="FR39" s="212"/>
      <c r="FS39" s="212"/>
      <c r="FT39" s="212"/>
      <c r="FU39" s="212"/>
      <c r="FV39" s="212"/>
      <c r="FW39" s="212"/>
      <c r="FX39" s="212"/>
      <c r="FY39" s="212"/>
      <c r="FZ39" s="212"/>
      <c r="GA39" s="212"/>
      <c r="GB39" s="212"/>
      <c r="GC39" s="212"/>
      <c r="GD39" s="212"/>
      <c r="GE39" s="212"/>
      <c r="GF39" s="212"/>
      <c r="GG39" s="212"/>
      <c r="GH39" s="212"/>
      <c r="GI39" s="212"/>
      <c r="GJ39" s="212"/>
      <c r="GK39" s="212"/>
      <c r="GL39" s="212"/>
      <c r="GM39" s="212"/>
      <c r="GN39" s="212"/>
      <c r="GO39" s="212"/>
      <c r="GP39" s="212"/>
      <c r="GQ39" s="212"/>
      <c r="GR39" s="212"/>
      <c r="GS39" s="212"/>
      <c r="GT39" s="212"/>
      <c r="GU39" s="212"/>
      <c r="GV39" s="212"/>
      <c r="GW39" s="212"/>
      <c r="GX39" s="212"/>
      <c r="GY39" s="212"/>
      <c r="GZ39" s="212"/>
      <c r="HA39" s="212"/>
      <c r="HB39" s="212"/>
      <c r="HC39" s="212"/>
      <c r="HD39" s="212"/>
      <c r="HE39" s="212"/>
      <c r="HF39" s="212"/>
      <c r="HG39" s="212"/>
      <c r="HH39" s="212"/>
      <c r="HI39" s="212"/>
      <c r="HJ39" s="212"/>
      <c r="HK39" s="212"/>
      <c r="HL39" s="212"/>
      <c r="HM39" s="212"/>
      <c r="HN39" s="212"/>
      <c r="HO39" s="212"/>
      <c r="HP39" s="212"/>
      <c r="HQ39" s="212"/>
      <c r="HR39" s="212"/>
      <c r="HS39" s="212"/>
      <c r="HT39" s="212"/>
      <c r="HU39" s="212"/>
      <c r="HV39" s="212"/>
      <c r="HW39" s="212"/>
      <c r="HX39" s="212"/>
      <c r="HY39" s="212"/>
      <c r="HZ39" s="212"/>
      <c r="IA39" s="212"/>
      <c r="IB39" s="212"/>
      <c r="IC39" s="212"/>
      <c r="ID39" s="212"/>
      <c r="IE39" s="212"/>
      <c r="IF39" s="212"/>
      <c r="IG39" s="212"/>
      <c r="IH39" s="212"/>
      <c r="II39" s="212"/>
      <c r="IJ39" s="212"/>
      <c r="IK39" s="212"/>
      <c r="IL39" s="212"/>
      <c r="IM39" s="212"/>
      <c r="IN39" s="212"/>
      <c r="IO39" s="212"/>
      <c r="IP39" s="212"/>
      <c r="IQ39" s="212"/>
      <c r="IR39" s="212"/>
      <c r="IS39" s="212"/>
      <c r="IT39" s="212"/>
      <c r="IU39" s="212"/>
      <c r="IV39" s="212"/>
      <c r="IW39" s="212"/>
      <c r="IX39" s="212"/>
      <c r="IY39" s="212"/>
      <c r="IZ39" s="212"/>
      <c r="JA39" s="212"/>
      <c r="JB39" s="212"/>
      <c r="JC39" s="212"/>
      <c r="JD39" s="212"/>
      <c r="JE39" s="212"/>
      <c r="JF39" s="212"/>
      <c r="JG39" s="212"/>
      <c r="JH39" s="212"/>
      <c r="JI39" s="212"/>
      <c r="JJ39" s="212"/>
      <c r="JK39" s="212"/>
      <c r="JL39" s="212"/>
      <c r="JM39" s="212"/>
      <c r="JN39" s="212"/>
      <c r="JO39" s="212"/>
      <c r="JP39" s="212"/>
      <c r="JQ39" s="212"/>
      <c r="JR39" s="212"/>
      <c r="JS39" s="212"/>
      <c r="JT39" s="212"/>
      <c r="JU39" s="212"/>
      <c r="JV39" s="212"/>
      <c r="JW39" s="212"/>
      <c r="JX39" s="212"/>
      <c r="JY39" s="212"/>
      <c r="JZ39" s="212"/>
      <c r="KA39" s="212"/>
      <c r="KB39" s="212"/>
      <c r="KC39" s="212"/>
      <c r="KD39" s="212"/>
      <c r="KE39" s="212"/>
      <c r="KF39" s="212"/>
      <c r="KG39" s="212"/>
      <c r="KH39" s="212"/>
      <c r="KI39" s="212"/>
      <c r="KJ39" s="212"/>
      <c r="KK39" s="212"/>
      <c r="KL39" s="212"/>
      <c r="KM39" s="212"/>
      <c r="KN39" s="212"/>
      <c r="KO39" s="212"/>
      <c r="KP39" s="212"/>
      <c r="KQ39" s="212"/>
      <c r="KR39" s="212"/>
      <c r="KS39" s="212"/>
      <c r="KT39" s="212"/>
      <c r="KU39" s="212"/>
      <c r="KV39" s="212"/>
      <c r="KW39" s="212"/>
      <c r="KX39" s="212"/>
      <c r="KY39" s="212"/>
      <c r="KZ39" s="212"/>
      <c r="LA39" s="212"/>
      <c r="LB39" s="212"/>
      <c r="LC39" s="212"/>
      <c r="LD39" s="212"/>
      <c r="LE39" s="212"/>
      <c r="LF39" s="212"/>
      <c r="LG39" s="212"/>
      <c r="LH39" s="212"/>
      <c r="LI39" s="212"/>
      <c r="LJ39" s="212"/>
      <c r="LK39" s="212"/>
      <c r="LL39" s="212"/>
      <c r="LM39" s="212"/>
      <c r="LN39" s="212"/>
      <c r="LO39" s="212"/>
      <c r="LP39" s="212"/>
      <c r="LQ39" s="212"/>
      <c r="LR39" s="212"/>
      <c r="LS39" s="212"/>
      <c r="LT39" s="212"/>
      <c r="LU39" s="212"/>
      <c r="LV39" s="212"/>
      <c r="LW39" s="212"/>
      <c r="LX39" s="212"/>
      <c r="LY39" s="212"/>
      <c r="LZ39" s="212"/>
      <c r="MA39" s="212"/>
      <c r="MB39" s="212"/>
      <c r="MC39" s="212"/>
      <c r="MD39" s="212"/>
      <c r="ME39" s="212"/>
      <c r="MF39" s="212"/>
      <c r="MG39" s="212"/>
      <c r="MH39" s="212"/>
      <c r="MI39" s="212"/>
      <c r="MJ39" s="212"/>
      <c r="MK39" s="212"/>
      <c r="ML39" s="212"/>
      <c r="MM39" s="212"/>
      <c r="MN39" s="212"/>
      <c r="MO39" s="212"/>
      <c r="MP39" s="212"/>
      <c r="MQ39" s="212"/>
      <c r="MR39" s="212"/>
      <c r="MS39" s="212"/>
      <c r="MT39" s="212"/>
      <c r="MU39" s="212"/>
      <c r="MV39" s="212"/>
      <c r="MW39" s="212"/>
      <c r="MX39" s="212"/>
      <c r="MY39" s="212"/>
      <c r="MZ39" s="212"/>
      <c r="NA39" s="212"/>
      <c r="NB39" s="212"/>
      <c r="NC39" s="212"/>
      <c r="ND39" s="212"/>
      <c r="NE39" s="212"/>
      <c r="NF39" s="212"/>
      <c r="NG39" s="212"/>
      <c r="NH39" s="212"/>
      <c r="NI39" s="212"/>
      <c r="NJ39" s="212"/>
      <c r="NK39" s="212"/>
      <c r="NL39" s="212"/>
      <c r="NM39" s="212"/>
      <c r="NN39" s="212"/>
      <c r="NO39" s="212"/>
      <c r="NP39" s="212"/>
      <c r="NQ39" s="212"/>
      <c r="NR39" s="212"/>
      <c r="NS39" s="212"/>
      <c r="NT39" s="212"/>
      <c r="NU39" s="212"/>
      <c r="NV39" s="212"/>
      <c r="NW39" s="212"/>
      <c r="NX39" s="212"/>
      <c r="NY39" s="212"/>
      <c r="NZ39" s="212"/>
      <c r="OA39" s="212"/>
      <c r="OB39" s="212"/>
      <c r="OC39" s="212"/>
      <c r="OD39" s="212"/>
      <c r="OE39" s="212"/>
      <c r="OF39" s="212"/>
      <c r="OG39" s="212"/>
      <c r="OH39" s="212"/>
      <c r="OI39" s="212"/>
      <c r="OJ39" s="212"/>
      <c r="OK39" s="212"/>
      <c r="OL39" s="212"/>
      <c r="OM39" s="212"/>
      <c r="ON39" s="212"/>
      <c r="OO39" s="212"/>
      <c r="OP39" s="212"/>
      <c r="OQ39" s="212"/>
      <c r="OR39" s="212"/>
      <c r="OS39" s="212"/>
      <c r="OT39" s="212"/>
      <c r="OU39" s="212"/>
      <c r="OV39" s="212"/>
      <c r="OW39" s="212"/>
      <c r="OX39" s="212"/>
      <c r="OY39" s="212"/>
      <c r="OZ39" s="212"/>
      <c r="PA39" s="212"/>
      <c r="PB39" s="212"/>
      <c r="PC39" s="212"/>
      <c r="PD39" s="212"/>
      <c r="PE39" s="212"/>
      <c r="PF39" s="212"/>
      <c r="PG39" s="212"/>
      <c r="PH39" s="212"/>
      <c r="PI39" s="212"/>
      <c r="PJ39" s="212"/>
      <c r="PK39" s="212"/>
      <c r="PL39" s="212"/>
      <c r="PM39" s="212"/>
      <c r="PN39" s="212"/>
      <c r="PO39" s="212"/>
      <c r="PP39" s="212"/>
      <c r="PQ39" s="212"/>
      <c r="PR39" s="212"/>
      <c r="PS39" s="212"/>
      <c r="PT39" s="212"/>
      <c r="PU39" s="212"/>
      <c r="PV39" s="212"/>
      <c r="PW39" s="212"/>
      <c r="PX39" s="212"/>
      <c r="PY39" s="212"/>
      <c r="PZ39" s="212"/>
      <c r="QA39" s="212"/>
      <c r="QB39" s="212"/>
      <c r="QC39" s="212"/>
      <c r="QD39" s="212"/>
      <c r="QE39" s="212"/>
      <c r="QF39" s="212"/>
      <c r="QG39" s="212"/>
      <c r="QH39" s="212"/>
      <c r="QI39" s="212"/>
      <c r="QJ39" s="212"/>
      <c r="QK39" s="212"/>
      <c r="QL39" s="212"/>
      <c r="QM39" s="212"/>
      <c r="QN39" s="212"/>
      <c r="QO39" s="212"/>
      <c r="QP39" s="212"/>
      <c r="QQ39" s="212"/>
      <c r="QR39" s="212"/>
      <c r="QS39" s="212"/>
      <c r="QT39" s="212"/>
      <c r="QU39" s="212"/>
      <c r="QV39" s="212"/>
      <c r="QW39" s="212"/>
      <c r="QX39" s="212"/>
      <c r="QY39" s="212"/>
      <c r="QZ39" s="212"/>
      <c r="RA39" s="212"/>
      <c r="RB39" s="212"/>
      <c r="RC39" s="212"/>
      <c r="RD39" s="212"/>
      <c r="RE39" s="212"/>
      <c r="RF39" s="212"/>
      <c r="RG39" s="212"/>
      <c r="RH39" s="212"/>
      <c r="RI39" s="212"/>
      <c r="RJ39" s="212"/>
      <c r="RK39" s="212"/>
      <c r="RL39" s="212"/>
      <c r="RM39" s="212"/>
      <c r="RN39" s="212"/>
      <c r="RO39" s="212"/>
      <c r="RP39" s="212"/>
      <c r="RQ39" s="212"/>
      <c r="RR39" s="212"/>
      <c r="RS39" s="212"/>
      <c r="RT39" s="212"/>
      <c r="RU39" s="212"/>
      <c r="RV39" s="212"/>
      <c r="RW39" s="212"/>
      <c r="RX39" s="212"/>
      <c r="RY39" s="212"/>
      <c r="RZ39" s="212"/>
      <c r="SA39" s="212"/>
      <c r="SB39" s="212"/>
      <c r="SC39" s="212"/>
      <c r="SD39" s="212"/>
      <c r="SE39" s="212"/>
      <c r="SF39" s="212"/>
      <c r="SG39" s="212"/>
      <c r="SH39" s="212"/>
      <c r="SI39" s="212"/>
      <c r="SJ39" s="212"/>
      <c r="SK39" s="212"/>
      <c r="SL39" s="212"/>
      <c r="SM39" s="212"/>
      <c r="SN39" s="212"/>
      <c r="SO39" s="212"/>
      <c r="SP39" s="212"/>
      <c r="SQ39" s="212"/>
      <c r="SR39" s="212"/>
      <c r="SS39" s="212"/>
      <c r="ST39" s="212"/>
      <c r="SU39" s="212"/>
      <c r="SV39" s="212"/>
      <c r="SW39" s="212"/>
      <c r="SX39" s="212"/>
      <c r="SY39" s="212"/>
      <c r="SZ39" s="212"/>
      <c r="TA39" s="212"/>
      <c r="TB39" s="212"/>
      <c r="TC39" s="212"/>
      <c r="TD39" s="212"/>
      <c r="TE39" s="212"/>
      <c r="TF39" s="212"/>
      <c r="TG39" s="212"/>
      <c r="TH39" s="212"/>
      <c r="TI39" s="212"/>
      <c r="TJ39" s="212"/>
      <c r="TK39" s="212"/>
      <c r="TL39" s="212"/>
      <c r="TM39" s="212"/>
      <c r="TN39" s="212"/>
      <c r="TO39" s="212"/>
      <c r="TP39" s="212"/>
      <c r="TQ39" s="212"/>
      <c r="TR39" s="212"/>
      <c r="TS39" s="212"/>
      <c r="TT39" s="212"/>
      <c r="TU39" s="212"/>
      <c r="TV39" s="212"/>
      <c r="TW39" s="212"/>
      <c r="TX39" s="212"/>
      <c r="TY39" s="212"/>
      <c r="TZ39" s="212"/>
      <c r="UA39" s="212"/>
      <c r="UB39" s="212"/>
      <c r="UC39" s="212"/>
      <c r="UD39" s="212"/>
      <c r="UE39" s="212"/>
      <c r="UF39" s="212"/>
      <c r="UG39" s="212"/>
      <c r="UH39" s="212"/>
      <c r="UI39" s="212"/>
      <c r="UJ39" s="212"/>
      <c r="UK39" s="212"/>
      <c r="UL39" s="212"/>
      <c r="UM39" s="212"/>
      <c r="UN39" s="212"/>
      <c r="UO39" s="212"/>
      <c r="UP39" s="212"/>
      <c r="UQ39" s="212"/>
      <c r="UR39" s="212"/>
      <c r="US39" s="212"/>
      <c r="UT39" s="194"/>
    </row>
    <row r="40" spans="2:566" ht="15.75" customHeight="1" x14ac:dyDescent="0.3">
      <c r="B40" s="117" t="s">
        <v>54</v>
      </c>
      <c r="C40" s="107" t="s">
        <v>182</v>
      </c>
      <c r="D40" s="102" t="str">
        <f t="shared" si="28"/>
        <v/>
      </c>
      <c r="E40" s="103" t="str">
        <f t="shared" si="29"/>
        <v/>
      </c>
      <c r="F40" s="212"/>
      <c r="G40" s="212"/>
      <c r="H40" s="212"/>
      <c r="I40" s="212"/>
      <c r="J40" s="212"/>
      <c r="K40" s="212"/>
      <c r="L40" s="212"/>
      <c r="M40" s="212"/>
      <c r="N40" s="212"/>
      <c r="O40" s="212"/>
      <c r="P40" s="213"/>
      <c r="Q40" s="213"/>
      <c r="R40" s="212"/>
      <c r="S40" s="212"/>
      <c r="T40" s="212"/>
      <c r="U40" s="212"/>
      <c r="V40" s="212"/>
      <c r="W40" s="213"/>
      <c r="X40" s="213"/>
      <c r="Y40" s="212"/>
      <c r="Z40" s="212"/>
      <c r="AA40" s="212"/>
      <c r="AB40" s="213"/>
      <c r="AC40" s="213"/>
      <c r="AD40" s="213"/>
      <c r="AE40" s="213"/>
      <c r="AF40" s="213"/>
      <c r="AG40" s="213"/>
      <c r="AH40" s="212"/>
      <c r="AI40" s="212"/>
      <c r="AJ40" s="212"/>
      <c r="AK40" s="213"/>
      <c r="AL40" s="213"/>
      <c r="AM40" s="212"/>
      <c r="AN40" s="212"/>
      <c r="AO40" s="212"/>
      <c r="AP40" s="212"/>
      <c r="AQ40" s="212"/>
      <c r="AR40" s="212"/>
      <c r="AS40" s="212"/>
      <c r="AT40" s="212"/>
      <c r="AU40" s="212"/>
      <c r="AV40" s="212"/>
      <c r="AW40" s="212"/>
      <c r="AX40" s="212"/>
      <c r="AY40" s="212"/>
      <c r="AZ40" s="212"/>
      <c r="BA40" s="212"/>
      <c r="BB40" s="212"/>
      <c r="BC40" s="212"/>
      <c r="BD40" s="212"/>
      <c r="BE40" s="212"/>
      <c r="BF40" s="212"/>
      <c r="BG40" s="212"/>
      <c r="BH40" s="212"/>
      <c r="BI40" s="212"/>
      <c r="BJ40" s="212"/>
      <c r="BK40" s="212"/>
      <c r="BL40" s="212"/>
      <c r="BM40" s="212"/>
      <c r="BN40" s="212"/>
      <c r="BO40" s="212"/>
      <c r="BP40" s="212"/>
      <c r="BQ40" s="212"/>
      <c r="BR40" s="212"/>
      <c r="BS40" s="212"/>
      <c r="BT40" s="212"/>
      <c r="BU40" s="212"/>
      <c r="BV40" s="212"/>
      <c r="BW40" s="212"/>
      <c r="BX40" s="212"/>
      <c r="BY40" s="212"/>
      <c r="BZ40" s="212"/>
      <c r="CA40" s="212"/>
      <c r="CB40" s="212"/>
      <c r="CC40" s="212"/>
      <c r="CD40" s="212"/>
      <c r="CE40" s="212"/>
      <c r="CF40" s="212"/>
      <c r="CG40" s="212"/>
      <c r="CH40" s="212"/>
      <c r="CI40" s="212"/>
      <c r="CJ40" s="212"/>
      <c r="CK40" s="212"/>
      <c r="CL40" s="212"/>
      <c r="CM40" s="212"/>
      <c r="CN40" s="212"/>
      <c r="CO40" s="212"/>
      <c r="CP40" s="212"/>
      <c r="CQ40" s="212"/>
      <c r="CR40" s="212"/>
      <c r="CS40" s="212"/>
      <c r="CT40" s="212"/>
      <c r="CU40" s="212"/>
      <c r="CV40" s="212"/>
      <c r="CW40" s="212"/>
      <c r="CX40" s="212"/>
      <c r="CY40" s="212"/>
      <c r="CZ40" s="212"/>
      <c r="DA40" s="212"/>
      <c r="DB40" s="212"/>
      <c r="DC40" s="212"/>
      <c r="DD40" s="212"/>
      <c r="DE40" s="212"/>
      <c r="DF40" s="212"/>
      <c r="DG40" s="212"/>
      <c r="DH40" s="212"/>
      <c r="DI40" s="212"/>
      <c r="DJ40" s="212"/>
      <c r="DK40" s="212"/>
      <c r="DL40" s="212"/>
      <c r="DM40" s="212"/>
      <c r="DN40" s="212"/>
      <c r="DO40" s="212"/>
      <c r="DP40" s="212"/>
      <c r="DQ40" s="212"/>
      <c r="DR40" s="212"/>
      <c r="DS40" s="212"/>
      <c r="DT40" s="212"/>
      <c r="DU40" s="212"/>
      <c r="DV40" s="212"/>
      <c r="DW40" s="212"/>
      <c r="DX40" s="212"/>
      <c r="DY40" s="212"/>
      <c r="DZ40" s="212"/>
      <c r="EA40" s="212"/>
      <c r="EB40" s="214"/>
      <c r="EC40" s="212"/>
      <c r="ED40" s="212"/>
      <c r="EE40" s="212"/>
      <c r="EF40" s="212"/>
      <c r="EG40" s="212"/>
      <c r="EH40" s="212"/>
      <c r="EI40" s="212"/>
      <c r="EJ40" s="212"/>
      <c r="EK40" s="212"/>
      <c r="EL40" s="212"/>
      <c r="EM40" s="212"/>
      <c r="EN40" s="212"/>
      <c r="EO40" s="212"/>
      <c r="EP40" s="212"/>
      <c r="EQ40" s="212"/>
      <c r="ER40" s="212"/>
      <c r="ES40" s="212"/>
      <c r="ET40" s="212"/>
      <c r="EU40" s="212"/>
      <c r="EV40" s="212"/>
      <c r="EW40" s="212"/>
      <c r="EX40" s="212"/>
      <c r="EY40" s="212"/>
      <c r="EZ40" s="212"/>
      <c r="FA40" s="212"/>
      <c r="FB40" s="212"/>
      <c r="FC40" s="212"/>
      <c r="FD40" s="212"/>
      <c r="FE40" s="212"/>
      <c r="FF40" s="212"/>
      <c r="FG40" s="212"/>
      <c r="FH40" s="212"/>
      <c r="FI40" s="212"/>
      <c r="FJ40" s="212"/>
      <c r="FK40" s="212"/>
      <c r="FL40" s="212"/>
      <c r="FM40" s="212"/>
      <c r="FN40" s="212"/>
      <c r="FO40" s="212"/>
      <c r="FP40" s="212"/>
      <c r="FQ40" s="212"/>
      <c r="FR40" s="212"/>
      <c r="FS40" s="212"/>
      <c r="FT40" s="212"/>
      <c r="FU40" s="212"/>
      <c r="FV40" s="212"/>
      <c r="FW40" s="212"/>
      <c r="FX40" s="212"/>
      <c r="FY40" s="212"/>
      <c r="FZ40" s="212"/>
      <c r="GA40" s="212"/>
      <c r="GB40" s="212"/>
      <c r="GC40" s="212"/>
      <c r="GD40" s="212"/>
      <c r="GE40" s="212"/>
      <c r="GF40" s="212"/>
      <c r="GG40" s="212"/>
      <c r="GH40" s="212"/>
      <c r="GI40" s="212"/>
      <c r="GJ40" s="212"/>
      <c r="GK40" s="212"/>
      <c r="GL40" s="212"/>
      <c r="GM40" s="212"/>
      <c r="GN40" s="212"/>
      <c r="GO40" s="212"/>
      <c r="GP40" s="212"/>
      <c r="GQ40" s="212"/>
      <c r="GR40" s="212"/>
      <c r="GS40" s="212"/>
      <c r="GT40" s="212"/>
      <c r="GU40" s="212"/>
      <c r="GV40" s="212"/>
      <c r="GW40" s="212"/>
      <c r="GX40" s="212"/>
      <c r="GY40" s="212"/>
      <c r="GZ40" s="212"/>
      <c r="HA40" s="212"/>
      <c r="HB40" s="212"/>
      <c r="HC40" s="212"/>
      <c r="HD40" s="212"/>
      <c r="HE40" s="212"/>
      <c r="HF40" s="212"/>
      <c r="HG40" s="212"/>
      <c r="HH40" s="212"/>
      <c r="HI40" s="212"/>
      <c r="HJ40" s="212"/>
      <c r="HK40" s="212"/>
      <c r="HL40" s="212"/>
      <c r="HM40" s="212"/>
      <c r="HN40" s="212"/>
      <c r="HO40" s="212"/>
      <c r="HP40" s="212"/>
      <c r="HQ40" s="212"/>
      <c r="HR40" s="212"/>
      <c r="HS40" s="212"/>
      <c r="HT40" s="212"/>
      <c r="HU40" s="212"/>
      <c r="HV40" s="212"/>
      <c r="HW40" s="212"/>
      <c r="HX40" s="212"/>
      <c r="HY40" s="212"/>
      <c r="HZ40" s="212"/>
      <c r="IA40" s="212"/>
      <c r="IB40" s="212"/>
      <c r="IC40" s="212"/>
      <c r="ID40" s="212"/>
      <c r="IE40" s="212"/>
      <c r="IF40" s="212"/>
      <c r="IG40" s="212"/>
      <c r="IH40" s="212"/>
      <c r="II40" s="212"/>
      <c r="IJ40" s="212"/>
      <c r="IK40" s="212"/>
      <c r="IL40" s="212"/>
      <c r="IM40" s="212"/>
      <c r="IN40" s="212"/>
      <c r="IO40" s="212"/>
      <c r="IP40" s="212"/>
      <c r="IQ40" s="212"/>
      <c r="IR40" s="212"/>
      <c r="IS40" s="212"/>
      <c r="IT40" s="212"/>
      <c r="IU40" s="212"/>
      <c r="IV40" s="212"/>
      <c r="IW40" s="212"/>
      <c r="IX40" s="212"/>
      <c r="IY40" s="212"/>
      <c r="IZ40" s="212"/>
      <c r="JA40" s="212"/>
      <c r="JB40" s="212"/>
      <c r="JC40" s="212"/>
      <c r="JD40" s="212"/>
      <c r="JE40" s="212"/>
      <c r="JF40" s="212"/>
      <c r="JG40" s="212"/>
      <c r="JH40" s="212"/>
      <c r="JI40" s="212"/>
      <c r="JJ40" s="212"/>
      <c r="JK40" s="212"/>
      <c r="JL40" s="212"/>
      <c r="JM40" s="212"/>
      <c r="JN40" s="212"/>
      <c r="JO40" s="212"/>
      <c r="JP40" s="212"/>
      <c r="JQ40" s="212"/>
      <c r="JR40" s="212"/>
      <c r="JS40" s="212"/>
      <c r="JT40" s="212"/>
      <c r="JU40" s="212"/>
      <c r="JV40" s="212"/>
      <c r="JW40" s="212"/>
      <c r="JX40" s="212"/>
      <c r="JY40" s="212"/>
      <c r="JZ40" s="212"/>
      <c r="KA40" s="212"/>
      <c r="KB40" s="212"/>
      <c r="KC40" s="212"/>
      <c r="KD40" s="212"/>
      <c r="KE40" s="212"/>
      <c r="KF40" s="212"/>
      <c r="KG40" s="212"/>
      <c r="KH40" s="212"/>
      <c r="KI40" s="212"/>
      <c r="KJ40" s="212"/>
      <c r="KK40" s="212"/>
      <c r="KL40" s="212"/>
      <c r="KM40" s="212"/>
      <c r="KN40" s="212"/>
      <c r="KO40" s="212"/>
      <c r="KP40" s="212"/>
      <c r="KQ40" s="212"/>
      <c r="KR40" s="212"/>
      <c r="KS40" s="212"/>
      <c r="KT40" s="212"/>
      <c r="KU40" s="212"/>
      <c r="KV40" s="212"/>
      <c r="KW40" s="212"/>
      <c r="KX40" s="212"/>
      <c r="KY40" s="212"/>
      <c r="KZ40" s="212"/>
      <c r="LA40" s="212"/>
      <c r="LB40" s="212"/>
      <c r="LC40" s="212"/>
      <c r="LD40" s="212"/>
      <c r="LE40" s="212"/>
      <c r="LF40" s="212"/>
      <c r="LG40" s="212"/>
      <c r="LH40" s="212"/>
      <c r="LI40" s="212"/>
      <c r="LJ40" s="212"/>
      <c r="LK40" s="212"/>
      <c r="LL40" s="212"/>
      <c r="LM40" s="212"/>
      <c r="LN40" s="212"/>
      <c r="LO40" s="212"/>
      <c r="LP40" s="212"/>
      <c r="LQ40" s="212"/>
      <c r="LR40" s="212"/>
      <c r="LS40" s="212"/>
      <c r="LT40" s="212"/>
      <c r="LU40" s="212"/>
      <c r="LV40" s="212"/>
      <c r="LW40" s="212"/>
      <c r="LX40" s="212"/>
      <c r="LY40" s="212"/>
      <c r="LZ40" s="212"/>
      <c r="MA40" s="212"/>
      <c r="MB40" s="212"/>
      <c r="MC40" s="212"/>
      <c r="MD40" s="212"/>
      <c r="ME40" s="212"/>
      <c r="MF40" s="212"/>
      <c r="MG40" s="212"/>
      <c r="MH40" s="212"/>
      <c r="MI40" s="212"/>
      <c r="MJ40" s="212"/>
      <c r="MK40" s="212"/>
      <c r="ML40" s="212"/>
      <c r="MM40" s="212"/>
      <c r="MN40" s="212"/>
      <c r="MO40" s="212"/>
      <c r="MP40" s="212"/>
      <c r="MQ40" s="212"/>
      <c r="MR40" s="212"/>
      <c r="MS40" s="212"/>
      <c r="MT40" s="212"/>
      <c r="MU40" s="212"/>
      <c r="MV40" s="212"/>
      <c r="MW40" s="212"/>
      <c r="MX40" s="212"/>
      <c r="MY40" s="212"/>
      <c r="MZ40" s="212"/>
      <c r="NA40" s="212"/>
      <c r="NB40" s="212"/>
      <c r="NC40" s="212"/>
      <c r="ND40" s="212"/>
      <c r="NE40" s="212"/>
      <c r="NF40" s="212"/>
      <c r="NG40" s="212"/>
      <c r="NH40" s="212"/>
      <c r="NI40" s="212"/>
      <c r="NJ40" s="212"/>
      <c r="NK40" s="212"/>
      <c r="NL40" s="212"/>
      <c r="NM40" s="212"/>
      <c r="NN40" s="212"/>
      <c r="NO40" s="212"/>
      <c r="NP40" s="212"/>
      <c r="NQ40" s="212"/>
      <c r="NR40" s="212"/>
      <c r="NS40" s="212"/>
      <c r="NT40" s="212"/>
      <c r="NU40" s="212"/>
      <c r="NV40" s="212"/>
      <c r="NW40" s="212"/>
      <c r="NX40" s="212"/>
      <c r="NY40" s="212"/>
      <c r="NZ40" s="212"/>
      <c r="OA40" s="212"/>
      <c r="OB40" s="212"/>
      <c r="OC40" s="212"/>
      <c r="OD40" s="212"/>
      <c r="OE40" s="212"/>
      <c r="OF40" s="212"/>
      <c r="OG40" s="212"/>
      <c r="OH40" s="212"/>
      <c r="OI40" s="212"/>
      <c r="OJ40" s="212"/>
      <c r="OK40" s="212"/>
      <c r="OL40" s="212"/>
      <c r="OM40" s="212"/>
      <c r="ON40" s="212"/>
      <c r="OO40" s="212"/>
      <c r="OP40" s="212"/>
      <c r="OQ40" s="212"/>
      <c r="OR40" s="212"/>
      <c r="OS40" s="212"/>
      <c r="OT40" s="212"/>
      <c r="OU40" s="212"/>
      <c r="OV40" s="212"/>
      <c r="OW40" s="212"/>
      <c r="OX40" s="212"/>
      <c r="OY40" s="212"/>
      <c r="OZ40" s="212"/>
      <c r="PA40" s="212"/>
      <c r="PB40" s="212"/>
      <c r="PC40" s="212"/>
      <c r="PD40" s="212"/>
      <c r="PE40" s="212"/>
      <c r="PF40" s="212"/>
      <c r="PG40" s="212"/>
      <c r="PH40" s="212"/>
      <c r="PI40" s="212"/>
      <c r="PJ40" s="212"/>
      <c r="PK40" s="212"/>
      <c r="PL40" s="212"/>
      <c r="PM40" s="212"/>
      <c r="PN40" s="212"/>
      <c r="PO40" s="212"/>
      <c r="PP40" s="212"/>
      <c r="PQ40" s="212"/>
      <c r="PR40" s="212"/>
      <c r="PS40" s="212"/>
      <c r="PT40" s="212"/>
      <c r="PU40" s="212"/>
      <c r="PV40" s="212"/>
      <c r="PW40" s="212"/>
      <c r="PX40" s="212"/>
      <c r="PY40" s="212"/>
      <c r="PZ40" s="212"/>
      <c r="QA40" s="212"/>
      <c r="QB40" s="212"/>
      <c r="QC40" s="212"/>
      <c r="QD40" s="212"/>
      <c r="QE40" s="212"/>
      <c r="QF40" s="212"/>
      <c r="QG40" s="212"/>
      <c r="QH40" s="212"/>
      <c r="QI40" s="212"/>
      <c r="QJ40" s="212"/>
      <c r="QK40" s="212"/>
      <c r="QL40" s="212"/>
      <c r="QM40" s="212"/>
      <c r="QN40" s="212"/>
      <c r="QO40" s="212"/>
      <c r="QP40" s="212"/>
      <c r="QQ40" s="212"/>
      <c r="QR40" s="212"/>
      <c r="QS40" s="212"/>
      <c r="QT40" s="212"/>
      <c r="QU40" s="212"/>
      <c r="QV40" s="212"/>
      <c r="QW40" s="212"/>
      <c r="QX40" s="212"/>
      <c r="QY40" s="212"/>
      <c r="QZ40" s="212"/>
      <c r="RA40" s="212"/>
      <c r="RB40" s="212"/>
      <c r="RC40" s="212"/>
      <c r="RD40" s="212"/>
      <c r="RE40" s="212"/>
      <c r="RF40" s="212"/>
      <c r="RG40" s="212"/>
      <c r="RH40" s="212"/>
      <c r="RI40" s="212"/>
      <c r="RJ40" s="212"/>
      <c r="RK40" s="212"/>
      <c r="RL40" s="212"/>
      <c r="RM40" s="212"/>
      <c r="RN40" s="212"/>
      <c r="RO40" s="212"/>
      <c r="RP40" s="212"/>
      <c r="RQ40" s="212"/>
      <c r="RR40" s="212"/>
      <c r="RS40" s="212"/>
      <c r="RT40" s="212"/>
      <c r="RU40" s="212"/>
      <c r="RV40" s="212"/>
      <c r="RW40" s="212"/>
      <c r="RX40" s="212"/>
      <c r="RY40" s="212"/>
      <c r="RZ40" s="212"/>
      <c r="SA40" s="212"/>
      <c r="SB40" s="212"/>
      <c r="SC40" s="212"/>
      <c r="SD40" s="212"/>
      <c r="SE40" s="212"/>
      <c r="SF40" s="212"/>
      <c r="SG40" s="212"/>
      <c r="SH40" s="212"/>
      <c r="SI40" s="212"/>
      <c r="SJ40" s="212"/>
      <c r="SK40" s="212"/>
      <c r="SL40" s="212"/>
      <c r="SM40" s="212"/>
      <c r="SN40" s="212"/>
      <c r="SO40" s="212"/>
      <c r="SP40" s="212"/>
      <c r="SQ40" s="212"/>
      <c r="SR40" s="212"/>
      <c r="SS40" s="212"/>
      <c r="ST40" s="212"/>
      <c r="SU40" s="212"/>
      <c r="SV40" s="212"/>
      <c r="SW40" s="212"/>
      <c r="SX40" s="212"/>
      <c r="SY40" s="212"/>
      <c r="SZ40" s="212"/>
      <c r="TA40" s="212"/>
      <c r="TB40" s="212"/>
      <c r="TC40" s="212"/>
      <c r="TD40" s="212"/>
      <c r="TE40" s="212"/>
      <c r="TF40" s="212"/>
      <c r="TG40" s="212"/>
      <c r="TH40" s="212"/>
      <c r="TI40" s="212"/>
      <c r="TJ40" s="212"/>
      <c r="TK40" s="212"/>
      <c r="TL40" s="212"/>
      <c r="TM40" s="212"/>
      <c r="TN40" s="212"/>
      <c r="TO40" s="212"/>
      <c r="TP40" s="212"/>
      <c r="TQ40" s="212"/>
      <c r="TR40" s="212"/>
      <c r="TS40" s="212"/>
      <c r="TT40" s="212"/>
      <c r="TU40" s="212"/>
      <c r="TV40" s="212"/>
      <c r="TW40" s="212"/>
      <c r="TX40" s="212"/>
      <c r="TY40" s="212"/>
      <c r="TZ40" s="212"/>
      <c r="UA40" s="212"/>
      <c r="UB40" s="212"/>
      <c r="UC40" s="212"/>
      <c r="UD40" s="212"/>
      <c r="UE40" s="212"/>
      <c r="UF40" s="212"/>
      <c r="UG40" s="212"/>
      <c r="UH40" s="212"/>
      <c r="UI40" s="212"/>
      <c r="UJ40" s="212"/>
      <c r="UK40" s="212"/>
      <c r="UL40" s="212"/>
      <c r="UM40" s="212"/>
      <c r="UN40" s="212"/>
      <c r="UO40" s="212"/>
      <c r="UP40" s="212"/>
      <c r="UQ40" s="212"/>
      <c r="UR40" s="212"/>
      <c r="US40" s="212"/>
      <c r="UT40" s="194"/>
    </row>
    <row r="41" spans="2:566" ht="15.75" customHeight="1" x14ac:dyDescent="0.3">
      <c r="B41" s="117" t="s">
        <v>53</v>
      </c>
      <c r="C41" s="107" t="s">
        <v>183</v>
      </c>
      <c r="D41" s="102" t="str">
        <f t="shared" si="28"/>
        <v/>
      </c>
      <c r="E41" s="103" t="str">
        <f t="shared" si="29"/>
        <v/>
      </c>
      <c r="F41" s="212"/>
      <c r="G41" s="212"/>
      <c r="H41" s="212"/>
      <c r="I41" s="212"/>
      <c r="J41" s="212"/>
      <c r="K41" s="212"/>
      <c r="L41" s="212"/>
      <c r="M41" s="212"/>
      <c r="N41" s="212"/>
      <c r="O41" s="212"/>
      <c r="P41" s="213"/>
      <c r="Q41" s="213"/>
      <c r="R41" s="212"/>
      <c r="S41" s="212"/>
      <c r="T41" s="212"/>
      <c r="U41" s="212"/>
      <c r="V41" s="212"/>
      <c r="W41" s="213"/>
      <c r="X41" s="213"/>
      <c r="Y41" s="212"/>
      <c r="Z41" s="212"/>
      <c r="AA41" s="212"/>
      <c r="AB41" s="213"/>
      <c r="AC41" s="213"/>
      <c r="AD41" s="213"/>
      <c r="AE41" s="213"/>
      <c r="AF41" s="213"/>
      <c r="AG41" s="213"/>
      <c r="AH41" s="212"/>
      <c r="AI41" s="212"/>
      <c r="AJ41" s="212"/>
      <c r="AK41" s="213"/>
      <c r="AL41" s="213"/>
      <c r="AM41" s="212"/>
      <c r="AN41" s="212"/>
      <c r="AO41" s="212"/>
      <c r="AP41" s="212"/>
      <c r="AQ41" s="212"/>
      <c r="AR41" s="212"/>
      <c r="AS41" s="212"/>
      <c r="AT41" s="212"/>
      <c r="AU41" s="212"/>
      <c r="AV41" s="212"/>
      <c r="AW41" s="212"/>
      <c r="AX41" s="212"/>
      <c r="AY41" s="212"/>
      <c r="AZ41" s="212"/>
      <c r="BA41" s="212"/>
      <c r="BB41" s="212"/>
      <c r="BC41" s="212"/>
      <c r="BD41" s="212"/>
      <c r="BE41" s="212"/>
      <c r="BF41" s="212"/>
      <c r="BG41" s="212"/>
      <c r="BH41" s="212"/>
      <c r="BI41" s="212"/>
      <c r="BJ41" s="212"/>
      <c r="BK41" s="212"/>
      <c r="BL41" s="212"/>
      <c r="BM41" s="212"/>
      <c r="BN41" s="212"/>
      <c r="BO41" s="212"/>
      <c r="BP41" s="212"/>
      <c r="BQ41" s="212"/>
      <c r="BR41" s="212"/>
      <c r="BS41" s="212"/>
      <c r="BT41" s="212"/>
      <c r="BU41" s="212"/>
      <c r="BV41" s="212"/>
      <c r="BW41" s="212"/>
      <c r="BX41" s="212"/>
      <c r="BY41" s="212"/>
      <c r="BZ41" s="212"/>
      <c r="CA41" s="212"/>
      <c r="CB41" s="212"/>
      <c r="CC41" s="212"/>
      <c r="CD41" s="212"/>
      <c r="CE41" s="212"/>
      <c r="CF41" s="212"/>
      <c r="CG41" s="212"/>
      <c r="CH41" s="212"/>
      <c r="CI41" s="212"/>
      <c r="CJ41" s="212"/>
      <c r="CK41" s="212"/>
      <c r="CL41" s="212"/>
      <c r="CM41" s="212"/>
      <c r="CN41" s="212"/>
      <c r="CO41" s="212"/>
      <c r="CP41" s="212"/>
      <c r="CQ41" s="212"/>
      <c r="CR41" s="212"/>
      <c r="CS41" s="212"/>
      <c r="CT41" s="212"/>
      <c r="CU41" s="212"/>
      <c r="CV41" s="212"/>
      <c r="CW41" s="212"/>
      <c r="CX41" s="212"/>
      <c r="CY41" s="212"/>
      <c r="CZ41" s="212"/>
      <c r="DA41" s="212"/>
      <c r="DB41" s="212"/>
      <c r="DC41" s="212"/>
      <c r="DD41" s="212"/>
      <c r="DE41" s="212"/>
      <c r="DF41" s="212"/>
      <c r="DG41" s="212"/>
      <c r="DH41" s="212"/>
      <c r="DI41" s="212"/>
      <c r="DJ41" s="212"/>
      <c r="DK41" s="212"/>
      <c r="DL41" s="212"/>
      <c r="DM41" s="212"/>
      <c r="DN41" s="212"/>
      <c r="DO41" s="212"/>
      <c r="DP41" s="212"/>
      <c r="DQ41" s="212"/>
      <c r="DR41" s="212"/>
      <c r="DS41" s="212"/>
      <c r="DT41" s="212"/>
      <c r="DU41" s="212"/>
      <c r="DV41" s="212"/>
      <c r="DW41" s="212"/>
      <c r="DX41" s="212"/>
      <c r="DY41" s="212"/>
      <c r="DZ41" s="212"/>
      <c r="EA41" s="212"/>
      <c r="EB41" s="214"/>
      <c r="EC41" s="212"/>
      <c r="ED41" s="212"/>
      <c r="EE41" s="212"/>
      <c r="EF41" s="212"/>
      <c r="EG41" s="212"/>
      <c r="EH41" s="212"/>
      <c r="EI41" s="212"/>
      <c r="EJ41" s="212"/>
      <c r="EK41" s="212"/>
      <c r="EL41" s="212"/>
      <c r="EM41" s="212"/>
      <c r="EN41" s="212"/>
      <c r="EO41" s="212"/>
      <c r="EP41" s="212"/>
      <c r="EQ41" s="212"/>
      <c r="ER41" s="212"/>
      <c r="ES41" s="212"/>
      <c r="ET41" s="212"/>
      <c r="EU41" s="212"/>
      <c r="EV41" s="212"/>
      <c r="EW41" s="212"/>
      <c r="EX41" s="212"/>
      <c r="EY41" s="212"/>
      <c r="EZ41" s="212"/>
      <c r="FA41" s="212"/>
      <c r="FB41" s="212"/>
      <c r="FC41" s="212"/>
      <c r="FD41" s="212"/>
      <c r="FE41" s="212"/>
      <c r="FF41" s="212"/>
      <c r="FG41" s="212"/>
      <c r="FH41" s="212"/>
      <c r="FI41" s="212"/>
      <c r="FJ41" s="212"/>
      <c r="FK41" s="212"/>
      <c r="FL41" s="212"/>
      <c r="FM41" s="212"/>
      <c r="FN41" s="212"/>
      <c r="FO41" s="212"/>
      <c r="FP41" s="212"/>
      <c r="FQ41" s="212"/>
      <c r="FR41" s="212"/>
      <c r="FS41" s="212"/>
      <c r="FT41" s="212"/>
      <c r="FU41" s="212"/>
      <c r="FV41" s="212"/>
      <c r="FW41" s="212"/>
      <c r="FX41" s="212"/>
      <c r="FY41" s="212"/>
      <c r="FZ41" s="212"/>
      <c r="GA41" s="212"/>
      <c r="GB41" s="212"/>
      <c r="GC41" s="212"/>
      <c r="GD41" s="212"/>
      <c r="GE41" s="212"/>
      <c r="GF41" s="212"/>
      <c r="GG41" s="212"/>
      <c r="GH41" s="212"/>
      <c r="GI41" s="212"/>
      <c r="GJ41" s="212"/>
      <c r="GK41" s="212"/>
      <c r="GL41" s="212"/>
      <c r="GM41" s="212"/>
      <c r="GN41" s="212"/>
      <c r="GO41" s="212"/>
      <c r="GP41" s="212"/>
      <c r="GQ41" s="212"/>
      <c r="GR41" s="212"/>
      <c r="GS41" s="212"/>
      <c r="GT41" s="212"/>
      <c r="GU41" s="212"/>
      <c r="GV41" s="212"/>
      <c r="GW41" s="212"/>
      <c r="GX41" s="212"/>
      <c r="GY41" s="212"/>
      <c r="GZ41" s="212"/>
      <c r="HA41" s="212"/>
      <c r="HB41" s="212"/>
      <c r="HC41" s="212"/>
      <c r="HD41" s="212"/>
      <c r="HE41" s="212"/>
      <c r="HF41" s="212"/>
      <c r="HG41" s="212"/>
      <c r="HH41" s="212"/>
      <c r="HI41" s="212"/>
      <c r="HJ41" s="212"/>
      <c r="HK41" s="212"/>
      <c r="HL41" s="212"/>
      <c r="HM41" s="212"/>
      <c r="HN41" s="212"/>
      <c r="HO41" s="212"/>
      <c r="HP41" s="212"/>
      <c r="HQ41" s="212"/>
      <c r="HR41" s="212"/>
      <c r="HS41" s="212"/>
      <c r="HT41" s="212"/>
      <c r="HU41" s="212"/>
      <c r="HV41" s="212"/>
      <c r="HW41" s="212"/>
      <c r="HX41" s="212"/>
      <c r="HY41" s="212"/>
      <c r="HZ41" s="212"/>
      <c r="IA41" s="212"/>
      <c r="IB41" s="212"/>
      <c r="IC41" s="212"/>
      <c r="ID41" s="212"/>
      <c r="IE41" s="212"/>
      <c r="IF41" s="212"/>
      <c r="IG41" s="212"/>
      <c r="IH41" s="212"/>
      <c r="II41" s="212"/>
      <c r="IJ41" s="212"/>
      <c r="IK41" s="212"/>
      <c r="IL41" s="212"/>
      <c r="IM41" s="212"/>
      <c r="IN41" s="212"/>
      <c r="IO41" s="212"/>
      <c r="IP41" s="212"/>
      <c r="IQ41" s="212"/>
      <c r="IR41" s="212"/>
      <c r="IS41" s="212"/>
      <c r="IT41" s="212"/>
      <c r="IU41" s="212"/>
      <c r="IV41" s="212"/>
      <c r="IW41" s="212"/>
      <c r="IX41" s="212"/>
      <c r="IY41" s="212"/>
      <c r="IZ41" s="212"/>
      <c r="JA41" s="212"/>
      <c r="JB41" s="212"/>
      <c r="JC41" s="212"/>
      <c r="JD41" s="212"/>
      <c r="JE41" s="212"/>
      <c r="JF41" s="212"/>
      <c r="JG41" s="212"/>
      <c r="JH41" s="212"/>
      <c r="JI41" s="212"/>
      <c r="JJ41" s="212"/>
      <c r="JK41" s="212"/>
      <c r="JL41" s="212"/>
      <c r="JM41" s="212"/>
      <c r="JN41" s="212"/>
      <c r="JO41" s="212"/>
      <c r="JP41" s="212"/>
      <c r="JQ41" s="212"/>
      <c r="JR41" s="212"/>
      <c r="JS41" s="212"/>
      <c r="JT41" s="212"/>
      <c r="JU41" s="212"/>
      <c r="JV41" s="212"/>
      <c r="JW41" s="212"/>
      <c r="JX41" s="212"/>
      <c r="JY41" s="212"/>
      <c r="JZ41" s="212"/>
      <c r="KA41" s="212"/>
      <c r="KB41" s="212"/>
      <c r="KC41" s="212"/>
      <c r="KD41" s="212"/>
      <c r="KE41" s="212"/>
      <c r="KF41" s="212"/>
      <c r="KG41" s="212"/>
      <c r="KH41" s="212"/>
      <c r="KI41" s="212"/>
      <c r="KJ41" s="212"/>
      <c r="KK41" s="212"/>
      <c r="KL41" s="212"/>
      <c r="KM41" s="212"/>
      <c r="KN41" s="212"/>
      <c r="KO41" s="212"/>
      <c r="KP41" s="212"/>
      <c r="KQ41" s="212"/>
      <c r="KR41" s="212"/>
      <c r="KS41" s="212"/>
      <c r="KT41" s="212"/>
      <c r="KU41" s="212"/>
      <c r="KV41" s="212"/>
      <c r="KW41" s="212"/>
      <c r="KX41" s="212"/>
      <c r="KY41" s="212"/>
      <c r="KZ41" s="212"/>
      <c r="LA41" s="212"/>
      <c r="LB41" s="212"/>
      <c r="LC41" s="212"/>
      <c r="LD41" s="212"/>
      <c r="LE41" s="212"/>
      <c r="LF41" s="212"/>
      <c r="LG41" s="212"/>
      <c r="LH41" s="212"/>
      <c r="LI41" s="212"/>
      <c r="LJ41" s="212"/>
      <c r="LK41" s="212"/>
      <c r="LL41" s="212"/>
      <c r="LM41" s="212"/>
      <c r="LN41" s="212"/>
      <c r="LO41" s="212"/>
      <c r="LP41" s="212"/>
      <c r="LQ41" s="212"/>
      <c r="LR41" s="212"/>
      <c r="LS41" s="212"/>
      <c r="LT41" s="212"/>
      <c r="LU41" s="212"/>
      <c r="LV41" s="212"/>
      <c r="LW41" s="212"/>
      <c r="LX41" s="212"/>
      <c r="LY41" s="212"/>
      <c r="LZ41" s="212"/>
      <c r="MA41" s="212"/>
      <c r="MB41" s="212"/>
      <c r="MC41" s="212"/>
      <c r="MD41" s="212"/>
      <c r="ME41" s="212"/>
      <c r="MF41" s="212"/>
      <c r="MG41" s="212"/>
      <c r="MH41" s="212"/>
      <c r="MI41" s="212"/>
      <c r="MJ41" s="212"/>
      <c r="MK41" s="212"/>
      <c r="ML41" s="212"/>
      <c r="MM41" s="212"/>
      <c r="MN41" s="212"/>
      <c r="MO41" s="212"/>
      <c r="MP41" s="212"/>
      <c r="MQ41" s="212"/>
      <c r="MR41" s="212"/>
      <c r="MS41" s="212"/>
      <c r="MT41" s="212"/>
      <c r="MU41" s="212"/>
      <c r="MV41" s="212"/>
      <c r="MW41" s="212"/>
      <c r="MX41" s="212"/>
      <c r="MY41" s="212"/>
      <c r="MZ41" s="212"/>
      <c r="NA41" s="212"/>
      <c r="NB41" s="212"/>
      <c r="NC41" s="212"/>
      <c r="ND41" s="212"/>
      <c r="NE41" s="212"/>
      <c r="NF41" s="212"/>
      <c r="NG41" s="212"/>
      <c r="NH41" s="212"/>
      <c r="NI41" s="212"/>
      <c r="NJ41" s="212"/>
      <c r="NK41" s="212"/>
      <c r="NL41" s="212"/>
      <c r="NM41" s="212"/>
      <c r="NN41" s="212"/>
      <c r="NO41" s="212"/>
      <c r="NP41" s="212"/>
      <c r="NQ41" s="212"/>
      <c r="NR41" s="212"/>
      <c r="NS41" s="212"/>
      <c r="NT41" s="212"/>
      <c r="NU41" s="212"/>
      <c r="NV41" s="212"/>
      <c r="NW41" s="212"/>
      <c r="NX41" s="212"/>
      <c r="NY41" s="212"/>
      <c r="NZ41" s="212"/>
      <c r="OA41" s="212"/>
      <c r="OB41" s="212"/>
      <c r="OC41" s="212"/>
      <c r="OD41" s="212"/>
      <c r="OE41" s="212"/>
      <c r="OF41" s="212"/>
      <c r="OG41" s="212"/>
      <c r="OH41" s="212"/>
      <c r="OI41" s="212"/>
      <c r="OJ41" s="212"/>
      <c r="OK41" s="212"/>
      <c r="OL41" s="212"/>
      <c r="OM41" s="212"/>
      <c r="ON41" s="212"/>
      <c r="OO41" s="212"/>
      <c r="OP41" s="212"/>
      <c r="OQ41" s="212"/>
      <c r="OR41" s="212"/>
      <c r="OS41" s="212"/>
      <c r="OT41" s="212"/>
      <c r="OU41" s="212"/>
      <c r="OV41" s="212"/>
      <c r="OW41" s="212"/>
      <c r="OX41" s="212"/>
      <c r="OY41" s="212"/>
      <c r="OZ41" s="212"/>
      <c r="PA41" s="212"/>
      <c r="PB41" s="212"/>
      <c r="PC41" s="212"/>
      <c r="PD41" s="212"/>
      <c r="PE41" s="212"/>
      <c r="PF41" s="212"/>
      <c r="PG41" s="212"/>
      <c r="PH41" s="212"/>
      <c r="PI41" s="212"/>
      <c r="PJ41" s="212"/>
      <c r="PK41" s="212"/>
      <c r="PL41" s="212"/>
      <c r="PM41" s="212"/>
      <c r="PN41" s="212"/>
      <c r="PO41" s="212"/>
      <c r="PP41" s="212"/>
      <c r="PQ41" s="212"/>
      <c r="PR41" s="212"/>
      <c r="PS41" s="212"/>
      <c r="PT41" s="212"/>
      <c r="PU41" s="212"/>
      <c r="PV41" s="212"/>
      <c r="PW41" s="212"/>
      <c r="PX41" s="212"/>
      <c r="PY41" s="212"/>
      <c r="PZ41" s="212"/>
      <c r="QA41" s="212"/>
      <c r="QB41" s="212"/>
      <c r="QC41" s="212"/>
      <c r="QD41" s="212"/>
      <c r="QE41" s="212"/>
      <c r="QF41" s="212"/>
      <c r="QG41" s="212"/>
      <c r="QH41" s="212"/>
      <c r="QI41" s="212"/>
      <c r="QJ41" s="212"/>
      <c r="QK41" s="212"/>
      <c r="QL41" s="212"/>
      <c r="QM41" s="212"/>
      <c r="QN41" s="212"/>
      <c r="QO41" s="212"/>
      <c r="QP41" s="212"/>
      <c r="QQ41" s="212"/>
      <c r="QR41" s="212"/>
      <c r="QS41" s="212"/>
      <c r="QT41" s="212"/>
      <c r="QU41" s="212"/>
      <c r="QV41" s="212"/>
      <c r="QW41" s="212"/>
      <c r="QX41" s="212"/>
      <c r="QY41" s="212"/>
      <c r="QZ41" s="212"/>
      <c r="RA41" s="212"/>
      <c r="RB41" s="212"/>
      <c r="RC41" s="212"/>
      <c r="RD41" s="212"/>
      <c r="RE41" s="212"/>
      <c r="RF41" s="212"/>
      <c r="RG41" s="212"/>
      <c r="RH41" s="212"/>
      <c r="RI41" s="212"/>
      <c r="RJ41" s="212"/>
      <c r="RK41" s="212"/>
      <c r="RL41" s="212"/>
      <c r="RM41" s="212"/>
      <c r="RN41" s="212"/>
      <c r="RO41" s="212"/>
      <c r="RP41" s="212"/>
      <c r="RQ41" s="212"/>
      <c r="RR41" s="212"/>
      <c r="RS41" s="212"/>
      <c r="RT41" s="212"/>
      <c r="RU41" s="212"/>
      <c r="RV41" s="212"/>
      <c r="RW41" s="212"/>
      <c r="RX41" s="212"/>
      <c r="RY41" s="212"/>
      <c r="RZ41" s="212"/>
      <c r="SA41" s="212"/>
      <c r="SB41" s="212"/>
      <c r="SC41" s="212"/>
      <c r="SD41" s="212"/>
      <c r="SE41" s="212"/>
      <c r="SF41" s="212"/>
      <c r="SG41" s="212"/>
      <c r="SH41" s="212"/>
      <c r="SI41" s="212"/>
      <c r="SJ41" s="212"/>
      <c r="SK41" s="212"/>
      <c r="SL41" s="212"/>
      <c r="SM41" s="212"/>
      <c r="SN41" s="212"/>
      <c r="SO41" s="212"/>
      <c r="SP41" s="212"/>
      <c r="SQ41" s="212"/>
      <c r="SR41" s="212"/>
      <c r="SS41" s="212"/>
      <c r="ST41" s="212"/>
      <c r="SU41" s="212"/>
      <c r="SV41" s="212"/>
      <c r="SW41" s="212"/>
      <c r="SX41" s="212"/>
      <c r="SY41" s="212"/>
      <c r="SZ41" s="212"/>
      <c r="TA41" s="212"/>
      <c r="TB41" s="212"/>
      <c r="TC41" s="212"/>
      <c r="TD41" s="212"/>
      <c r="TE41" s="212"/>
      <c r="TF41" s="212"/>
      <c r="TG41" s="212"/>
      <c r="TH41" s="212"/>
      <c r="TI41" s="212"/>
      <c r="TJ41" s="212"/>
      <c r="TK41" s="212"/>
      <c r="TL41" s="212"/>
      <c r="TM41" s="212"/>
      <c r="TN41" s="212"/>
      <c r="TO41" s="212"/>
      <c r="TP41" s="212"/>
      <c r="TQ41" s="212"/>
      <c r="TR41" s="212"/>
      <c r="TS41" s="212"/>
      <c r="TT41" s="212"/>
      <c r="TU41" s="212"/>
      <c r="TV41" s="212"/>
      <c r="TW41" s="212"/>
      <c r="TX41" s="212"/>
      <c r="TY41" s="212"/>
      <c r="TZ41" s="212"/>
      <c r="UA41" s="212"/>
      <c r="UB41" s="212"/>
      <c r="UC41" s="212"/>
      <c r="UD41" s="212"/>
      <c r="UE41" s="212"/>
      <c r="UF41" s="212"/>
      <c r="UG41" s="212"/>
      <c r="UH41" s="212"/>
      <c r="UI41" s="212"/>
      <c r="UJ41" s="212"/>
      <c r="UK41" s="212"/>
      <c r="UL41" s="212"/>
      <c r="UM41" s="212"/>
      <c r="UN41" s="212"/>
      <c r="UO41" s="212"/>
      <c r="UP41" s="212"/>
      <c r="UQ41" s="212"/>
      <c r="UR41" s="212"/>
      <c r="US41" s="212"/>
      <c r="UT41" s="194"/>
    </row>
    <row r="42" spans="2:566" ht="15.75" customHeight="1" x14ac:dyDescent="0.3">
      <c r="B42" s="117" t="s">
        <v>52</v>
      </c>
      <c r="C42" s="107" t="s">
        <v>184</v>
      </c>
      <c r="D42" s="102" t="str">
        <f t="shared" si="28"/>
        <v/>
      </c>
      <c r="E42" s="103" t="str">
        <f t="shared" si="29"/>
        <v/>
      </c>
      <c r="F42" s="212"/>
      <c r="G42" s="212"/>
      <c r="H42" s="212"/>
      <c r="I42" s="212"/>
      <c r="J42" s="212"/>
      <c r="K42" s="212"/>
      <c r="L42" s="212"/>
      <c r="M42" s="212"/>
      <c r="N42" s="212"/>
      <c r="O42" s="212"/>
      <c r="P42" s="213"/>
      <c r="Q42" s="213"/>
      <c r="R42" s="212"/>
      <c r="S42" s="212"/>
      <c r="T42" s="212"/>
      <c r="U42" s="212"/>
      <c r="V42" s="212"/>
      <c r="W42" s="213"/>
      <c r="X42" s="213"/>
      <c r="Y42" s="212"/>
      <c r="Z42" s="212"/>
      <c r="AA42" s="212"/>
      <c r="AB42" s="213"/>
      <c r="AC42" s="213"/>
      <c r="AD42" s="213"/>
      <c r="AE42" s="213"/>
      <c r="AF42" s="213"/>
      <c r="AG42" s="213"/>
      <c r="AH42" s="212"/>
      <c r="AI42" s="212"/>
      <c r="AJ42" s="212"/>
      <c r="AK42" s="213"/>
      <c r="AL42" s="213"/>
      <c r="AM42" s="212"/>
      <c r="AN42" s="212"/>
      <c r="AO42" s="212"/>
      <c r="AP42" s="212"/>
      <c r="AQ42" s="212"/>
      <c r="AR42" s="212"/>
      <c r="AS42" s="212"/>
      <c r="AT42" s="212"/>
      <c r="AU42" s="212"/>
      <c r="AV42" s="212"/>
      <c r="AW42" s="212"/>
      <c r="AX42" s="212"/>
      <c r="AY42" s="212"/>
      <c r="AZ42" s="212"/>
      <c r="BA42" s="212"/>
      <c r="BB42" s="212"/>
      <c r="BC42" s="212"/>
      <c r="BD42" s="212"/>
      <c r="BE42" s="212"/>
      <c r="BF42" s="212"/>
      <c r="BG42" s="212"/>
      <c r="BH42" s="212"/>
      <c r="BI42" s="212"/>
      <c r="BJ42" s="212"/>
      <c r="BK42" s="212"/>
      <c r="BL42" s="212"/>
      <c r="BM42" s="212"/>
      <c r="BN42" s="212"/>
      <c r="BO42" s="212"/>
      <c r="BP42" s="212"/>
      <c r="BQ42" s="212"/>
      <c r="BR42" s="212"/>
      <c r="BS42" s="212"/>
      <c r="BT42" s="212"/>
      <c r="BU42" s="212"/>
      <c r="BV42" s="212"/>
      <c r="BW42" s="212"/>
      <c r="BX42" s="212"/>
      <c r="BY42" s="212"/>
      <c r="BZ42" s="212"/>
      <c r="CA42" s="212"/>
      <c r="CB42" s="212"/>
      <c r="CC42" s="212"/>
      <c r="CD42" s="212"/>
      <c r="CE42" s="212"/>
      <c r="CF42" s="212"/>
      <c r="CG42" s="212"/>
      <c r="CH42" s="212"/>
      <c r="CI42" s="212"/>
      <c r="CJ42" s="212"/>
      <c r="CK42" s="212"/>
      <c r="CL42" s="212"/>
      <c r="CM42" s="212"/>
      <c r="CN42" s="212"/>
      <c r="CO42" s="212"/>
      <c r="CP42" s="212"/>
      <c r="CQ42" s="212"/>
      <c r="CR42" s="212"/>
      <c r="CS42" s="212"/>
      <c r="CT42" s="212"/>
      <c r="CU42" s="212"/>
      <c r="CV42" s="212"/>
      <c r="CW42" s="212"/>
      <c r="CX42" s="212"/>
      <c r="CY42" s="212"/>
      <c r="CZ42" s="212"/>
      <c r="DA42" s="212"/>
      <c r="DB42" s="212"/>
      <c r="DC42" s="212"/>
      <c r="DD42" s="212"/>
      <c r="DE42" s="212"/>
      <c r="DF42" s="212"/>
      <c r="DG42" s="212"/>
      <c r="DH42" s="212"/>
      <c r="DI42" s="212"/>
      <c r="DJ42" s="212"/>
      <c r="DK42" s="212"/>
      <c r="DL42" s="212"/>
      <c r="DM42" s="212"/>
      <c r="DN42" s="212"/>
      <c r="DO42" s="212"/>
      <c r="DP42" s="212"/>
      <c r="DQ42" s="212"/>
      <c r="DR42" s="212"/>
      <c r="DS42" s="212"/>
      <c r="DT42" s="212"/>
      <c r="DU42" s="212"/>
      <c r="DV42" s="212"/>
      <c r="DW42" s="212"/>
      <c r="DX42" s="212"/>
      <c r="DY42" s="212"/>
      <c r="DZ42" s="212"/>
      <c r="EA42" s="212"/>
      <c r="EB42" s="214"/>
      <c r="EC42" s="212"/>
      <c r="ED42" s="212"/>
      <c r="EE42" s="212"/>
      <c r="EF42" s="212"/>
      <c r="EG42" s="212"/>
      <c r="EH42" s="212"/>
      <c r="EI42" s="212"/>
      <c r="EJ42" s="212"/>
      <c r="EK42" s="212"/>
      <c r="EL42" s="212"/>
      <c r="EM42" s="212"/>
      <c r="EN42" s="212"/>
      <c r="EO42" s="212"/>
      <c r="EP42" s="212"/>
      <c r="EQ42" s="212"/>
      <c r="ER42" s="212"/>
      <c r="ES42" s="212"/>
      <c r="ET42" s="212"/>
      <c r="EU42" s="212"/>
      <c r="EV42" s="212"/>
      <c r="EW42" s="212"/>
      <c r="EX42" s="212"/>
      <c r="EY42" s="212"/>
      <c r="EZ42" s="212"/>
      <c r="FA42" s="212"/>
      <c r="FB42" s="212"/>
      <c r="FC42" s="212"/>
      <c r="FD42" s="212"/>
      <c r="FE42" s="212"/>
      <c r="FF42" s="212"/>
      <c r="FG42" s="212"/>
      <c r="FH42" s="212"/>
      <c r="FI42" s="212"/>
      <c r="FJ42" s="212"/>
      <c r="FK42" s="212"/>
      <c r="FL42" s="212"/>
      <c r="FM42" s="212"/>
      <c r="FN42" s="212"/>
      <c r="FO42" s="212"/>
      <c r="FP42" s="212"/>
      <c r="FQ42" s="212"/>
      <c r="FR42" s="212"/>
      <c r="FS42" s="212"/>
      <c r="FT42" s="212"/>
      <c r="FU42" s="212"/>
      <c r="FV42" s="212"/>
      <c r="FW42" s="212"/>
      <c r="FX42" s="212"/>
      <c r="FY42" s="212"/>
      <c r="FZ42" s="212"/>
      <c r="GA42" s="212"/>
      <c r="GB42" s="212"/>
      <c r="GC42" s="212"/>
      <c r="GD42" s="212"/>
      <c r="GE42" s="212"/>
      <c r="GF42" s="212"/>
      <c r="GG42" s="212"/>
      <c r="GH42" s="212"/>
      <c r="GI42" s="212"/>
      <c r="GJ42" s="212"/>
      <c r="GK42" s="212"/>
      <c r="GL42" s="212"/>
      <c r="GM42" s="212"/>
      <c r="GN42" s="212"/>
      <c r="GO42" s="212"/>
      <c r="GP42" s="212"/>
      <c r="GQ42" s="212"/>
      <c r="GR42" s="212"/>
      <c r="GS42" s="212"/>
      <c r="GT42" s="212"/>
      <c r="GU42" s="212"/>
      <c r="GV42" s="212"/>
      <c r="GW42" s="212"/>
      <c r="GX42" s="212"/>
      <c r="GY42" s="212"/>
      <c r="GZ42" s="212"/>
      <c r="HA42" s="212"/>
      <c r="HB42" s="212"/>
      <c r="HC42" s="212"/>
      <c r="HD42" s="212"/>
      <c r="HE42" s="212"/>
      <c r="HF42" s="212"/>
      <c r="HG42" s="212"/>
      <c r="HH42" s="212"/>
      <c r="HI42" s="212"/>
      <c r="HJ42" s="212"/>
      <c r="HK42" s="212"/>
      <c r="HL42" s="212"/>
      <c r="HM42" s="212"/>
      <c r="HN42" s="212"/>
      <c r="HO42" s="212"/>
      <c r="HP42" s="212"/>
      <c r="HQ42" s="212"/>
      <c r="HR42" s="212"/>
      <c r="HS42" s="212"/>
      <c r="HT42" s="212"/>
      <c r="HU42" s="212"/>
      <c r="HV42" s="212"/>
      <c r="HW42" s="212"/>
      <c r="HX42" s="212"/>
      <c r="HY42" s="212"/>
      <c r="HZ42" s="212"/>
      <c r="IA42" s="212"/>
      <c r="IB42" s="212"/>
      <c r="IC42" s="212"/>
      <c r="ID42" s="212"/>
      <c r="IE42" s="212"/>
      <c r="IF42" s="212"/>
      <c r="IG42" s="212"/>
      <c r="IH42" s="212"/>
      <c r="II42" s="212"/>
      <c r="IJ42" s="212"/>
      <c r="IK42" s="212"/>
      <c r="IL42" s="212"/>
      <c r="IM42" s="212"/>
      <c r="IN42" s="212"/>
      <c r="IO42" s="212"/>
      <c r="IP42" s="212"/>
      <c r="IQ42" s="212"/>
      <c r="IR42" s="212"/>
      <c r="IS42" s="212"/>
      <c r="IT42" s="212"/>
      <c r="IU42" s="212"/>
      <c r="IV42" s="212"/>
      <c r="IW42" s="212"/>
      <c r="IX42" s="212"/>
      <c r="IY42" s="212"/>
      <c r="IZ42" s="212"/>
      <c r="JA42" s="212"/>
      <c r="JB42" s="212"/>
      <c r="JC42" s="212"/>
      <c r="JD42" s="212"/>
      <c r="JE42" s="212"/>
      <c r="JF42" s="212"/>
      <c r="JG42" s="212"/>
      <c r="JH42" s="212"/>
      <c r="JI42" s="212"/>
      <c r="JJ42" s="212"/>
      <c r="JK42" s="212"/>
      <c r="JL42" s="212"/>
      <c r="JM42" s="212"/>
      <c r="JN42" s="212"/>
      <c r="JO42" s="212"/>
      <c r="JP42" s="212"/>
      <c r="JQ42" s="212"/>
      <c r="JR42" s="212"/>
      <c r="JS42" s="212"/>
      <c r="JT42" s="212"/>
      <c r="JU42" s="212"/>
      <c r="JV42" s="212"/>
      <c r="JW42" s="212"/>
      <c r="JX42" s="212"/>
      <c r="JY42" s="212"/>
      <c r="JZ42" s="212"/>
      <c r="KA42" s="212"/>
      <c r="KB42" s="212"/>
      <c r="KC42" s="212"/>
      <c r="KD42" s="212"/>
      <c r="KE42" s="212"/>
      <c r="KF42" s="212"/>
      <c r="KG42" s="212"/>
      <c r="KH42" s="212"/>
      <c r="KI42" s="212"/>
      <c r="KJ42" s="212"/>
      <c r="KK42" s="212"/>
      <c r="KL42" s="212"/>
      <c r="KM42" s="212"/>
      <c r="KN42" s="212"/>
      <c r="KO42" s="212"/>
      <c r="KP42" s="212"/>
      <c r="KQ42" s="212"/>
      <c r="KR42" s="212"/>
      <c r="KS42" s="212"/>
      <c r="KT42" s="212"/>
      <c r="KU42" s="212"/>
      <c r="KV42" s="212"/>
      <c r="KW42" s="212"/>
      <c r="KX42" s="212"/>
      <c r="KY42" s="212"/>
      <c r="KZ42" s="212"/>
      <c r="LA42" s="212"/>
      <c r="LB42" s="212"/>
      <c r="LC42" s="212"/>
      <c r="LD42" s="212"/>
      <c r="LE42" s="212"/>
      <c r="LF42" s="212"/>
      <c r="LG42" s="212"/>
      <c r="LH42" s="212"/>
      <c r="LI42" s="212"/>
      <c r="LJ42" s="212"/>
      <c r="LK42" s="212"/>
      <c r="LL42" s="212"/>
      <c r="LM42" s="212"/>
      <c r="LN42" s="212"/>
      <c r="LO42" s="212"/>
      <c r="LP42" s="212"/>
      <c r="LQ42" s="212"/>
      <c r="LR42" s="212"/>
      <c r="LS42" s="212"/>
      <c r="LT42" s="212"/>
      <c r="LU42" s="212"/>
      <c r="LV42" s="212"/>
      <c r="LW42" s="212"/>
      <c r="LX42" s="212"/>
      <c r="LY42" s="212"/>
      <c r="LZ42" s="212"/>
      <c r="MA42" s="212"/>
      <c r="MB42" s="212"/>
      <c r="MC42" s="212"/>
      <c r="MD42" s="212"/>
      <c r="ME42" s="212"/>
      <c r="MF42" s="212"/>
      <c r="MG42" s="212"/>
      <c r="MH42" s="212"/>
      <c r="MI42" s="212"/>
      <c r="MJ42" s="212"/>
      <c r="MK42" s="212"/>
      <c r="ML42" s="212"/>
      <c r="MM42" s="212"/>
      <c r="MN42" s="212"/>
      <c r="MO42" s="212"/>
      <c r="MP42" s="212"/>
      <c r="MQ42" s="212"/>
      <c r="MR42" s="212"/>
      <c r="MS42" s="212"/>
      <c r="MT42" s="212"/>
      <c r="MU42" s="212"/>
      <c r="MV42" s="212"/>
      <c r="MW42" s="212"/>
      <c r="MX42" s="212"/>
      <c r="MY42" s="212"/>
      <c r="MZ42" s="212"/>
      <c r="NA42" s="212"/>
      <c r="NB42" s="212"/>
      <c r="NC42" s="212"/>
      <c r="ND42" s="212"/>
      <c r="NE42" s="212"/>
      <c r="NF42" s="212"/>
      <c r="NG42" s="212"/>
      <c r="NH42" s="212"/>
      <c r="NI42" s="212"/>
      <c r="NJ42" s="212"/>
      <c r="NK42" s="212"/>
      <c r="NL42" s="212"/>
      <c r="NM42" s="212"/>
      <c r="NN42" s="212"/>
      <c r="NO42" s="212"/>
      <c r="NP42" s="212"/>
      <c r="NQ42" s="212"/>
      <c r="NR42" s="212"/>
      <c r="NS42" s="212"/>
      <c r="NT42" s="212"/>
      <c r="NU42" s="212"/>
      <c r="NV42" s="212"/>
      <c r="NW42" s="212"/>
      <c r="NX42" s="212"/>
      <c r="NY42" s="212"/>
      <c r="NZ42" s="212"/>
      <c r="OA42" s="212"/>
      <c r="OB42" s="212"/>
      <c r="OC42" s="212"/>
      <c r="OD42" s="212"/>
      <c r="OE42" s="212"/>
      <c r="OF42" s="212"/>
      <c r="OG42" s="212"/>
      <c r="OH42" s="212"/>
      <c r="OI42" s="212"/>
      <c r="OJ42" s="212"/>
      <c r="OK42" s="212"/>
      <c r="OL42" s="212"/>
      <c r="OM42" s="212"/>
      <c r="ON42" s="212"/>
      <c r="OO42" s="212"/>
      <c r="OP42" s="212"/>
      <c r="OQ42" s="212"/>
      <c r="OR42" s="212"/>
      <c r="OS42" s="212"/>
      <c r="OT42" s="212"/>
      <c r="OU42" s="212"/>
      <c r="OV42" s="212"/>
      <c r="OW42" s="212"/>
      <c r="OX42" s="212"/>
      <c r="OY42" s="212"/>
      <c r="OZ42" s="212"/>
      <c r="PA42" s="212"/>
      <c r="PB42" s="212"/>
      <c r="PC42" s="212"/>
      <c r="PD42" s="212"/>
      <c r="PE42" s="212"/>
      <c r="PF42" s="212"/>
      <c r="PG42" s="212"/>
      <c r="PH42" s="212"/>
      <c r="PI42" s="212"/>
      <c r="PJ42" s="212"/>
      <c r="PK42" s="212"/>
      <c r="PL42" s="212"/>
      <c r="PM42" s="212"/>
      <c r="PN42" s="212"/>
      <c r="PO42" s="212"/>
      <c r="PP42" s="212"/>
      <c r="PQ42" s="212"/>
      <c r="PR42" s="212"/>
      <c r="PS42" s="212"/>
      <c r="PT42" s="212"/>
      <c r="PU42" s="212"/>
      <c r="PV42" s="212"/>
      <c r="PW42" s="212"/>
      <c r="PX42" s="212"/>
      <c r="PY42" s="212"/>
      <c r="PZ42" s="212"/>
      <c r="QA42" s="212"/>
      <c r="QB42" s="212"/>
      <c r="QC42" s="212"/>
      <c r="QD42" s="212"/>
      <c r="QE42" s="212"/>
      <c r="QF42" s="212"/>
      <c r="QG42" s="212"/>
      <c r="QH42" s="212"/>
      <c r="QI42" s="212"/>
      <c r="QJ42" s="212"/>
      <c r="QK42" s="212"/>
      <c r="QL42" s="212"/>
      <c r="QM42" s="212"/>
      <c r="QN42" s="212"/>
      <c r="QO42" s="212"/>
      <c r="QP42" s="212"/>
      <c r="QQ42" s="212"/>
      <c r="QR42" s="212"/>
      <c r="QS42" s="212"/>
      <c r="QT42" s="212"/>
      <c r="QU42" s="212"/>
      <c r="QV42" s="212"/>
      <c r="QW42" s="212"/>
      <c r="QX42" s="212"/>
      <c r="QY42" s="212"/>
      <c r="QZ42" s="212"/>
      <c r="RA42" s="212"/>
      <c r="RB42" s="212"/>
      <c r="RC42" s="212"/>
      <c r="RD42" s="212"/>
      <c r="RE42" s="212"/>
      <c r="RF42" s="212"/>
      <c r="RG42" s="212"/>
      <c r="RH42" s="212"/>
      <c r="RI42" s="212"/>
      <c r="RJ42" s="212"/>
      <c r="RK42" s="212"/>
      <c r="RL42" s="212"/>
      <c r="RM42" s="212"/>
      <c r="RN42" s="212"/>
      <c r="RO42" s="212"/>
      <c r="RP42" s="212"/>
      <c r="RQ42" s="212"/>
      <c r="RR42" s="212"/>
      <c r="RS42" s="212"/>
      <c r="RT42" s="212"/>
      <c r="RU42" s="212"/>
      <c r="RV42" s="212"/>
      <c r="RW42" s="212"/>
      <c r="RX42" s="212"/>
      <c r="RY42" s="212"/>
      <c r="RZ42" s="212"/>
      <c r="SA42" s="212"/>
      <c r="SB42" s="212"/>
      <c r="SC42" s="212"/>
      <c r="SD42" s="212"/>
      <c r="SE42" s="212"/>
      <c r="SF42" s="212"/>
      <c r="SG42" s="212"/>
      <c r="SH42" s="212"/>
      <c r="SI42" s="212"/>
      <c r="SJ42" s="212"/>
      <c r="SK42" s="212"/>
      <c r="SL42" s="212"/>
      <c r="SM42" s="212"/>
      <c r="SN42" s="212"/>
      <c r="SO42" s="212"/>
      <c r="SP42" s="212"/>
      <c r="SQ42" s="212"/>
      <c r="SR42" s="212"/>
      <c r="SS42" s="212"/>
      <c r="ST42" s="212"/>
      <c r="SU42" s="212"/>
      <c r="SV42" s="212"/>
      <c r="SW42" s="212"/>
      <c r="SX42" s="212"/>
      <c r="SY42" s="212"/>
      <c r="SZ42" s="212"/>
      <c r="TA42" s="212"/>
      <c r="TB42" s="212"/>
      <c r="TC42" s="212"/>
      <c r="TD42" s="212"/>
      <c r="TE42" s="212"/>
      <c r="TF42" s="212"/>
      <c r="TG42" s="212"/>
      <c r="TH42" s="212"/>
      <c r="TI42" s="212"/>
      <c r="TJ42" s="212"/>
      <c r="TK42" s="212"/>
      <c r="TL42" s="212"/>
      <c r="TM42" s="212"/>
      <c r="TN42" s="212"/>
      <c r="TO42" s="212"/>
      <c r="TP42" s="212"/>
      <c r="TQ42" s="212"/>
      <c r="TR42" s="212"/>
      <c r="TS42" s="212"/>
      <c r="TT42" s="212"/>
      <c r="TU42" s="212"/>
      <c r="TV42" s="212"/>
      <c r="TW42" s="212"/>
      <c r="TX42" s="212"/>
      <c r="TY42" s="212"/>
      <c r="TZ42" s="212"/>
      <c r="UA42" s="212"/>
      <c r="UB42" s="212"/>
      <c r="UC42" s="212"/>
      <c r="UD42" s="212"/>
      <c r="UE42" s="212"/>
      <c r="UF42" s="212"/>
      <c r="UG42" s="212"/>
      <c r="UH42" s="212"/>
      <c r="UI42" s="212"/>
      <c r="UJ42" s="212"/>
      <c r="UK42" s="212"/>
      <c r="UL42" s="212"/>
      <c r="UM42" s="212"/>
      <c r="UN42" s="212"/>
      <c r="UO42" s="212"/>
      <c r="UP42" s="212"/>
      <c r="UQ42" s="212"/>
      <c r="UR42" s="212"/>
      <c r="US42" s="212"/>
      <c r="UT42" s="194"/>
    </row>
    <row r="43" spans="2:566" ht="15.75" customHeight="1" x14ac:dyDescent="0.3">
      <c r="B43" s="117" t="s">
        <v>51</v>
      </c>
      <c r="C43" s="107" t="s">
        <v>185</v>
      </c>
      <c r="D43" s="102" t="str">
        <f t="shared" si="28"/>
        <v/>
      </c>
      <c r="E43" s="103" t="str">
        <f t="shared" si="29"/>
        <v/>
      </c>
      <c r="F43" s="212"/>
      <c r="G43" s="212"/>
      <c r="H43" s="212"/>
      <c r="I43" s="212"/>
      <c r="J43" s="212"/>
      <c r="K43" s="212"/>
      <c r="L43" s="212"/>
      <c r="M43" s="212"/>
      <c r="N43" s="212"/>
      <c r="O43" s="212"/>
      <c r="P43" s="213"/>
      <c r="Q43" s="213"/>
      <c r="R43" s="212"/>
      <c r="S43" s="212"/>
      <c r="T43" s="212"/>
      <c r="U43" s="212"/>
      <c r="V43" s="212"/>
      <c r="W43" s="213"/>
      <c r="X43" s="213"/>
      <c r="Y43" s="212"/>
      <c r="Z43" s="212"/>
      <c r="AA43" s="212"/>
      <c r="AB43" s="213"/>
      <c r="AC43" s="213"/>
      <c r="AD43" s="213"/>
      <c r="AE43" s="213"/>
      <c r="AF43" s="213"/>
      <c r="AG43" s="213"/>
      <c r="AH43" s="212"/>
      <c r="AI43" s="212"/>
      <c r="AJ43" s="212"/>
      <c r="AK43" s="213"/>
      <c r="AL43" s="213"/>
      <c r="AM43" s="212"/>
      <c r="AN43" s="212"/>
      <c r="AO43" s="212"/>
      <c r="AP43" s="212"/>
      <c r="AQ43" s="212"/>
      <c r="AR43" s="212"/>
      <c r="AS43" s="212"/>
      <c r="AT43" s="212"/>
      <c r="AU43" s="212"/>
      <c r="AV43" s="212"/>
      <c r="AW43" s="212"/>
      <c r="AX43" s="212"/>
      <c r="AY43" s="212"/>
      <c r="AZ43" s="212"/>
      <c r="BA43" s="212"/>
      <c r="BB43" s="212"/>
      <c r="BC43" s="212"/>
      <c r="BD43" s="212"/>
      <c r="BE43" s="212"/>
      <c r="BF43" s="212"/>
      <c r="BG43" s="212"/>
      <c r="BH43" s="212"/>
      <c r="BI43" s="212"/>
      <c r="BJ43" s="212"/>
      <c r="BK43" s="212"/>
      <c r="BL43" s="212"/>
      <c r="BM43" s="212"/>
      <c r="BN43" s="212"/>
      <c r="BO43" s="212"/>
      <c r="BP43" s="212"/>
      <c r="BQ43" s="212"/>
      <c r="BR43" s="212"/>
      <c r="BS43" s="212"/>
      <c r="BT43" s="212"/>
      <c r="BU43" s="212"/>
      <c r="BV43" s="212"/>
      <c r="BW43" s="212"/>
      <c r="BX43" s="212"/>
      <c r="BY43" s="212"/>
      <c r="BZ43" s="212"/>
      <c r="CA43" s="212"/>
      <c r="CB43" s="212"/>
      <c r="CC43" s="212"/>
      <c r="CD43" s="212"/>
      <c r="CE43" s="212"/>
      <c r="CF43" s="212"/>
      <c r="CG43" s="212"/>
      <c r="CH43" s="212"/>
      <c r="CI43" s="212"/>
      <c r="CJ43" s="212"/>
      <c r="CK43" s="212"/>
      <c r="CL43" s="212"/>
      <c r="CM43" s="212"/>
      <c r="CN43" s="212"/>
      <c r="CO43" s="212"/>
      <c r="CP43" s="212"/>
      <c r="CQ43" s="212"/>
      <c r="CR43" s="212"/>
      <c r="CS43" s="212"/>
      <c r="CT43" s="212"/>
      <c r="CU43" s="212"/>
      <c r="CV43" s="212"/>
      <c r="CW43" s="212"/>
      <c r="CX43" s="212"/>
      <c r="CY43" s="212"/>
      <c r="CZ43" s="212"/>
      <c r="DA43" s="212"/>
      <c r="DB43" s="212"/>
      <c r="DC43" s="212"/>
      <c r="DD43" s="212"/>
      <c r="DE43" s="212"/>
      <c r="DF43" s="212"/>
      <c r="DG43" s="212"/>
      <c r="DH43" s="212"/>
      <c r="DI43" s="212"/>
      <c r="DJ43" s="212"/>
      <c r="DK43" s="212"/>
      <c r="DL43" s="212"/>
      <c r="DM43" s="212"/>
      <c r="DN43" s="212"/>
      <c r="DO43" s="212"/>
      <c r="DP43" s="212"/>
      <c r="DQ43" s="212"/>
      <c r="DR43" s="212"/>
      <c r="DS43" s="212"/>
      <c r="DT43" s="212"/>
      <c r="DU43" s="212"/>
      <c r="DV43" s="212"/>
      <c r="DW43" s="212"/>
      <c r="DX43" s="212"/>
      <c r="DY43" s="212"/>
      <c r="DZ43" s="212"/>
      <c r="EA43" s="212"/>
      <c r="EB43" s="214"/>
      <c r="EC43" s="212"/>
      <c r="ED43" s="212"/>
      <c r="EE43" s="212"/>
      <c r="EF43" s="212"/>
      <c r="EG43" s="212"/>
      <c r="EH43" s="212"/>
      <c r="EI43" s="212"/>
      <c r="EJ43" s="212"/>
      <c r="EK43" s="212"/>
      <c r="EL43" s="212"/>
      <c r="EM43" s="212"/>
      <c r="EN43" s="212"/>
      <c r="EO43" s="212"/>
      <c r="EP43" s="212"/>
      <c r="EQ43" s="212"/>
      <c r="ER43" s="212"/>
      <c r="ES43" s="212"/>
      <c r="ET43" s="212"/>
      <c r="EU43" s="212"/>
      <c r="EV43" s="212"/>
      <c r="EW43" s="212"/>
      <c r="EX43" s="212"/>
      <c r="EY43" s="212"/>
      <c r="EZ43" s="212"/>
      <c r="FA43" s="212"/>
      <c r="FB43" s="212"/>
      <c r="FC43" s="212"/>
      <c r="FD43" s="212"/>
      <c r="FE43" s="212"/>
      <c r="FF43" s="212"/>
      <c r="FG43" s="212"/>
      <c r="FH43" s="212"/>
      <c r="FI43" s="212"/>
      <c r="FJ43" s="212"/>
      <c r="FK43" s="212"/>
      <c r="FL43" s="212"/>
      <c r="FM43" s="212"/>
      <c r="FN43" s="212"/>
      <c r="FO43" s="212"/>
      <c r="FP43" s="212"/>
      <c r="FQ43" s="212"/>
      <c r="FR43" s="212"/>
      <c r="FS43" s="212"/>
      <c r="FT43" s="212"/>
      <c r="FU43" s="212"/>
      <c r="FV43" s="212"/>
      <c r="FW43" s="212"/>
      <c r="FX43" s="212"/>
      <c r="FY43" s="212"/>
      <c r="FZ43" s="212"/>
      <c r="GA43" s="212"/>
      <c r="GB43" s="212"/>
      <c r="GC43" s="212"/>
      <c r="GD43" s="212"/>
      <c r="GE43" s="212"/>
      <c r="GF43" s="212"/>
      <c r="GG43" s="212"/>
      <c r="GH43" s="212"/>
      <c r="GI43" s="212"/>
      <c r="GJ43" s="212"/>
      <c r="GK43" s="212"/>
      <c r="GL43" s="212"/>
      <c r="GM43" s="212"/>
      <c r="GN43" s="212"/>
      <c r="GO43" s="212"/>
      <c r="GP43" s="212"/>
      <c r="GQ43" s="212"/>
      <c r="GR43" s="212"/>
      <c r="GS43" s="212"/>
      <c r="GT43" s="212"/>
      <c r="GU43" s="212"/>
      <c r="GV43" s="212"/>
      <c r="GW43" s="212"/>
      <c r="GX43" s="212"/>
      <c r="GY43" s="212"/>
      <c r="GZ43" s="212"/>
      <c r="HA43" s="212"/>
      <c r="HB43" s="212"/>
      <c r="HC43" s="212"/>
      <c r="HD43" s="212"/>
      <c r="HE43" s="212"/>
      <c r="HF43" s="212"/>
      <c r="HG43" s="212"/>
      <c r="HH43" s="212"/>
      <c r="HI43" s="212"/>
      <c r="HJ43" s="212"/>
      <c r="HK43" s="212"/>
      <c r="HL43" s="212"/>
      <c r="HM43" s="212"/>
      <c r="HN43" s="212"/>
      <c r="HO43" s="212"/>
      <c r="HP43" s="212"/>
      <c r="HQ43" s="212"/>
      <c r="HR43" s="212"/>
      <c r="HS43" s="212"/>
      <c r="HT43" s="212"/>
      <c r="HU43" s="212"/>
      <c r="HV43" s="212"/>
      <c r="HW43" s="212"/>
      <c r="HX43" s="212"/>
      <c r="HY43" s="212"/>
      <c r="HZ43" s="212"/>
      <c r="IA43" s="212"/>
      <c r="IB43" s="212"/>
      <c r="IC43" s="212"/>
      <c r="ID43" s="212"/>
      <c r="IE43" s="212"/>
      <c r="IF43" s="212"/>
      <c r="IG43" s="212"/>
      <c r="IH43" s="212"/>
      <c r="II43" s="212"/>
      <c r="IJ43" s="212"/>
      <c r="IK43" s="212"/>
      <c r="IL43" s="212"/>
      <c r="IM43" s="212"/>
      <c r="IN43" s="212"/>
      <c r="IO43" s="212"/>
      <c r="IP43" s="212"/>
      <c r="IQ43" s="212"/>
      <c r="IR43" s="212"/>
      <c r="IS43" s="212"/>
      <c r="IT43" s="212"/>
      <c r="IU43" s="212"/>
      <c r="IV43" s="212"/>
      <c r="IW43" s="212"/>
      <c r="IX43" s="212"/>
      <c r="IY43" s="212"/>
      <c r="IZ43" s="212"/>
      <c r="JA43" s="212"/>
      <c r="JB43" s="212"/>
      <c r="JC43" s="212"/>
      <c r="JD43" s="212"/>
      <c r="JE43" s="212"/>
      <c r="JF43" s="212"/>
      <c r="JG43" s="212"/>
      <c r="JH43" s="212"/>
      <c r="JI43" s="212"/>
      <c r="JJ43" s="212"/>
      <c r="JK43" s="212"/>
      <c r="JL43" s="212"/>
      <c r="JM43" s="212"/>
      <c r="JN43" s="212"/>
      <c r="JO43" s="212"/>
      <c r="JP43" s="212"/>
      <c r="JQ43" s="212"/>
      <c r="JR43" s="212"/>
      <c r="JS43" s="212"/>
      <c r="JT43" s="212"/>
      <c r="JU43" s="212"/>
      <c r="JV43" s="212"/>
      <c r="JW43" s="212"/>
      <c r="JX43" s="212"/>
      <c r="JY43" s="212"/>
      <c r="JZ43" s="212"/>
      <c r="KA43" s="212"/>
      <c r="KB43" s="212"/>
      <c r="KC43" s="212"/>
      <c r="KD43" s="212"/>
      <c r="KE43" s="212"/>
      <c r="KF43" s="212"/>
      <c r="KG43" s="212"/>
      <c r="KH43" s="212"/>
      <c r="KI43" s="212"/>
      <c r="KJ43" s="212"/>
      <c r="KK43" s="212"/>
      <c r="KL43" s="212"/>
      <c r="KM43" s="212"/>
      <c r="KN43" s="212"/>
      <c r="KO43" s="212"/>
      <c r="KP43" s="212"/>
      <c r="KQ43" s="212"/>
      <c r="KR43" s="212"/>
      <c r="KS43" s="212"/>
      <c r="KT43" s="212"/>
      <c r="KU43" s="212"/>
      <c r="KV43" s="212"/>
      <c r="KW43" s="212"/>
      <c r="KX43" s="212"/>
      <c r="KY43" s="212"/>
      <c r="KZ43" s="212"/>
      <c r="LA43" s="212"/>
      <c r="LB43" s="212"/>
      <c r="LC43" s="212"/>
      <c r="LD43" s="212"/>
      <c r="LE43" s="212"/>
      <c r="LF43" s="212"/>
      <c r="LG43" s="212"/>
      <c r="LH43" s="212"/>
      <c r="LI43" s="212"/>
      <c r="LJ43" s="212"/>
      <c r="LK43" s="212"/>
      <c r="LL43" s="212"/>
      <c r="LM43" s="212"/>
      <c r="LN43" s="212"/>
      <c r="LO43" s="212"/>
      <c r="LP43" s="212"/>
      <c r="LQ43" s="212"/>
      <c r="LR43" s="212"/>
      <c r="LS43" s="212"/>
      <c r="LT43" s="212"/>
      <c r="LU43" s="212"/>
      <c r="LV43" s="212"/>
      <c r="LW43" s="212"/>
      <c r="LX43" s="212"/>
      <c r="LY43" s="212"/>
      <c r="LZ43" s="212"/>
      <c r="MA43" s="212"/>
      <c r="MB43" s="212"/>
      <c r="MC43" s="212"/>
      <c r="MD43" s="212"/>
      <c r="ME43" s="212"/>
      <c r="MF43" s="212"/>
      <c r="MG43" s="212"/>
      <c r="MH43" s="212"/>
      <c r="MI43" s="212"/>
      <c r="MJ43" s="212"/>
      <c r="MK43" s="212"/>
      <c r="ML43" s="212"/>
      <c r="MM43" s="212"/>
      <c r="MN43" s="212"/>
      <c r="MO43" s="212"/>
      <c r="MP43" s="212"/>
      <c r="MQ43" s="212"/>
      <c r="MR43" s="212"/>
      <c r="MS43" s="212"/>
      <c r="MT43" s="212"/>
      <c r="MU43" s="212"/>
      <c r="MV43" s="212"/>
      <c r="MW43" s="212"/>
      <c r="MX43" s="212"/>
      <c r="MY43" s="212"/>
      <c r="MZ43" s="212"/>
      <c r="NA43" s="212"/>
      <c r="NB43" s="212"/>
      <c r="NC43" s="212"/>
      <c r="ND43" s="212"/>
      <c r="NE43" s="212"/>
      <c r="NF43" s="212"/>
      <c r="NG43" s="212"/>
      <c r="NH43" s="212"/>
      <c r="NI43" s="212"/>
      <c r="NJ43" s="212"/>
      <c r="NK43" s="212"/>
      <c r="NL43" s="212"/>
      <c r="NM43" s="212"/>
      <c r="NN43" s="212"/>
      <c r="NO43" s="212"/>
      <c r="NP43" s="212"/>
      <c r="NQ43" s="212"/>
      <c r="NR43" s="212"/>
      <c r="NS43" s="212"/>
      <c r="NT43" s="212"/>
      <c r="NU43" s="212"/>
      <c r="NV43" s="212"/>
      <c r="NW43" s="212"/>
      <c r="NX43" s="212"/>
      <c r="NY43" s="212"/>
      <c r="NZ43" s="212"/>
      <c r="OA43" s="212"/>
      <c r="OB43" s="212"/>
      <c r="OC43" s="212"/>
      <c r="OD43" s="212"/>
      <c r="OE43" s="212"/>
      <c r="OF43" s="212"/>
      <c r="OG43" s="212"/>
      <c r="OH43" s="212"/>
      <c r="OI43" s="212"/>
      <c r="OJ43" s="212"/>
      <c r="OK43" s="212"/>
      <c r="OL43" s="212"/>
      <c r="OM43" s="212"/>
      <c r="ON43" s="212"/>
      <c r="OO43" s="212"/>
      <c r="OP43" s="212"/>
      <c r="OQ43" s="212"/>
      <c r="OR43" s="212"/>
      <c r="OS43" s="212"/>
      <c r="OT43" s="212"/>
      <c r="OU43" s="212"/>
      <c r="OV43" s="212"/>
      <c r="OW43" s="212"/>
      <c r="OX43" s="212"/>
      <c r="OY43" s="212"/>
      <c r="OZ43" s="212"/>
      <c r="PA43" s="212"/>
      <c r="PB43" s="212"/>
      <c r="PC43" s="212"/>
      <c r="PD43" s="212"/>
      <c r="PE43" s="212"/>
      <c r="PF43" s="212"/>
      <c r="PG43" s="212"/>
      <c r="PH43" s="212"/>
      <c r="PI43" s="212"/>
      <c r="PJ43" s="212"/>
      <c r="PK43" s="212"/>
      <c r="PL43" s="212"/>
      <c r="PM43" s="212"/>
      <c r="PN43" s="212"/>
      <c r="PO43" s="212"/>
      <c r="PP43" s="212"/>
      <c r="PQ43" s="212"/>
      <c r="PR43" s="212"/>
      <c r="PS43" s="212"/>
      <c r="PT43" s="212"/>
      <c r="PU43" s="212"/>
      <c r="PV43" s="212"/>
      <c r="PW43" s="212"/>
      <c r="PX43" s="212"/>
      <c r="PY43" s="212"/>
      <c r="PZ43" s="212"/>
      <c r="QA43" s="212"/>
      <c r="QB43" s="212"/>
      <c r="QC43" s="212"/>
      <c r="QD43" s="212"/>
      <c r="QE43" s="212"/>
      <c r="QF43" s="212"/>
      <c r="QG43" s="212"/>
      <c r="QH43" s="212"/>
      <c r="QI43" s="212"/>
      <c r="QJ43" s="212"/>
      <c r="QK43" s="212"/>
      <c r="QL43" s="212"/>
      <c r="QM43" s="212"/>
      <c r="QN43" s="212"/>
      <c r="QO43" s="212"/>
      <c r="QP43" s="212"/>
      <c r="QQ43" s="212"/>
      <c r="QR43" s="212"/>
      <c r="QS43" s="212"/>
      <c r="QT43" s="212"/>
      <c r="QU43" s="212"/>
      <c r="QV43" s="212"/>
      <c r="QW43" s="212"/>
      <c r="QX43" s="212"/>
      <c r="QY43" s="212"/>
      <c r="QZ43" s="212"/>
      <c r="RA43" s="212"/>
      <c r="RB43" s="212"/>
      <c r="RC43" s="212"/>
      <c r="RD43" s="212"/>
      <c r="RE43" s="212"/>
      <c r="RF43" s="212"/>
      <c r="RG43" s="212"/>
      <c r="RH43" s="212"/>
      <c r="RI43" s="212"/>
      <c r="RJ43" s="212"/>
      <c r="RK43" s="212"/>
      <c r="RL43" s="212"/>
      <c r="RM43" s="212"/>
      <c r="RN43" s="212"/>
      <c r="RO43" s="212"/>
      <c r="RP43" s="212"/>
      <c r="RQ43" s="212"/>
      <c r="RR43" s="212"/>
      <c r="RS43" s="212"/>
      <c r="RT43" s="212"/>
      <c r="RU43" s="212"/>
      <c r="RV43" s="212"/>
      <c r="RW43" s="212"/>
      <c r="RX43" s="212"/>
      <c r="RY43" s="212"/>
      <c r="RZ43" s="212"/>
      <c r="SA43" s="212"/>
      <c r="SB43" s="212"/>
      <c r="SC43" s="212"/>
      <c r="SD43" s="212"/>
      <c r="SE43" s="212"/>
      <c r="SF43" s="212"/>
      <c r="SG43" s="212"/>
      <c r="SH43" s="212"/>
      <c r="SI43" s="212"/>
      <c r="SJ43" s="212"/>
      <c r="SK43" s="212"/>
      <c r="SL43" s="212"/>
      <c r="SM43" s="212"/>
      <c r="SN43" s="212"/>
      <c r="SO43" s="212"/>
      <c r="SP43" s="212"/>
      <c r="SQ43" s="212"/>
      <c r="SR43" s="212"/>
      <c r="SS43" s="212"/>
      <c r="ST43" s="212"/>
      <c r="SU43" s="212"/>
      <c r="SV43" s="212"/>
      <c r="SW43" s="212"/>
      <c r="SX43" s="212"/>
      <c r="SY43" s="212"/>
      <c r="SZ43" s="212"/>
      <c r="TA43" s="212"/>
      <c r="TB43" s="212"/>
      <c r="TC43" s="212"/>
      <c r="TD43" s="212"/>
      <c r="TE43" s="212"/>
      <c r="TF43" s="212"/>
      <c r="TG43" s="212"/>
      <c r="TH43" s="212"/>
      <c r="TI43" s="212"/>
      <c r="TJ43" s="212"/>
      <c r="TK43" s="212"/>
      <c r="TL43" s="212"/>
      <c r="TM43" s="212"/>
      <c r="TN43" s="212"/>
      <c r="TO43" s="212"/>
      <c r="TP43" s="212"/>
      <c r="TQ43" s="212"/>
      <c r="TR43" s="212"/>
      <c r="TS43" s="212"/>
      <c r="TT43" s="212"/>
      <c r="TU43" s="212"/>
      <c r="TV43" s="212"/>
      <c r="TW43" s="212"/>
      <c r="TX43" s="212"/>
      <c r="TY43" s="212"/>
      <c r="TZ43" s="212"/>
      <c r="UA43" s="212"/>
      <c r="UB43" s="212"/>
      <c r="UC43" s="212"/>
      <c r="UD43" s="212"/>
      <c r="UE43" s="212"/>
      <c r="UF43" s="212"/>
      <c r="UG43" s="212"/>
      <c r="UH43" s="212"/>
      <c r="UI43" s="212"/>
      <c r="UJ43" s="212"/>
      <c r="UK43" s="212"/>
      <c r="UL43" s="212"/>
      <c r="UM43" s="212"/>
      <c r="UN43" s="212"/>
      <c r="UO43" s="212"/>
      <c r="UP43" s="212"/>
      <c r="UQ43" s="212"/>
      <c r="UR43" s="212"/>
      <c r="US43" s="212"/>
      <c r="UT43" s="194"/>
    </row>
    <row r="44" spans="2:566" ht="15.75" customHeight="1" x14ac:dyDescent="0.3">
      <c r="B44" s="117" t="s">
        <v>50</v>
      </c>
      <c r="C44" s="107" t="s">
        <v>181</v>
      </c>
      <c r="D44" s="102" t="str">
        <f t="shared" si="28"/>
        <v/>
      </c>
      <c r="E44" s="103" t="str">
        <f t="shared" si="29"/>
        <v/>
      </c>
      <c r="F44" s="212"/>
      <c r="G44" s="212"/>
      <c r="H44" s="212"/>
      <c r="I44" s="212"/>
      <c r="J44" s="212"/>
      <c r="K44" s="212"/>
      <c r="L44" s="212"/>
      <c r="M44" s="212"/>
      <c r="N44" s="212"/>
      <c r="O44" s="212"/>
      <c r="P44" s="213"/>
      <c r="Q44" s="213"/>
      <c r="R44" s="212"/>
      <c r="S44" s="212"/>
      <c r="T44" s="212"/>
      <c r="U44" s="212"/>
      <c r="V44" s="212"/>
      <c r="W44" s="213"/>
      <c r="X44" s="213"/>
      <c r="Y44" s="212"/>
      <c r="Z44" s="212"/>
      <c r="AA44" s="212"/>
      <c r="AB44" s="213"/>
      <c r="AC44" s="213"/>
      <c r="AD44" s="213"/>
      <c r="AE44" s="213"/>
      <c r="AF44" s="213"/>
      <c r="AG44" s="213"/>
      <c r="AH44" s="212"/>
      <c r="AI44" s="212"/>
      <c r="AJ44" s="212"/>
      <c r="AK44" s="213"/>
      <c r="AL44" s="213"/>
      <c r="AM44" s="212"/>
      <c r="AN44" s="212"/>
      <c r="AO44" s="212"/>
      <c r="AP44" s="212"/>
      <c r="AQ44" s="212"/>
      <c r="AR44" s="212"/>
      <c r="AS44" s="212"/>
      <c r="AT44" s="212"/>
      <c r="AU44" s="212"/>
      <c r="AV44" s="212"/>
      <c r="AW44" s="212"/>
      <c r="AX44" s="212"/>
      <c r="AY44" s="212"/>
      <c r="AZ44" s="212"/>
      <c r="BA44" s="212"/>
      <c r="BB44" s="212"/>
      <c r="BC44" s="212"/>
      <c r="BD44" s="212"/>
      <c r="BE44" s="212"/>
      <c r="BF44" s="212"/>
      <c r="BG44" s="212"/>
      <c r="BH44" s="212"/>
      <c r="BI44" s="212"/>
      <c r="BJ44" s="212"/>
      <c r="BK44" s="212"/>
      <c r="BL44" s="212"/>
      <c r="BM44" s="212"/>
      <c r="BN44" s="212"/>
      <c r="BO44" s="212"/>
      <c r="BP44" s="212"/>
      <c r="BQ44" s="212"/>
      <c r="BR44" s="212"/>
      <c r="BS44" s="212"/>
      <c r="BT44" s="212"/>
      <c r="BU44" s="212"/>
      <c r="BV44" s="212"/>
      <c r="BW44" s="212"/>
      <c r="BX44" s="212"/>
      <c r="BY44" s="212"/>
      <c r="BZ44" s="212"/>
      <c r="CA44" s="212"/>
      <c r="CB44" s="212"/>
      <c r="CC44" s="212"/>
      <c r="CD44" s="212"/>
      <c r="CE44" s="212"/>
      <c r="CF44" s="212"/>
      <c r="CG44" s="212"/>
      <c r="CH44" s="212"/>
      <c r="CI44" s="212"/>
      <c r="CJ44" s="212"/>
      <c r="CK44" s="212"/>
      <c r="CL44" s="212"/>
      <c r="CM44" s="212"/>
      <c r="CN44" s="212"/>
      <c r="CO44" s="212"/>
      <c r="CP44" s="212"/>
      <c r="CQ44" s="212"/>
      <c r="CR44" s="212"/>
      <c r="CS44" s="212"/>
      <c r="CT44" s="212"/>
      <c r="CU44" s="212"/>
      <c r="CV44" s="212"/>
      <c r="CW44" s="212"/>
      <c r="CX44" s="212"/>
      <c r="CY44" s="212"/>
      <c r="CZ44" s="212"/>
      <c r="DA44" s="212"/>
      <c r="DB44" s="212"/>
      <c r="DC44" s="212"/>
      <c r="DD44" s="212"/>
      <c r="DE44" s="212"/>
      <c r="DF44" s="212"/>
      <c r="DG44" s="212"/>
      <c r="DH44" s="212"/>
      <c r="DI44" s="212"/>
      <c r="DJ44" s="212"/>
      <c r="DK44" s="212"/>
      <c r="DL44" s="212"/>
      <c r="DM44" s="212"/>
      <c r="DN44" s="212"/>
      <c r="DO44" s="212"/>
      <c r="DP44" s="212"/>
      <c r="DQ44" s="212"/>
      <c r="DR44" s="212"/>
      <c r="DS44" s="212"/>
      <c r="DT44" s="212"/>
      <c r="DU44" s="212"/>
      <c r="DV44" s="212"/>
      <c r="DW44" s="212"/>
      <c r="DX44" s="212"/>
      <c r="DY44" s="212"/>
      <c r="DZ44" s="212"/>
      <c r="EA44" s="212"/>
      <c r="EB44" s="214"/>
      <c r="EC44" s="212"/>
      <c r="ED44" s="212"/>
      <c r="EE44" s="212"/>
      <c r="EF44" s="212"/>
      <c r="EG44" s="212"/>
      <c r="EH44" s="212"/>
      <c r="EI44" s="212"/>
      <c r="EJ44" s="212"/>
      <c r="EK44" s="212"/>
      <c r="EL44" s="212"/>
      <c r="EM44" s="212"/>
      <c r="EN44" s="212"/>
      <c r="EO44" s="212"/>
      <c r="EP44" s="212"/>
      <c r="EQ44" s="212"/>
      <c r="ER44" s="212"/>
      <c r="ES44" s="212"/>
      <c r="ET44" s="212"/>
      <c r="EU44" s="212"/>
      <c r="EV44" s="212"/>
      <c r="EW44" s="212"/>
      <c r="EX44" s="212"/>
      <c r="EY44" s="212"/>
      <c r="EZ44" s="212"/>
      <c r="FA44" s="212"/>
      <c r="FB44" s="212"/>
      <c r="FC44" s="212"/>
      <c r="FD44" s="212"/>
      <c r="FE44" s="212"/>
      <c r="FF44" s="212"/>
      <c r="FG44" s="212"/>
      <c r="FH44" s="212"/>
      <c r="FI44" s="212"/>
      <c r="FJ44" s="212"/>
      <c r="FK44" s="212"/>
      <c r="FL44" s="212"/>
      <c r="FM44" s="212"/>
      <c r="FN44" s="212"/>
      <c r="FO44" s="212"/>
      <c r="FP44" s="212"/>
      <c r="FQ44" s="212"/>
      <c r="FR44" s="212"/>
      <c r="FS44" s="212"/>
      <c r="FT44" s="212"/>
      <c r="FU44" s="212"/>
      <c r="FV44" s="212"/>
      <c r="FW44" s="212"/>
      <c r="FX44" s="212"/>
      <c r="FY44" s="212"/>
      <c r="FZ44" s="212"/>
      <c r="GA44" s="212"/>
      <c r="GB44" s="212"/>
      <c r="GC44" s="212"/>
      <c r="GD44" s="212"/>
      <c r="GE44" s="212"/>
      <c r="GF44" s="212"/>
      <c r="GG44" s="212"/>
      <c r="GH44" s="212"/>
      <c r="GI44" s="212"/>
      <c r="GJ44" s="212"/>
      <c r="GK44" s="212"/>
      <c r="GL44" s="212"/>
      <c r="GM44" s="212"/>
      <c r="GN44" s="212"/>
      <c r="GO44" s="212"/>
      <c r="GP44" s="212"/>
      <c r="GQ44" s="212"/>
      <c r="GR44" s="212"/>
      <c r="GS44" s="212"/>
      <c r="GT44" s="212"/>
      <c r="GU44" s="212"/>
      <c r="GV44" s="212"/>
      <c r="GW44" s="212"/>
      <c r="GX44" s="212"/>
      <c r="GY44" s="212"/>
      <c r="GZ44" s="212"/>
      <c r="HA44" s="212"/>
      <c r="HB44" s="212"/>
      <c r="HC44" s="212"/>
      <c r="HD44" s="212"/>
      <c r="HE44" s="212"/>
      <c r="HF44" s="212"/>
      <c r="HG44" s="212"/>
      <c r="HH44" s="212"/>
      <c r="HI44" s="212"/>
      <c r="HJ44" s="212"/>
      <c r="HK44" s="212"/>
      <c r="HL44" s="212"/>
      <c r="HM44" s="212"/>
      <c r="HN44" s="212"/>
      <c r="HO44" s="212"/>
      <c r="HP44" s="212"/>
      <c r="HQ44" s="212"/>
      <c r="HR44" s="212"/>
      <c r="HS44" s="212"/>
      <c r="HT44" s="212"/>
      <c r="HU44" s="212"/>
      <c r="HV44" s="212"/>
      <c r="HW44" s="212"/>
      <c r="HX44" s="212"/>
      <c r="HY44" s="212"/>
      <c r="HZ44" s="212"/>
      <c r="IA44" s="212"/>
      <c r="IB44" s="212"/>
      <c r="IC44" s="212"/>
      <c r="ID44" s="212"/>
      <c r="IE44" s="212"/>
      <c r="IF44" s="212"/>
      <c r="IG44" s="212"/>
      <c r="IH44" s="212"/>
      <c r="II44" s="212"/>
      <c r="IJ44" s="212"/>
      <c r="IK44" s="212"/>
      <c r="IL44" s="212"/>
      <c r="IM44" s="212"/>
      <c r="IN44" s="212"/>
      <c r="IO44" s="212"/>
      <c r="IP44" s="212"/>
      <c r="IQ44" s="212"/>
      <c r="IR44" s="212"/>
      <c r="IS44" s="212"/>
      <c r="IT44" s="212"/>
      <c r="IU44" s="212"/>
      <c r="IV44" s="212"/>
      <c r="IW44" s="212"/>
      <c r="IX44" s="212"/>
      <c r="IY44" s="212"/>
      <c r="IZ44" s="212"/>
      <c r="JA44" s="212"/>
      <c r="JB44" s="212"/>
      <c r="JC44" s="212"/>
      <c r="JD44" s="212"/>
      <c r="JE44" s="212"/>
      <c r="JF44" s="212"/>
      <c r="JG44" s="212"/>
      <c r="JH44" s="212"/>
      <c r="JI44" s="212"/>
      <c r="JJ44" s="212"/>
      <c r="JK44" s="212"/>
      <c r="JL44" s="212"/>
      <c r="JM44" s="212"/>
      <c r="JN44" s="212"/>
      <c r="JO44" s="212"/>
      <c r="JP44" s="212"/>
      <c r="JQ44" s="212"/>
      <c r="JR44" s="212"/>
      <c r="JS44" s="212"/>
      <c r="JT44" s="212"/>
      <c r="JU44" s="212"/>
      <c r="JV44" s="212"/>
      <c r="JW44" s="212"/>
      <c r="JX44" s="212"/>
      <c r="JY44" s="212"/>
      <c r="JZ44" s="212"/>
      <c r="KA44" s="212"/>
      <c r="KB44" s="212"/>
      <c r="KC44" s="212"/>
      <c r="KD44" s="212"/>
      <c r="KE44" s="212"/>
      <c r="KF44" s="212"/>
      <c r="KG44" s="212"/>
      <c r="KH44" s="212"/>
      <c r="KI44" s="212"/>
      <c r="KJ44" s="212"/>
      <c r="KK44" s="212"/>
      <c r="KL44" s="212"/>
      <c r="KM44" s="212"/>
      <c r="KN44" s="212"/>
      <c r="KO44" s="212"/>
      <c r="KP44" s="212"/>
      <c r="KQ44" s="212"/>
      <c r="KR44" s="212"/>
      <c r="KS44" s="212"/>
      <c r="KT44" s="212"/>
      <c r="KU44" s="212"/>
      <c r="KV44" s="212"/>
      <c r="KW44" s="212"/>
      <c r="KX44" s="212"/>
      <c r="KY44" s="212"/>
      <c r="KZ44" s="212"/>
      <c r="LA44" s="212"/>
      <c r="LB44" s="212"/>
      <c r="LC44" s="212"/>
      <c r="LD44" s="212"/>
      <c r="LE44" s="212"/>
      <c r="LF44" s="212"/>
      <c r="LG44" s="212"/>
      <c r="LH44" s="212"/>
      <c r="LI44" s="212"/>
      <c r="LJ44" s="212"/>
      <c r="LK44" s="212"/>
      <c r="LL44" s="212"/>
      <c r="LM44" s="212"/>
      <c r="LN44" s="212"/>
      <c r="LO44" s="212"/>
      <c r="LP44" s="212"/>
      <c r="LQ44" s="212"/>
      <c r="LR44" s="212"/>
      <c r="LS44" s="212"/>
      <c r="LT44" s="212"/>
      <c r="LU44" s="212"/>
      <c r="LV44" s="212"/>
      <c r="LW44" s="212"/>
      <c r="LX44" s="212"/>
      <c r="LY44" s="212"/>
      <c r="LZ44" s="212"/>
      <c r="MA44" s="212"/>
      <c r="MB44" s="212"/>
      <c r="MC44" s="212"/>
      <c r="MD44" s="212"/>
      <c r="ME44" s="212"/>
      <c r="MF44" s="212"/>
      <c r="MG44" s="212"/>
      <c r="MH44" s="212"/>
      <c r="MI44" s="212"/>
      <c r="MJ44" s="212"/>
      <c r="MK44" s="212"/>
      <c r="ML44" s="212"/>
      <c r="MM44" s="212"/>
      <c r="MN44" s="212"/>
      <c r="MO44" s="212"/>
      <c r="MP44" s="212"/>
      <c r="MQ44" s="212"/>
      <c r="MR44" s="212"/>
      <c r="MS44" s="212"/>
      <c r="MT44" s="212"/>
      <c r="MU44" s="212"/>
      <c r="MV44" s="212"/>
      <c r="MW44" s="212"/>
      <c r="MX44" s="212"/>
      <c r="MY44" s="212"/>
      <c r="MZ44" s="212"/>
      <c r="NA44" s="212"/>
      <c r="NB44" s="212"/>
      <c r="NC44" s="212"/>
      <c r="ND44" s="212"/>
      <c r="NE44" s="212"/>
      <c r="NF44" s="212"/>
      <c r="NG44" s="212"/>
      <c r="NH44" s="212"/>
      <c r="NI44" s="212"/>
      <c r="NJ44" s="212"/>
      <c r="NK44" s="212"/>
      <c r="NL44" s="212"/>
      <c r="NM44" s="212"/>
      <c r="NN44" s="212"/>
      <c r="NO44" s="212"/>
      <c r="NP44" s="212"/>
      <c r="NQ44" s="212"/>
      <c r="NR44" s="212"/>
      <c r="NS44" s="212"/>
      <c r="NT44" s="212"/>
      <c r="NU44" s="212"/>
      <c r="NV44" s="212"/>
      <c r="NW44" s="212"/>
      <c r="NX44" s="212"/>
      <c r="NY44" s="212"/>
      <c r="NZ44" s="212"/>
      <c r="OA44" s="212"/>
      <c r="OB44" s="212"/>
      <c r="OC44" s="212"/>
      <c r="OD44" s="212"/>
      <c r="OE44" s="212"/>
      <c r="OF44" s="212"/>
      <c r="OG44" s="212"/>
      <c r="OH44" s="212"/>
      <c r="OI44" s="212"/>
      <c r="OJ44" s="212"/>
      <c r="OK44" s="212"/>
      <c r="OL44" s="212"/>
      <c r="OM44" s="212"/>
      <c r="ON44" s="212"/>
      <c r="OO44" s="212"/>
      <c r="OP44" s="212"/>
      <c r="OQ44" s="212"/>
      <c r="OR44" s="212"/>
      <c r="OS44" s="212"/>
      <c r="OT44" s="212"/>
      <c r="OU44" s="212"/>
      <c r="OV44" s="212"/>
      <c r="OW44" s="212"/>
      <c r="OX44" s="212"/>
      <c r="OY44" s="212"/>
      <c r="OZ44" s="212"/>
      <c r="PA44" s="212"/>
      <c r="PB44" s="212"/>
      <c r="PC44" s="212"/>
      <c r="PD44" s="212"/>
      <c r="PE44" s="212"/>
      <c r="PF44" s="212"/>
      <c r="PG44" s="212"/>
      <c r="PH44" s="212"/>
      <c r="PI44" s="212"/>
      <c r="PJ44" s="212"/>
      <c r="PK44" s="212"/>
      <c r="PL44" s="212"/>
      <c r="PM44" s="212"/>
      <c r="PN44" s="212"/>
      <c r="PO44" s="212"/>
      <c r="PP44" s="212"/>
      <c r="PQ44" s="212"/>
      <c r="PR44" s="212"/>
      <c r="PS44" s="212"/>
      <c r="PT44" s="212"/>
      <c r="PU44" s="212"/>
      <c r="PV44" s="212"/>
      <c r="PW44" s="212"/>
      <c r="PX44" s="212"/>
      <c r="PY44" s="212"/>
      <c r="PZ44" s="212"/>
      <c r="QA44" s="212"/>
      <c r="QB44" s="212"/>
      <c r="QC44" s="212"/>
      <c r="QD44" s="212"/>
      <c r="QE44" s="212"/>
      <c r="QF44" s="212"/>
      <c r="QG44" s="212"/>
      <c r="QH44" s="212"/>
      <c r="QI44" s="212"/>
      <c r="QJ44" s="212"/>
      <c r="QK44" s="212"/>
      <c r="QL44" s="212"/>
      <c r="QM44" s="212"/>
      <c r="QN44" s="212"/>
      <c r="QO44" s="212"/>
      <c r="QP44" s="212"/>
      <c r="QQ44" s="212"/>
      <c r="QR44" s="212"/>
      <c r="QS44" s="212"/>
      <c r="QT44" s="212"/>
      <c r="QU44" s="212"/>
      <c r="QV44" s="212"/>
      <c r="QW44" s="212"/>
      <c r="QX44" s="212"/>
      <c r="QY44" s="212"/>
      <c r="QZ44" s="212"/>
      <c r="RA44" s="212"/>
      <c r="RB44" s="212"/>
      <c r="RC44" s="212"/>
      <c r="RD44" s="212"/>
      <c r="RE44" s="212"/>
      <c r="RF44" s="212"/>
      <c r="RG44" s="212"/>
      <c r="RH44" s="212"/>
      <c r="RI44" s="212"/>
      <c r="RJ44" s="212"/>
      <c r="RK44" s="212"/>
      <c r="RL44" s="212"/>
      <c r="RM44" s="212"/>
      <c r="RN44" s="212"/>
      <c r="RO44" s="212"/>
      <c r="RP44" s="212"/>
      <c r="RQ44" s="212"/>
      <c r="RR44" s="212"/>
      <c r="RS44" s="212"/>
      <c r="RT44" s="212"/>
      <c r="RU44" s="212"/>
      <c r="RV44" s="212"/>
      <c r="RW44" s="212"/>
      <c r="RX44" s="212"/>
      <c r="RY44" s="212"/>
      <c r="RZ44" s="212"/>
      <c r="SA44" s="212"/>
      <c r="SB44" s="212"/>
      <c r="SC44" s="212"/>
      <c r="SD44" s="212"/>
      <c r="SE44" s="212"/>
      <c r="SF44" s="212"/>
      <c r="SG44" s="212"/>
      <c r="SH44" s="212"/>
      <c r="SI44" s="212"/>
      <c r="SJ44" s="212"/>
      <c r="SK44" s="212"/>
      <c r="SL44" s="212"/>
      <c r="SM44" s="212"/>
      <c r="SN44" s="212"/>
      <c r="SO44" s="212"/>
      <c r="SP44" s="212"/>
      <c r="SQ44" s="212"/>
      <c r="SR44" s="212"/>
      <c r="SS44" s="212"/>
      <c r="ST44" s="212"/>
      <c r="SU44" s="212"/>
      <c r="SV44" s="212"/>
      <c r="SW44" s="212"/>
      <c r="SX44" s="212"/>
      <c r="SY44" s="212"/>
      <c r="SZ44" s="212"/>
      <c r="TA44" s="212"/>
      <c r="TB44" s="212"/>
      <c r="TC44" s="212"/>
      <c r="TD44" s="212"/>
      <c r="TE44" s="212"/>
      <c r="TF44" s="212"/>
      <c r="TG44" s="212"/>
      <c r="TH44" s="212"/>
      <c r="TI44" s="212"/>
      <c r="TJ44" s="212"/>
      <c r="TK44" s="212"/>
      <c r="TL44" s="212"/>
      <c r="TM44" s="212"/>
      <c r="TN44" s="212"/>
      <c r="TO44" s="212"/>
      <c r="TP44" s="212"/>
      <c r="TQ44" s="212"/>
      <c r="TR44" s="212"/>
      <c r="TS44" s="212"/>
      <c r="TT44" s="212"/>
      <c r="TU44" s="212"/>
      <c r="TV44" s="212"/>
      <c r="TW44" s="212"/>
      <c r="TX44" s="212"/>
      <c r="TY44" s="212"/>
      <c r="TZ44" s="212"/>
      <c r="UA44" s="212"/>
      <c r="UB44" s="212"/>
      <c r="UC44" s="212"/>
      <c r="UD44" s="212"/>
      <c r="UE44" s="212"/>
      <c r="UF44" s="212"/>
      <c r="UG44" s="212"/>
      <c r="UH44" s="212"/>
      <c r="UI44" s="212"/>
      <c r="UJ44" s="212"/>
      <c r="UK44" s="212"/>
      <c r="UL44" s="212"/>
      <c r="UM44" s="212"/>
      <c r="UN44" s="212"/>
      <c r="UO44" s="212"/>
      <c r="UP44" s="212"/>
      <c r="UQ44" s="212"/>
      <c r="UR44" s="212"/>
      <c r="US44" s="212"/>
      <c r="UT44" s="194"/>
    </row>
    <row r="45" spans="2:566" ht="15.75" customHeight="1" x14ac:dyDescent="0.3">
      <c r="B45" s="117" t="s">
        <v>49</v>
      </c>
      <c r="C45" s="107" t="s">
        <v>160</v>
      </c>
      <c r="D45" s="102" t="str">
        <f t="shared" si="28"/>
        <v/>
      </c>
      <c r="E45" s="103" t="str">
        <f t="shared" si="29"/>
        <v/>
      </c>
      <c r="F45" s="212"/>
      <c r="G45" s="212"/>
      <c r="H45" s="212"/>
      <c r="I45" s="212"/>
      <c r="J45" s="212"/>
      <c r="K45" s="212"/>
      <c r="L45" s="212"/>
      <c r="M45" s="212"/>
      <c r="N45" s="212"/>
      <c r="O45" s="212"/>
      <c r="P45" s="213"/>
      <c r="Q45" s="213"/>
      <c r="R45" s="212"/>
      <c r="S45" s="212"/>
      <c r="T45" s="212"/>
      <c r="U45" s="212"/>
      <c r="V45" s="212"/>
      <c r="W45" s="213"/>
      <c r="X45" s="213"/>
      <c r="Y45" s="212"/>
      <c r="Z45" s="212"/>
      <c r="AA45" s="212"/>
      <c r="AB45" s="213"/>
      <c r="AC45" s="213"/>
      <c r="AD45" s="213"/>
      <c r="AE45" s="213"/>
      <c r="AF45" s="213"/>
      <c r="AG45" s="213"/>
      <c r="AH45" s="212"/>
      <c r="AI45" s="212"/>
      <c r="AJ45" s="212"/>
      <c r="AK45" s="213"/>
      <c r="AL45" s="213"/>
      <c r="AM45" s="212"/>
      <c r="AN45" s="212"/>
      <c r="AO45" s="212"/>
      <c r="AP45" s="212"/>
      <c r="AQ45" s="212"/>
      <c r="AR45" s="212"/>
      <c r="AS45" s="212"/>
      <c r="AT45" s="212"/>
      <c r="AU45" s="212"/>
      <c r="AV45" s="212"/>
      <c r="AW45" s="212"/>
      <c r="AX45" s="212"/>
      <c r="AY45" s="212"/>
      <c r="AZ45" s="212"/>
      <c r="BA45" s="212"/>
      <c r="BB45" s="212"/>
      <c r="BC45" s="212"/>
      <c r="BD45" s="212"/>
      <c r="BE45" s="212"/>
      <c r="BF45" s="212"/>
      <c r="BG45" s="212"/>
      <c r="BH45" s="212"/>
      <c r="BI45" s="212"/>
      <c r="BJ45" s="212"/>
      <c r="BK45" s="212"/>
      <c r="BL45" s="212"/>
      <c r="BM45" s="212"/>
      <c r="BN45" s="212"/>
      <c r="BO45" s="212"/>
      <c r="BP45" s="212"/>
      <c r="BQ45" s="212"/>
      <c r="BR45" s="212"/>
      <c r="BS45" s="212"/>
      <c r="BT45" s="212"/>
      <c r="BU45" s="212"/>
      <c r="BV45" s="212"/>
      <c r="BW45" s="212"/>
      <c r="BX45" s="212"/>
      <c r="BY45" s="212"/>
      <c r="BZ45" s="212"/>
      <c r="CA45" s="212"/>
      <c r="CB45" s="212"/>
      <c r="CC45" s="212"/>
      <c r="CD45" s="212"/>
      <c r="CE45" s="212"/>
      <c r="CF45" s="212"/>
      <c r="CG45" s="212"/>
      <c r="CH45" s="212"/>
      <c r="CI45" s="212"/>
      <c r="CJ45" s="212"/>
      <c r="CK45" s="212"/>
      <c r="CL45" s="212"/>
      <c r="CM45" s="212"/>
      <c r="CN45" s="212"/>
      <c r="CO45" s="212"/>
      <c r="CP45" s="212"/>
      <c r="CQ45" s="212"/>
      <c r="CR45" s="212"/>
      <c r="CS45" s="212"/>
      <c r="CT45" s="212"/>
      <c r="CU45" s="212"/>
      <c r="CV45" s="212"/>
      <c r="CW45" s="212"/>
      <c r="CX45" s="212"/>
      <c r="CY45" s="212"/>
      <c r="CZ45" s="212"/>
      <c r="DA45" s="212"/>
      <c r="DB45" s="212"/>
      <c r="DC45" s="212"/>
      <c r="DD45" s="212"/>
      <c r="DE45" s="212"/>
      <c r="DF45" s="212"/>
      <c r="DG45" s="212"/>
      <c r="DH45" s="212"/>
      <c r="DI45" s="212"/>
      <c r="DJ45" s="212"/>
      <c r="DK45" s="212"/>
      <c r="DL45" s="212"/>
      <c r="DM45" s="212"/>
      <c r="DN45" s="212"/>
      <c r="DO45" s="212"/>
      <c r="DP45" s="212"/>
      <c r="DQ45" s="212"/>
      <c r="DR45" s="212"/>
      <c r="DS45" s="212"/>
      <c r="DT45" s="212"/>
      <c r="DU45" s="212"/>
      <c r="DV45" s="212"/>
      <c r="DW45" s="212"/>
      <c r="DX45" s="212"/>
      <c r="DY45" s="212"/>
      <c r="DZ45" s="212"/>
      <c r="EA45" s="212"/>
      <c r="EB45" s="214"/>
      <c r="EC45" s="212"/>
      <c r="ED45" s="212"/>
      <c r="EE45" s="212"/>
      <c r="EF45" s="212"/>
      <c r="EG45" s="212"/>
      <c r="EH45" s="212"/>
      <c r="EI45" s="212"/>
      <c r="EJ45" s="212"/>
      <c r="EK45" s="212"/>
      <c r="EL45" s="212"/>
      <c r="EM45" s="212"/>
      <c r="EN45" s="212"/>
      <c r="EO45" s="212"/>
      <c r="EP45" s="212"/>
      <c r="EQ45" s="212"/>
      <c r="ER45" s="212"/>
      <c r="ES45" s="212"/>
      <c r="ET45" s="212"/>
      <c r="EU45" s="212"/>
      <c r="EV45" s="212"/>
      <c r="EW45" s="212"/>
      <c r="EX45" s="212"/>
      <c r="EY45" s="212"/>
      <c r="EZ45" s="212"/>
      <c r="FA45" s="212"/>
      <c r="FB45" s="212"/>
      <c r="FC45" s="212"/>
      <c r="FD45" s="212"/>
      <c r="FE45" s="212"/>
      <c r="FF45" s="212"/>
      <c r="FG45" s="212"/>
      <c r="FH45" s="212"/>
      <c r="FI45" s="212"/>
      <c r="FJ45" s="212"/>
      <c r="FK45" s="212"/>
      <c r="FL45" s="212"/>
      <c r="FM45" s="212"/>
      <c r="FN45" s="212"/>
      <c r="FO45" s="212"/>
      <c r="FP45" s="212"/>
      <c r="FQ45" s="212"/>
      <c r="FR45" s="212"/>
      <c r="FS45" s="212"/>
      <c r="FT45" s="212"/>
      <c r="FU45" s="212"/>
      <c r="FV45" s="212"/>
      <c r="FW45" s="212"/>
      <c r="FX45" s="212"/>
      <c r="FY45" s="212"/>
      <c r="FZ45" s="212"/>
      <c r="GA45" s="212"/>
      <c r="GB45" s="212"/>
      <c r="GC45" s="212"/>
      <c r="GD45" s="212"/>
      <c r="GE45" s="212"/>
      <c r="GF45" s="212"/>
      <c r="GG45" s="212"/>
      <c r="GH45" s="212"/>
      <c r="GI45" s="212"/>
      <c r="GJ45" s="212"/>
      <c r="GK45" s="212"/>
      <c r="GL45" s="212"/>
      <c r="GM45" s="212"/>
      <c r="GN45" s="212"/>
      <c r="GO45" s="212"/>
      <c r="GP45" s="212"/>
      <c r="GQ45" s="212"/>
      <c r="GR45" s="212"/>
      <c r="GS45" s="212"/>
      <c r="GT45" s="212"/>
      <c r="GU45" s="212"/>
      <c r="GV45" s="212"/>
      <c r="GW45" s="212"/>
      <c r="GX45" s="212"/>
      <c r="GY45" s="212"/>
      <c r="GZ45" s="212"/>
      <c r="HA45" s="212"/>
      <c r="HB45" s="212"/>
      <c r="HC45" s="212"/>
      <c r="HD45" s="212"/>
      <c r="HE45" s="212"/>
      <c r="HF45" s="212"/>
      <c r="HG45" s="212"/>
      <c r="HH45" s="212"/>
      <c r="HI45" s="212"/>
      <c r="HJ45" s="212"/>
      <c r="HK45" s="212"/>
      <c r="HL45" s="212"/>
      <c r="HM45" s="212"/>
      <c r="HN45" s="212"/>
      <c r="HO45" s="212"/>
      <c r="HP45" s="212"/>
      <c r="HQ45" s="212"/>
      <c r="HR45" s="212"/>
      <c r="HS45" s="212"/>
      <c r="HT45" s="212"/>
      <c r="HU45" s="212"/>
      <c r="HV45" s="212"/>
      <c r="HW45" s="212"/>
      <c r="HX45" s="212"/>
      <c r="HY45" s="212"/>
      <c r="HZ45" s="212"/>
      <c r="IA45" s="212"/>
      <c r="IB45" s="212"/>
      <c r="IC45" s="212"/>
      <c r="ID45" s="212"/>
      <c r="IE45" s="212"/>
      <c r="IF45" s="212"/>
      <c r="IG45" s="212"/>
      <c r="IH45" s="212"/>
      <c r="II45" s="212"/>
      <c r="IJ45" s="212"/>
      <c r="IK45" s="212"/>
      <c r="IL45" s="212"/>
      <c r="IM45" s="212"/>
      <c r="IN45" s="212"/>
      <c r="IO45" s="212"/>
      <c r="IP45" s="212"/>
      <c r="IQ45" s="212"/>
      <c r="IR45" s="212"/>
      <c r="IS45" s="212"/>
      <c r="IT45" s="212"/>
      <c r="IU45" s="212"/>
      <c r="IV45" s="212"/>
      <c r="IW45" s="212"/>
      <c r="IX45" s="212"/>
      <c r="IY45" s="212"/>
      <c r="IZ45" s="212"/>
      <c r="JA45" s="212"/>
      <c r="JB45" s="212"/>
      <c r="JC45" s="212"/>
      <c r="JD45" s="212"/>
      <c r="JE45" s="212"/>
      <c r="JF45" s="212"/>
      <c r="JG45" s="212"/>
      <c r="JH45" s="212"/>
      <c r="JI45" s="212"/>
      <c r="JJ45" s="212"/>
      <c r="JK45" s="212"/>
      <c r="JL45" s="212"/>
      <c r="JM45" s="212"/>
      <c r="JN45" s="212"/>
      <c r="JO45" s="212"/>
      <c r="JP45" s="212"/>
      <c r="JQ45" s="212"/>
      <c r="JR45" s="212"/>
      <c r="JS45" s="212"/>
      <c r="JT45" s="212"/>
      <c r="JU45" s="212"/>
      <c r="JV45" s="212"/>
      <c r="JW45" s="212"/>
      <c r="JX45" s="212"/>
      <c r="JY45" s="212"/>
      <c r="JZ45" s="212"/>
      <c r="KA45" s="212"/>
      <c r="KB45" s="212"/>
      <c r="KC45" s="212"/>
      <c r="KD45" s="212"/>
      <c r="KE45" s="212"/>
      <c r="KF45" s="212"/>
      <c r="KG45" s="212"/>
      <c r="KH45" s="212"/>
      <c r="KI45" s="212"/>
      <c r="KJ45" s="212"/>
      <c r="KK45" s="212"/>
      <c r="KL45" s="212"/>
      <c r="KM45" s="212"/>
      <c r="KN45" s="212"/>
      <c r="KO45" s="212"/>
      <c r="KP45" s="212"/>
      <c r="KQ45" s="212"/>
      <c r="KR45" s="212"/>
      <c r="KS45" s="212"/>
      <c r="KT45" s="212"/>
      <c r="KU45" s="212"/>
      <c r="KV45" s="212"/>
      <c r="KW45" s="212"/>
      <c r="KX45" s="212"/>
      <c r="KY45" s="212"/>
      <c r="KZ45" s="212"/>
      <c r="LA45" s="212"/>
      <c r="LB45" s="212"/>
      <c r="LC45" s="212"/>
      <c r="LD45" s="212"/>
      <c r="LE45" s="212"/>
      <c r="LF45" s="212"/>
      <c r="LG45" s="212"/>
      <c r="LH45" s="212"/>
      <c r="LI45" s="212"/>
      <c r="LJ45" s="212"/>
      <c r="LK45" s="212"/>
      <c r="LL45" s="212"/>
      <c r="LM45" s="212"/>
      <c r="LN45" s="212"/>
      <c r="LO45" s="212"/>
      <c r="LP45" s="212"/>
      <c r="LQ45" s="212"/>
      <c r="LR45" s="212"/>
      <c r="LS45" s="212"/>
      <c r="LT45" s="212"/>
      <c r="LU45" s="212"/>
      <c r="LV45" s="212"/>
      <c r="LW45" s="212"/>
      <c r="LX45" s="212"/>
      <c r="LY45" s="212"/>
      <c r="LZ45" s="212"/>
      <c r="MA45" s="212"/>
      <c r="MB45" s="212"/>
      <c r="MC45" s="212"/>
      <c r="MD45" s="212"/>
      <c r="ME45" s="212"/>
      <c r="MF45" s="212"/>
      <c r="MG45" s="212"/>
      <c r="MH45" s="212"/>
      <c r="MI45" s="212"/>
      <c r="MJ45" s="212"/>
      <c r="MK45" s="212"/>
      <c r="ML45" s="212"/>
      <c r="MM45" s="212"/>
      <c r="MN45" s="212"/>
      <c r="MO45" s="212"/>
      <c r="MP45" s="212"/>
      <c r="MQ45" s="212"/>
      <c r="MR45" s="212"/>
      <c r="MS45" s="212"/>
      <c r="MT45" s="212"/>
      <c r="MU45" s="212"/>
      <c r="MV45" s="212"/>
      <c r="MW45" s="212"/>
      <c r="MX45" s="212"/>
      <c r="MY45" s="212"/>
      <c r="MZ45" s="212"/>
      <c r="NA45" s="212"/>
      <c r="NB45" s="212"/>
      <c r="NC45" s="212"/>
      <c r="ND45" s="212"/>
      <c r="NE45" s="212"/>
      <c r="NF45" s="212"/>
      <c r="NG45" s="212"/>
      <c r="NH45" s="212"/>
      <c r="NI45" s="212"/>
      <c r="NJ45" s="212"/>
      <c r="NK45" s="212"/>
      <c r="NL45" s="212"/>
      <c r="NM45" s="212"/>
      <c r="NN45" s="212"/>
      <c r="NO45" s="212"/>
      <c r="NP45" s="212"/>
      <c r="NQ45" s="212"/>
      <c r="NR45" s="212"/>
      <c r="NS45" s="212"/>
      <c r="NT45" s="212"/>
      <c r="NU45" s="212"/>
      <c r="NV45" s="212"/>
      <c r="NW45" s="212"/>
      <c r="NX45" s="212"/>
      <c r="NY45" s="212"/>
      <c r="NZ45" s="212"/>
      <c r="OA45" s="212"/>
      <c r="OB45" s="212"/>
      <c r="OC45" s="212"/>
      <c r="OD45" s="212"/>
      <c r="OE45" s="212"/>
      <c r="OF45" s="212"/>
      <c r="OG45" s="212"/>
      <c r="OH45" s="212"/>
      <c r="OI45" s="212"/>
      <c r="OJ45" s="212"/>
      <c r="OK45" s="212"/>
      <c r="OL45" s="212"/>
      <c r="OM45" s="212"/>
      <c r="ON45" s="212"/>
      <c r="OO45" s="212"/>
      <c r="OP45" s="212"/>
      <c r="OQ45" s="212"/>
      <c r="OR45" s="212"/>
      <c r="OS45" s="212"/>
      <c r="OT45" s="212"/>
      <c r="OU45" s="212"/>
      <c r="OV45" s="212"/>
      <c r="OW45" s="212"/>
      <c r="OX45" s="212"/>
      <c r="OY45" s="212"/>
      <c r="OZ45" s="212"/>
      <c r="PA45" s="212"/>
      <c r="PB45" s="212"/>
      <c r="PC45" s="212"/>
      <c r="PD45" s="212"/>
      <c r="PE45" s="212"/>
      <c r="PF45" s="212"/>
      <c r="PG45" s="212"/>
      <c r="PH45" s="212"/>
      <c r="PI45" s="212"/>
      <c r="PJ45" s="212"/>
      <c r="PK45" s="212"/>
      <c r="PL45" s="212"/>
      <c r="PM45" s="212"/>
      <c r="PN45" s="212"/>
      <c r="PO45" s="212"/>
      <c r="PP45" s="212"/>
      <c r="PQ45" s="212"/>
      <c r="PR45" s="212"/>
      <c r="PS45" s="212"/>
      <c r="PT45" s="212"/>
      <c r="PU45" s="212"/>
      <c r="PV45" s="212"/>
      <c r="PW45" s="212"/>
      <c r="PX45" s="212"/>
      <c r="PY45" s="212"/>
      <c r="PZ45" s="212"/>
      <c r="QA45" s="212"/>
      <c r="QB45" s="212"/>
      <c r="QC45" s="212"/>
      <c r="QD45" s="212"/>
      <c r="QE45" s="212"/>
      <c r="QF45" s="212"/>
      <c r="QG45" s="212"/>
      <c r="QH45" s="212"/>
      <c r="QI45" s="212"/>
      <c r="QJ45" s="212"/>
      <c r="QK45" s="212"/>
      <c r="QL45" s="212"/>
      <c r="QM45" s="212"/>
      <c r="QN45" s="212"/>
      <c r="QO45" s="212"/>
      <c r="QP45" s="212"/>
      <c r="QQ45" s="212"/>
      <c r="QR45" s="212"/>
      <c r="QS45" s="212"/>
      <c r="QT45" s="212"/>
      <c r="QU45" s="212"/>
      <c r="QV45" s="212"/>
      <c r="QW45" s="212"/>
      <c r="QX45" s="212"/>
      <c r="QY45" s="212"/>
      <c r="QZ45" s="212"/>
      <c r="RA45" s="212"/>
      <c r="RB45" s="212"/>
      <c r="RC45" s="212"/>
      <c r="RD45" s="212"/>
      <c r="RE45" s="212"/>
      <c r="RF45" s="212"/>
      <c r="RG45" s="212"/>
      <c r="RH45" s="212"/>
      <c r="RI45" s="212"/>
      <c r="RJ45" s="212"/>
      <c r="RK45" s="212"/>
      <c r="RL45" s="212"/>
      <c r="RM45" s="212"/>
      <c r="RN45" s="212"/>
      <c r="RO45" s="212"/>
      <c r="RP45" s="212"/>
      <c r="RQ45" s="212"/>
      <c r="RR45" s="212"/>
      <c r="RS45" s="212"/>
      <c r="RT45" s="212"/>
      <c r="RU45" s="212"/>
      <c r="RV45" s="212"/>
      <c r="RW45" s="212"/>
      <c r="RX45" s="212"/>
      <c r="RY45" s="212"/>
      <c r="RZ45" s="212"/>
      <c r="SA45" s="212"/>
      <c r="SB45" s="212"/>
      <c r="SC45" s="212"/>
      <c r="SD45" s="212"/>
      <c r="SE45" s="212"/>
      <c r="SF45" s="212"/>
      <c r="SG45" s="212"/>
      <c r="SH45" s="212"/>
      <c r="SI45" s="212"/>
      <c r="SJ45" s="212"/>
      <c r="SK45" s="212"/>
      <c r="SL45" s="212"/>
      <c r="SM45" s="212"/>
      <c r="SN45" s="212"/>
      <c r="SO45" s="212"/>
      <c r="SP45" s="212"/>
      <c r="SQ45" s="212"/>
      <c r="SR45" s="212"/>
      <c r="SS45" s="212"/>
      <c r="ST45" s="212"/>
      <c r="SU45" s="212"/>
      <c r="SV45" s="212"/>
      <c r="SW45" s="212"/>
      <c r="SX45" s="212"/>
      <c r="SY45" s="212"/>
      <c r="SZ45" s="212"/>
      <c r="TA45" s="212"/>
      <c r="TB45" s="212"/>
      <c r="TC45" s="212"/>
      <c r="TD45" s="212"/>
      <c r="TE45" s="212"/>
      <c r="TF45" s="212"/>
      <c r="TG45" s="212"/>
      <c r="TH45" s="212"/>
      <c r="TI45" s="212"/>
      <c r="TJ45" s="212"/>
      <c r="TK45" s="212"/>
      <c r="TL45" s="212"/>
      <c r="TM45" s="212"/>
      <c r="TN45" s="212"/>
      <c r="TO45" s="212"/>
      <c r="TP45" s="212"/>
      <c r="TQ45" s="212"/>
      <c r="TR45" s="212"/>
      <c r="TS45" s="212"/>
      <c r="TT45" s="212"/>
      <c r="TU45" s="212"/>
      <c r="TV45" s="212"/>
      <c r="TW45" s="212"/>
      <c r="TX45" s="212"/>
      <c r="TY45" s="212"/>
      <c r="TZ45" s="212"/>
      <c r="UA45" s="212"/>
      <c r="UB45" s="212"/>
      <c r="UC45" s="212"/>
      <c r="UD45" s="212"/>
      <c r="UE45" s="212"/>
      <c r="UF45" s="212"/>
      <c r="UG45" s="212"/>
      <c r="UH45" s="212"/>
      <c r="UI45" s="212"/>
      <c r="UJ45" s="212"/>
      <c r="UK45" s="212"/>
      <c r="UL45" s="212"/>
      <c r="UM45" s="212"/>
      <c r="UN45" s="212"/>
      <c r="UO45" s="212"/>
      <c r="UP45" s="212"/>
      <c r="UQ45" s="212"/>
      <c r="UR45" s="212"/>
      <c r="US45" s="212"/>
      <c r="UT45" s="194"/>
    </row>
    <row r="46" spans="2:566" ht="15.75" customHeight="1" x14ac:dyDescent="0.3">
      <c r="B46" s="117" t="s">
        <v>48</v>
      </c>
      <c r="C46" s="107" t="s">
        <v>186</v>
      </c>
      <c r="D46" s="102" t="str">
        <f t="shared" si="28"/>
        <v/>
      </c>
      <c r="E46" s="103" t="str">
        <f t="shared" si="29"/>
        <v/>
      </c>
      <c r="F46" s="212"/>
      <c r="G46" s="212"/>
      <c r="H46" s="212"/>
      <c r="I46" s="212"/>
      <c r="J46" s="212"/>
      <c r="K46" s="212"/>
      <c r="L46" s="212"/>
      <c r="M46" s="212"/>
      <c r="N46" s="212"/>
      <c r="O46" s="212"/>
      <c r="P46" s="213"/>
      <c r="Q46" s="213"/>
      <c r="R46" s="212"/>
      <c r="S46" s="212"/>
      <c r="T46" s="212"/>
      <c r="U46" s="212"/>
      <c r="V46" s="212"/>
      <c r="W46" s="213"/>
      <c r="X46" s="213"/>
      <c r="Y46" s="212"/>
      <c r="Z46" s="212"/>
      <c r="AA46" s="212"/>
      <c r="AB46" s="213"/>
      <c r="AC46" s="213"/>
      <c r="AD46" s="213"/>
      <c r="AE46" s="213"/>
      <c r="AF46" s="213"/>
      <c r="AG46" s="213"/>
      <c r="AH46" s="212"/>
      <c r="AI46" s="212"/>
      <c r="AJ46" s="212"/>
      <c r="AK46" s="213"/>
      <c r="AL46" s="213"/>
      <c r="AM46" s="212"/>
      <c r="AN46" s="212"/>
      <c r="AO46" s="212"/>
      <c r="AP46" s="212"/>
      <c r="AQ46" s="212"/>
      <c r="AR46" s="212"/>
      <c r="AS46" s="212"/>
      <c r="AT46" s="212"/>
      <c r="AU46" s="212"/>
      <c r="AV46" s="212"/>
      <c r="AW46" s="212"/>
      <c r="AX46" s="212"/>
      <c r="AY46" s="212"/>
      <c r="AZ46" s="212"/>
      <c r="BA46" s="212"/>
      <c r="BB46" s="212"/>
      <c r="BC46" s="212"/>
      <c r="BD46" s="212"/>
      <c r="BE46" s="212"/>
      <c r="BF46" s="212"/>
      <c r="BG46" s="212"/>
      <c r="BH46" s="212"/>
      <c r="BI46" s="212"/>
      <c r="BJ46" s="212"/>
      <c r="BK46" s="212"/>
      <c r="BL46" s="212"/>
      <c r="BM46" s="212"/>
      <c r="BN46" s="212"/>
      <c r="BO46" s="212"/>
      <c r="BP46" s="212"/>
      <c r="BQ46" s="212"/>
      <c r="BR46" s="212"/>
      <c r="BS46" s="212"/>
      <c r="BT46" s="212"/>
      <c r="BU46" s="212"/>
      <c r="BV46" s="212"/>
      <c r="BW46" s="212"/>
      <c r="BX46" s="212"/>
      <c r="BY46" s="212"/>
      <c r="BZ46" s="212"/>
      <c r="CA46" s="212"/>
      <c r="CB46" s="212"/>
      <c r="CC46" s="212"/>
      <c r="CD46" s="212"/>
      <c r="CE46" s="212"/>
      <c r="CF46" s="212"/>
      <c r="CG46" s="212"/>
      <c r="CH46" s="212"/>
      <c r="CI46" s="212"/>
      <c r="CJ46" s="212"/>
      <c r="CK46" s="212"/>
      <c r="CL46" s="212"/>
      <c r="CM46" s="212"/>
      <c r="CN46" s="212"/>
      <c r="CO46" s="212"/>
      <c r="CP46" s="212"/>
      <c r="CQ46" s="212"/>
      <c r="CR46" s="212"/>
      <c r="CS46" s="212"/>
      <c r="CT46" s="212"/>
      <c r="CU46" s="212"/>
      <c r="CV46" s="212"/>
      <c r="CW46" s="212"/>
      <c r="CX46" s="212"/>
      <c r="CY46" s="212"/>
      <c r="CZ46" s="212"/>
      <c r="DA46" s="212"/>
      <c r="DB46" s="212"/>
      <c r="DC46" s="212"/>
      <c r="DD46" s="212"/>
      <c r="DE46" s="212"/>
      <c r="DF46" s="212"/>
      <c r="DG46" s="212"/>
      <c r="DH46" s="212"/>
      <c r="DI46" s="212"/>
      <c r="DJ46" s="212"/>
      <c r="DK46" s="212"/>
      <c r="DL46" s="212"/>
      <c r="DM46" s="212"/>
      <c r="DN46" s="212"/>
      <c r="DO46" s="212"/>
      <c r="DP46" s="212"/>
      <c r="DQ46" s="212"/>
      <c r="DR46" s="212"/>
      <c r="DS46" s="212"/>
      <c r="DT46" s="212"/>
      <c r="DU46" s="212"/>
      <c r="DV46" s="212"/>
      <c r="DW46" s="212"/>
      <c r="DX46" s="212"/>
      <c r="DY46" s="212"/>
      <c r="DZ46" s="212"/>
      <c r="EA46" s="212"/>
      <c r="EB46" s="214"/>
      <c r="EC46" s="212"/>
      <c r="ED46" s="212"/>
      <c r="EE46" s="212"/>
      <c r="EF46" s="212"/>
      <c r="EG46" s="212"/>
      <c r="EH46" s="212"/>
      <c r="EI46" s="212"/>
      <c r="EJ46" s="212"/>
      <c r="EK46" s="212"/>
      <c r="EL46" s="212"/>
      <c r="EM46" s="212"/>
      <c r="EN46" s="212"/>
      <c r="EO46" s="212"/>
      <c r="EP46" s="212"/>
      <c r="EQ46" s="212"/>
      <c r="ER46" s="212"/>
      <c r="ES46" s="212"/>
      <c r="ET46" s="212"/>
      <c r="EU46" s="212"/>
      <c r="EV46" s="212"/>
      <c r="EW46" s="212"/>
      <c r="EX46" s="212"/>
      <c r="EY46" s="212"/>
      <c r="EZ46" s="212"/>
      <c r="FA46" s="212"/>
      <c r="FB46" s="212"/>
      <c r="FC46" s="212"/>
      <c r="FD46" s="212"/>
      <c r="FE46" s="212"/>
      <c r="FF46" s="212"/>
      <c r="FG46" s="212"/>
      <c r="FH46" s="212"/>
      <c r="FI46" s="212"/>
      <c r="FJ46" s="212"/>
      <c r="FK46" s="212"/>
      <c r="FL46" s="212"/>
      <c r="FM46" s="212"/>
      <c r="FN46" s="212"/>
      <c r="FO46" s="212"/>
      <c r="FP46" s="212"/>
      <c r="FQ46" s="212"/>
      <c r="FR46" s="212"/>
      <c r="FS46" s="212"/>
      <c r="FT46" s="212"/>
      <c r="FU46" s="212"/>
      <c r="FV46" s="212"/>
      <c r="FW46" s="212"/>
      <c r="FX46" s="212"/>
      <c r="FY46" s="212"/>
      <c r="FZ46" s="212"/>
      <c r="GA46" s="212"/>
      <c r="GB46" s="212"/>
      <c r="GC46" s="212"/>
      <c r="GD46" s="212"/>
      <c r="GE46" s="212"/>
      <c r="GF46" s="212"/>
      <c r="GG46" s="212"/>
      <c r="GH46" s="212"/>
      <c r="GI46" s="212"/>
      <c r="GJ46" s="212"/>
      <c r="GK46" s="212"/>
      <c r="GL46" s="212"/>
      <c r="GM46" s="212"/>
      <c r="GN46" s="212"/>
      <c r="GO46" s="212"/>
      <c r="GP46" s="212"/>
      <c r="GQ46" s="212"/>
      <c r="GR46" s="212"/>
      <c r="GS46" s="212"/>
      <c r="GT46" s="212"/>
      <c r="GU46" s="212"/>
      <c r="GV46" s="212"/>
      <c r="GW46" s="212"/>
      <c r="GX46" s="212"/>
      <c r="GY46" s="212"/>
      <c r="GZ46" s="212"/>
      <c r="HA46" s="212"/>
      <c r="HB46" s="212"/>
      <c r="HC46" s="212"/>
      <c r="HD46" s="212"/>
      <c r="HE46" s="212"/>
      <c r="HF46" s="212"/>
      <c r="HG46" s="212"/>
      <c r="HH46" s="212"/>
      <c r="HI46" s="212"/>
      <c r="HJ46" s="212"/>
      <c r="HK46" s="212"/>
      <c r="HL46" s="212"/>
      <c r="HM46" s="212"/>
      <c r="HN46" s="212"/>
      <c r="HO46" s="212"/>
      <c r="HP46" s="212"/>
      <c r="HQ46" s="212"/>
      <c r="HR46" s="212"/>
      <c r="HS46" s="212"/>
      <c r="HT46" s="212"/>
      <c r="HU46" s="212"/>
      <c r="HV46" s="212"/>
      <c r="HW46" s="212"/>
      <c r="HX46" s="212"/>
      <c r="HY46" s="212"/>
      <c r="HZ46" s="212"/>
      <c r="IA46" s="212"/>
      <c r="IB46" s="212"/>
      <c r="IC46" s="212"/>
      <c r="ID46" s="212"/>
      <c r="IE46" s="212"/>
      <c r="IF46" s="212"/>
      <c r="IG46" s="212"/>
      <c r="IH46" s="212"/>
      <c r="II46" s="212"/>
      <c r="IJ46" s="212"/>
      <c r="IK46" s="212"/>
      <c r="IL46" s="212"/>
      <c r="IM46" s="212"/>
      <c r="IN46" s="212"/>
      <c r="IO46" s="212"/>
      <c r="IP46" s="212"/>
      <c r="IQ46" s="212"/>
      <c r="IR46" s="212"/>
      <c r="IS46" s="212"/>
      <c r="IT46" s="212"/>
      <c r="IU46" s="212"/>
      <c r="IV46" s="212"/>
      <c r="IW46" s="212"/>
      <c r="IX46" s="212"/>
      <c r="IY46" s="212"/>
      <c r="IZ46" s="212"/>
      <c r="JA46" s="212"/>
      <c r="JB46" s="212"/>
      <c r="JC46" s="212"/>
      <c r="JD46" s="212"/>
      <c r="JE46" s="212"/>
      <c r="JF46" s="212"/>
      <c r="JG46" s="212"/>
      <c r="JH46" s="212"/>
      <c r="JI46" s="212"/>
      <c r="JJ46" s="212"/>
      <c r="JK46" s="212"/>
      <c r="JL46" s="212"/>
      <c r="JM46" s="212"/>
      <c r="JN46" s="212"/>
      <c r="JO46" s="212"/>
      <c r="JP46" s="212"/>
      <c r="JQ46" s="212"/>
      <c r="JR46" s="212"/>
      <c r="JS46" s="212"/>
      <c r="JT46" s="212"/>
      <c r="JU46" s="212"/>
      <c r="JV46" s="212"/>
      <c r="JW46" s="212"/>
      <c r="JX46" s="212"/>
      <c r="JY46" s="212"/>
      <c r="JZ46" s="212"/>
      <c r="KA46" s="212"/>
      <c r="KB46" s="212"/>
      <c r="KC46" s="212"/>
      <c r="KD46" s="212"/>
      <c r="KE46" s="212"/>
      <c r="KF46" s="212"/>
      <c r="KG46" s="212"/>
      <c r="KH46" s="212"/>
      <c r="KI46" s="212"/>
      <c r="KJ46" s="212"/>
      <c r="KK46" s="212"/>
      <c r="KL46" s="212"/>
      <c r="KM46" s="212"/>
      <c r="KN46" s="212"/>
      <c r="KO46" s="212"/>
      <c r="KP46" s="212"/>
      <c r="KQ46" s="212"/>
      <c r="KR46" s="212"/>
      <c r="KS46" s="212"/>
      <c r="KT46" s="212"/>
      <c r="KU46" s="212"/>
      <c r="KV46" s="212"/>
      <c r="KW46" s="212"/>
      <c r="KX46" s="212"/>
      <c r="KY46" s="212"/>
      <c r="KZ46" s="212"/>
      <c r="LA46" s="212"/>
      <c r="LB46" s="212"/>
      <c r="LC46" s="212"/>
      <c r="LD46" s="212"/>
      <c r="LE46" s="212"/>
      <c r="LF46" s="212"/>
      <c r="LG46" s="212"/>
      <c r="LH46" s="212"/>
      <c r="LI46" s="212"/>
      <c r="LJ46" s="212"/>
      <c r="LK46" s="212"/>
      <c r="LL46" s="212"/>
      <c r="LM46" s="212"/>
      <c r="LN46" s="212"/>
      <c r="LO46" s="212"/>
      <c r="LP46" s="212"/>
      <c r="LQ46" s="212"/>
      <c r="LR46" s="212"/>
      <c r="LS46" s="212"/>
      <c r="LT46" s="212"/>
      <c r="LU46" s="212"/>
      <c r="LV46" s="212"/>
      <c r="LW46" s="212"/>
      <c r="LX46" s="212"/>
      <c r="LY46" s="212"/>
      <c r="LZ46" s="212"/>
      <c r="MA46" s="212"/>
      <c r="MB46" s="212"/>
      <c r="MC46" s="212"/>
      <c r="MD46" s="212"/>
      <c r="ME46" s="212"/>
      <c r="MF46" s="212"/>
      <c r="MG46" s="212"/>
      <c r="MH46" s="212"/>
      <c r="MI46" s="212"/>
      <c r="MJ46" s="212"/>
      <c r="MK46" s="212"/>
      <c r="ML46" s="212"/>
      <c r="MM46" s="212"/>
      <c r="MN46" s="212"/>
      <c r="MO46" s="212"/>
      <c r="MP46" s="212"/>
      <c r="MQ46" s="212"/>
      <c r="MR46" s="212"/>
      <c r="MS46" s="212"/>
      <c r="MT46" s="212"/>
      <c r="MU46" s="212"/>
      <c r="MV46" s="212"/>
      <c r="MW46" s="212"/>
      <c r="MX46" s="212"/>
      <c r="MY46" s="212"/>
      <c r="MZ46" s="212"/>
      <c r="NA46" s="212"/>
      <c r="NB46" s="212"/>
      <c r="NC46" s="212"/>
      <c r="ND46" s="212"/>
      <c r="NE46" s="212"/>
      <c r="NF46" s="212"/>
      <c r="NG46" s="212"/>
      <c r="NH46" s="212"/>
      <c r="NI46" s="212"/>
      <c r="NJ46" s="212"/>
      <c r="NK46" s="212"/>
      <c r="NL46" s="212"/>
      <c r="NM46" s="212"/>
      <c r="NN46" s="212"/>
      <c r="NO46" s="212"/>
      <c r="NP46" s="212"/>
      <c r="NQ46" s="212"/>
      <c r="NR46" s="212"/>
      <c r="NS46" s="212"/>
      <c r="NT46" s="212"/>
      <c r="NU46" s="212"/>
      <c r="NV46" s="212"/>
      <c r="NW46" s="212"/>
      <c r="NX46" s="212"/>
      <c r="NY46" s="212"/>
      <c r="NZ46" s="212"/>
      <c r="OA46" s="212"/>
      <c r="OB46" s="212"/>
      <c r="OC46" s="212"/>
      <c r="OD46" s="212"/>
      <c r="OE46" s="212"/>
      <c r="OF46" s="212"/>
      <c r="OG46" s="212"/>
      <c r="OH46" s="212"/>
      <c r="OI46" s="212"/>
      <c r="OJ46" s="212"/>
      <c r="OK46" s="212"/>
      <c r="OL46" s="212"/>
      <c r="OM46" s="212"/>
      <c r="ON46" s="212"/>
      <c r="OO46" s="212"/>
      <c r="OP46" s="212"/>
      <c r="OQ46" s="212"/>
      <c r="OR46" s="212"/>
      <c r="OS46" s="212"/>
      <c r="OT46" s="212"/>
      <c r="OU46" s="212"/>
      <c r="OV46" s="212"/>
      <c r="OW46" s="212"/>
      <c r="OX46" s="212"/>
      <c r="OY46" s="212"/>
      <c r="OZ46" s="212"/>
      <c r="PA46" s="212"/>
      <c r="PB46" s="212"/>
      <c r="PC46" s="212"/>
      <c r="PD46" s="212"/>
      <c r="PE46" s="212"/>
      <c r="PF46" s="212"/>
      <c r="PG46" s="212"/>
      <c r="PH46" s="212"/>
      <c r="PI46" s="212"/>
      <c r="PJ46" s="212"/>
      <c r="PK46" s="212"/>
      <c r="PL46" s="212"/>
      <c r="PM46" s="212"/>
      <c r="PN46" s="212"/>
      <c r="PO46" s="212"/>
      <c r="PP46" s="212"/>
      <c r="PQ46" s="212"/>
      <c r="PR46" s="212"/>
      <c r="PS46" s="212"/>
      <c r="PT46" s="212"/>
      <c r="PU46" s="212"/>
      <c r="PV46" s="212"/>
      <c r="PW46" s="212"/>
      <c r="PX46" s="212"/>
      <c r="PY46" s="212"/>
      <c r="PZ46" s="212"/>
      <c r="QA46" s="212"/>
      <c r="QB46" s="212"/>
      <c r="QC46" s="212"/>
      <c r="QD46" s="212"/>
      <c r="QE46" s="212"/>
      <c r="QF46" s="212"/>
      <c r="QG46" s="212"/>
      <c r="QH46" s="212"/>
      <c r="QI46" s="212"/>
      <c r="QJ46" s="212"/>
      <c r="QK46" s="212"/>
      <c r="QL46" s="212"/>
      <c r="QM46" s="212"/>
      <c r="QN46" s="212"/>
      <c r="QO46" s="212"/>
      <c r="QP46" s="212"/>
      <c r="QQ46" s="212"/>
      <c r="QR46" s="212"/>
      <c r="QS46" s="212"/>
      <c r="QT46" s="212"/>
      <c r="QU46" s="212"/>
      <c r="QV46" s="212"/>
      <c r="QW46" s="212"/>
      <c r="QX46" s="212"/>
      <c r="QY46" s="212"/>
      <c r="QZ46" s="212"/>
      <c r="RA46" s="212"/>
      <c r="RB46" s="212"/>
      <c r="RC46" s="212"/>
      <c r="RD46" s="212"/>
      <c r="RE46" s="212"/>
      <c r="RF46" s="212"/>
      <c r="RG46" s="212"/>
      <c r="RH46" s="212"/>
      <c r="RI46" s="212"/>
      <c r="RJ46" s="212"/>
      <c r="RK46" s="212"/>
      <c r="RL46" s="212"/>
      <c r="RM46" s="212"/>
      <c r="RN46" s="212"/>
      <c r="RO46" s="212"/>
      <c r="RP46" s="212"/>
      <c r="RQ46" s="212"/>
      <c r="RR46" s="212"/>
      <c r="RS46" s="212"/>
      <c r="RT46" s="212"/>
      <c r="RU46" s="212"/>
      <c r="RV46" s="212"/>
      <c r="RW46" s="212"/>
      <c r="RX46" s="212"/>
      <c r="RY46" s="212"/>
      <c r="RZ46" s="212"/>
      <c r="SA46" s="212"/>
      <c r="SB46" s="212"/>
      <c r="SC46" s="212"/>
      <c r="SD46" s="212"/>
      <c r="SE46" s="212"/>
      <c r="SF46" s="212"/>
      <c r="SG46" s="212"/>
      <c r="SH46" s="212"/>
      <c r="SI46" s="212"/>
      <c r="SJ46" s="212"/>
      <c r="SK46" s="212"/>
      <c r="SL46" s="212"/>
      <c r="SM46" s="212"/>
      <c r="SN46" s="212"/>
      <c r="SO46" s="212"/>
      <c r="SP46" s="212"/>
      <c r="SQ46" s="212"/>
      <c r="SR46" s="212"/>
      <c r="SS46" s="212"/>
      <c r="ST46" s="212"/>
      <c r="SU46" s="212"/>
      <c r="SV46" s="212"/>
      <c r="SW46" s="212"/>
      <c r="SX46" s="212"/>
      <c r="SY46" s="212"/>
      <c r="SZ46" s="212"/>
      <c r="TA46" s="212"/>
      <c r="TB46" s="212"/>
      <c r="TC46" s="212"/>
      <c r="TD46" s="212"/>
      <c r="TE46" s="212"/>
      <c r="TF46" s="212"/>
      <c r="TG46" s="212"/>
      <c r="TH46" s="212"/>
      <c r="TI46" s="212"/>
      <c r="TJ46" s="212"/>
      <c r="TK46" s="212"/>
      <c r="TL46" s="212"/>
      <c r="TM46" s="212"/>
      <c r="TN46" s="212"/>
      <c r="TO46" s="212"/>
      <c r="TP46" s="212"/>
      <c r="TQ46" s="212"/>
      <c r="TR46" s="212"/>
      <c r="TS46" s="212"/>
      <c r="TT46" s="212"/>
      <c r="TU46" s="212"/>
      <c r="TV46" s="212"/>
      <c r="TW46" s="212"/>
      <c r="TX46" s="212"/>
      <c r="TY46" s="212"/>
      <c r="TZ46" s="212"/>
      <c r="UA46" s="212"/>
      <c r="UB46" s="212"/>
      <c r="UC46" s="212"/>
      <c r="UD46" s="212"/>
      <c r="UE46" s="212"/>
      <c r="UF46" s="212"/>
      <c r="UG46" s="212"/>
      <c r="UH46" s="212"/>
      <c r="UI46" s="212"/>
      <c r="UJ46" s="212"/>
      <c r="UK46" s="212"/>
      <c r="UL46" s="212"/>
      <c r="UM46" s="212"/>
      <c r="UN46" s="212"/>
      <c r="UO46" s="212"/>
      <c r="UP46" s="212"/>
      <c r="UQ46" s="212"/>
      <c r="UR46" s="212"/>
      <c r="US46" s="212"/>
      <c r="UT46" s="194"/>
    </row>
    <row r="47" spans="2:566" ht="15.75" customHeight="1" x14ac:dyDescent="0.3">
      <c r="B47" s="117" t="s">
        <v>47</v>
      </c>
      <c r="C47" s="124"/>
      <c r="D47" s="102" t="str">
        <f t="shared" si="28"/>
        <v/>
      </c>
      <c r="E47" s="103" t="str">
        <f t="shared" si="29"/>
        <v/>
      </c>
      <c r="F47" s="212"/>
      <c r="G47" s="212"/>
      <c r="H47" s="212"/>
      <c r="I47" s="212"/>
      <c r="J47" s="212"/>
      <c r="K47" s="212"/>
      <c r="L47" s="212"/>
      <c r="M47" s="212"/>
      <c r="N47" s="212"/>
      <c r="O47" s="212"/>
      <c r="P47" s="213"/>
      <c r="Q47" s="213"/>
      <c r="R47" s="212"/>
      <c r="S47" s="212"/>
      <c r="T47" s="212"/>
      <c r="U47" s="212"/>
      <c r="V47" s="212"/>
      <c r="W47" s="213"/>
      <c r="X47" s="213"/>
      <c r="Y47" s="212"/>
      <c r="Z47" s="212"/>
      <c r="AA47" s="212"/>
      <c r="AB47" s="213"/>
      <c r="AC47" s="213"/>
      <c r="AD47" s="213"/>
      <c r="AE47" s="213"/>
      <c r="AF47" s="213"/>
      <c r="AG47" s="213"/>
      <c r="AH47" s="212"/>
      <c r="AI47" s="212"/>
      <c r="AJ47" s="212"/>
      <c r="AK47" s="213"/>
      <c r="AL47" s="213"/>
      <c r="AM47" s="212"/>
      <c r="AN47" s="212"/>
      <c r="AO47" s="212"/>
      <c r="AP47" s="212"/>
      <c r="AQ47" s="212"/>
      <c r="AR47" s="212"/>
      <c r="AS47" s="212"/>
      <c r="AT47" s="212"/>
      <c r="AU47" s="212"/>
      <c r="AV47" s="212"/>
      <c r="AW47" s="212"/>
      <c r="AX47" s="212"/>
      <c r="AY47" s="212"/>
      <c r="AZ47" s="212"/>
      <c r="BA47" s="212"/>
      <c r="BB47" s="212"/>
      <c r="BC47" s="212"/>
      <c r="BD47" s="212"/>
      <c r="BE47" s="212"/>
      <c r="BF47" s="212"/>
      <c r="BG47" s="212"/>
      <c r="BH47" s="212"/>
      <c r="BI47" s="212"/>
      <c r="BJ47" s="212"/>
      <c r="BK47" s="212"/>
      <c r="BL47" s="212"/>
      <c r="BM47" s="212"/>
      <c r="BN47" s="212"/>
      <c r="BO47" s="212"/>
      <c r="BP47" s="212"/>
      <c r="BQ47" s="212"/>
      <c r="BR47" s="212"/>
      <c r="BS47" s="212"/>
      <c r="BT47" s="212"/>
      <c r="BU47" s="212"/>
      <c r="BV47" s="212"/>
      <c r="BW47" s="212"/>
      <c r="BX47" s="212"/>
      <c r="BY47" s="212"/>
      <c r="BZ47" s="212"/>
      <c r="CA47" s="212"/>
      <c r="CB47" s="212"/>
      <c r="CC47" s="212"/>
      <c r="CD47" s="212"/>
      <c r="CE47" s="212"/>
      <c r="CF47" s="212"/>
      <c r="CG47" s="212"/>
      <c r="CH47" s="212"/>
      <c r="CI47" s="212"/>
      <c r="CJ47" s="212"/>
      <c r="CK47" s="212"/>
      <c r="CL47" s="212"/>
      <c r="CM47" s="212"/>
      <c r="CN47" s="212"/>
      <c r="CO47" s="212"/>
      <c r="CP47" s="212"/>
      <c r="CQ47" s="212"/>
      <c r="CR47" s="212"/>
      <c r="CS47" s="212"/>
      <c r="CT47" s="212"/>
      <c r="CU47" s="212"/>
      <c r="CV47" s="212"/>
      <c r="CW47" s="212"/>
      <c r="CX47" s="212"/>
      <c r="CY47" s="212"/>
      <c r="CZ47" s="212"/>
      <c r="DA47" s="212"/>
      <c r="DB47" s="212"/>
      <c r="DC47" s="212"/>
      <c r="DD47" s="212"/>
      <c r="DE47" s="212"/>
      <c r="DF47" s="212"/>
      <c r="DG47" s="212"/>
      <c r="DH47" s="212"/>
      <c r="DI47" s="212"/>
      <c r="DJ47" s="212"/>
      <c r="DK47" s="212"/>
      <c r="DL47" s="212"/>
      <c r="DM47" s="212"/>
      <c r="DN47" s="212"/>
      <c r="DO47" s="212"/>
      <c r="DP47" s="212"/>
      <c r="DQ47" s="212"/>
      <c r="DR47" s="212"/>
      <c r="DS47" s="212"/>
      <c r="DT47" s="212"/>
      <c r="DU47" s="212"/>
      <c r="DV47" s="212"/>
      <c r="DW47" s="212"/>
      <c r="DX47" s="212"/>
      <c r="DY47" s="212"/>
      <c r="DZ47" s="212"/>
      <c r="EA47" s="212"/>
      <c r="EB47" s="214"/>
      <c r="EC47" s="212"/>
      <c r="ED47" s="212"/>
      <c r="EE47" s="212"/>
      <c r="EF47" s="212"/>
      <c r="EG47" s="212"/>
      <c r="EH47" s="212"/>
      <c r="EI47" s="212"/>
      <c r="EJ47" s="212"/>
      <c r="EK47" s="212"/>
      <c r="EL47" s="212"/>
      <c r="EM47" s="212"/>
      <c r="EN47" s="212"/>
      <c r="EO47" s="212"/>
      <c r="EP47" s="212"/>
      <c r="EQ47" s="212"/>
      <c r="ER47" s="212"/>
      <c r="ES47" s="212"/>
      <c r="ET47" s="212"/>
      <c r="EU47" s="212"/>
      <c r="EV47" s="212"/>
      <c r="EW47" s="212"/>
      <c r="EX47" s="212"/>
      <c r="EY47" s="212"/>
      <c r="EZ47" s="212"/>
      <c r="FA47" s="212"/>
      <c r="FB47" s="212"/>
      <c r="FC47" s="212"/>
      <c r="FD47" s="212"/>
      <c r="FE47" s="212"/>
      <c r="FF47" s="212"/>
      <c r="FG47" s="212"/>
      <c r="FH47" s="212"/>
      <c r="FI47" s="212"/>
      <c r="FJ47" s="212"/>
      <c r="FK47" s="212"/>
      <c r="FL47" s="212"/>
      <c r="FM47" s="212"/>
      <c r="FN47" s="212"/>
      <c r="FO47" s="212"/>
      <c r="FP47" s="212"/>
      <c r="FQ47" s="212"/>
      <c r="FR47" s="212"/>
      <c r="FS47" s="212"/>
      <c r="FT47" s="212"/>
      <c r="FU47" s="212"/>
      <c r="FV47" s="212"/>
      <c r="FW47" s="212"/>
      <c r="FX47" s="212"/>
      <c r="FY47" s="212"/>
      <c r="FZ47" s="212"/>
      <c r="GA47" s="212"/>
      <c r="GB47" s="212"/>
      <c r="GC47" s="212"/>
      <c r="GD47" s="212"/>
      <c r="GE47" s="212"/>
      <c r="GF47" s="212"/>
      <c r="GG47" s="212"/>
      <c r="GH47" s="212"/>
      <c r="GI47" s="212"/>
      <c r="GJ47" s="212"/>
      <c r="GK47" s="212"/>
      <c r="GL47" s="212"/>
      <c r="GM47" s="212"/>
      <c r="GN47" s="212"/>
      <c r="GO47" s="212"/>
      <c r="GP47" s="212"/>
      <c r="GQ47" s="212"/>
      <c r="GR47" s="212"/>
      <c r="GS47" s="212"/>
      <c r="GT47" s="212"/>
      <c r="GU47" s="212"/>
      <c r="GV47" s="212"/>
      <c r="GW47" s="212"/>
      <c r="GX47" s="212"/>
      <c r="GY47" s="212"/>
      <c r="GZ47" s="212"/>
      <c r="HA47" s="212"/>
      <c r="HB47" s="212"/>
      <c r="HC47" s="212"/>
      <c r="HD47" s="212"/>
      <c r="HE47" s="212"/>
      <c r="HF47" s="212"/>
      <c r="HG47" s="212"/>
      <c r="HH47" s="212"/>
      <c r="HI47" s="212"/>
      <c r="HJ47" s="212"/>
      <c r="HK47" s="212"/>
      <c r="HL47" s="212"/>
      <c r="HM47" s="212"/>
      <c r="HN47" s="212"/>
      <c r="HO47" s="212"/>
      <c r="HP47" s="212"/>
      <c r="HQ47" s="212"/>
      <c r="HR47" s="212"/>
      <c r="HS47" s="212"/>
      <c r="HT47" s="212"/>
      <c r="HU47" s="212"/>
      <c r="HV47" s="212"/>
      <c r="HW47" s="212"/>
      <c r="HX47" s="212"/>
      <c r="HY47" s="212"/>
      <c r="HZ47" s="212"/>
      <c r="IA47" s="212"/>
      <c r="IB47" s="212"/>
      <c r="IC47" s="212"/>
      <c r="ID47" s="212"/>
      <c r="IE47" s="212"/>
      <c r="IF47" s="212"/>
      <c r="IG47" s="212"/>
      <c r="IH47" s="212"/>
      <c r="II47" s="212"/>
      <c r="IJ47" s="212"/>
      <c r="IK47" s="212"/>
      <c r="IL47" s="212"/>
      <c r="IM47" s="212"/>
      <c r="IN47" s="212"/>
      <c r="IO47" s="212"/>
      <c r="IP47" s="212"/>
      <c r="IQ47" s="212"/>
      <c r="IR47" s="212"/>
      <c r="IS47" s="212"/>
      <c r="IT47" s="212"/>
      <c r="IU47" s="212"/>
      <c r="IV47" s="212"/>
      <c r="IW47" s="212"/>
      <c r="IX47" s="212"/>
      <c r="IY47" s="212"/>
      <c r="IZ47" s="212"/>
      <c r="JA47" s="212"/>
      <c r="JB47" s="212"/>
      <c r="JC47" s="212"/>
      <c r="JD47" s="212"/>
      <c r="JE47" s="212"/>
      <c r="JF47" s="212"/>
      <c r="JG47" s="212"/>
      <c r="JH47" s="212"/>
      <c r="JI47" s="212"/>
      <c r="JJ47" s="212"/>
      <c r="JK47" s="212"/>
      <c r="JL47" s="212"/>
      <c r="JM47" s="212"/>
      <c r="JN47" s="212"/>
      <c r="JO47" s="212"/>
      <c r="JP47" s="212"/>
      <c r="JQ47" s="212"/>
      <c r="JR47" s="212"/>
      <c r="JS47" s="212"/>
      <c r="JT47" s="212"/>
      <c r="JU47" s="212"/>
      <c r="JV47" s="212"/>
      <c r="JW47" s="212"/>
      <c r="JX47" s="212"/>
      <c r="JY47" s="212"/>
      <c r="JZ47" s="212"/>
      <c r="KA47" s="212"/>
      <c r="KB47" s="212"/>
      <c r="KC47" s="212"/>
      <c r="KD47" s="212"/>
      <c r="KE47" s="212"/>
      <c r="KF47" s="212"/>
      <c r="KG47" s="212"/>
      <c r="KH47" s="212"/>
      <c r="KI47" s="212"/>
      <c r="KJ47" s="212"/>
      <c r="KK47" s="212"/>
      <c r="KL47" s="212"/>
      <c r="KM47" s="212"/>
      <c r="KN47" s="212"/>
      <c r="KO47" s="212"/>
      <c r="KP47" s="212"/>
      <c r="KQ47" s="212"/>
      <c r="KR47" s="212"/>
      <c r="KS47" s="212"/>
      <c r="KT47" s="212"/>
      <c r="KU47" s="212"/>
      <c r="KV47" s="212"/>
      <c r="KW47" s="212"/>
      <c r="KX47" s="212"/>
      <c r="KY47" s="212"/>
      <c r="KZ47" s="212"/>
      <c r="LA47" s="212"/>
      <c r="LB47" s="212"/>
      <c r="LC47" s="212"/>
      <c r="LD47" s="212"/>
      <c r="LE47" s="212"/>
      <c r="LF47" s="212"/>
      <c r="LG47" s="212"/>
      <c r="LH47" s="212"/>
      <c r="LI47" s="212"/>
      <c r="LJ47" s="212"/>
      <c r="LK47" s="212"/>
      <c r="LL47" s="212"/>
      <c r="LM47" s="212"/>
      <c r="LN47" s="212"/>
      <c r="LO47" s="212"/>
      <c r="LP47" s="212"/>
      <c r="LQ47" s="212"/>
      <c r="LR47" s="212"/>
      <c r="LS47" s="212"/>
      <c r="LT47" s="212"/>
      <c r="LU47" s="212"/>
      <c r="LV47" s="212"/>
      <c r="LW47" s="212"/>
      <c r="LX47" s="212"/>
      <c r="LY47" s="212"/>
      <c r="LZ47" s="212"/>
      <c r="MA47" s="212"/>
      <c r="MB47" s="212"/>
      <c r="MC47" s="212"/>
      <c r="MD47" s="212"/>
      <c r="ME47" s="212"/>
      <c r="MF47" s="212"/>
      <c r="MG47" s="212"/>
      <c r="MH47" s="212"/>
      <c r="MI47" s="212"/>
      <c r="MJ47" s="212"/>
      <c r="MK47" s="212"/>
      <c r="ML47" s="212"/>
      <c r="MM47" s="212"/>
      <c r="MN47" s="212"/>
      <c r="MO47" s="212"/>
      <c r="MP47" s="212"/>
      <c r="MQ47" s="212"/>
      <c r="MR47" s="212"/>
      <c r="MS47" s="212"/>
      <c r="MT47" s="212"/>
      <c r="MU47" s="212"/>
      <c r="MV47" s="212"/>
      <c r="MW47" s="212"/>
      <c r="MX47" s="212"/>
      <c r="MY47" s="212"/>
      <c r="MZ47" s="212"/>
      <c r="NA47" s="212"/>
      <c r="NB47" s="212"/>
      <c r="NC47" s="212"/>
      <c r="ND47" s="212"/>
      <c r="NE47" s="212"/>
      <c r="NF47" s="212"/>
      <c r="NG47" s="212"/>
      <c r="NH47" s="212"/>
      <c r="NI47" s="212"/>
      <c r="NJ47" s="212"/>
      <c r="NK47" s="212"/>
      <c r="NL47" s="212"/>
      <c r="NM47" s="212"/>
      <c r="NN47" s="212"/>
      <c r="NO47" s="212"/>
      <c r="NP47" s="212"/>
      <c r="NQ47" s="212"/>
      <c r="NR47" s="212"/>
      <c r="NS47" s="212"/>
      <c r="NT47" s="212"/>
      <c r="NU47" s="212"/>
      <c r="NV47" s="212"/>
      <c r="NW47" s="212"/>
      <c r="NX47" s="212"/>
      <c r="NY47" s="212"/>
      <c r="NZ47" s="212"/>
      <c r="OA47" s="212"/>
      <c r="OB47" s="212"/>
      <c r="OC47" s="212"/>
      <c r="OD47" s="212"/>
      <c r="OE47" s="212"/>
      <c r="OF47" s="212"/>
      <c r="OG47" s="212"/>
      <c r="OH47" s="212"/>
      <c r="OI47" s="212"/>
      <c r="OJ47" s="212"/>
      <c r="OK47" s="212"/>
      <c r="OL47" s="212"/>
      <c r="OM47" s="212"/>
      <c r="ON47" s="212"/>
      <c r="OO47" s="212"/>
      <c r="OP47" s="212"/>
      <c r="OQ47" s="212"/>
      <c r="OR47" s="212"/>
      <c r="OS47" s="212"/>
      <c r="OT47" s="212"/>
      <c r="OU47" s="212"/>
      <c r="OV47" s="212"/>
      <c r="OW47" s="212"/>
      <c r="OX47" s="212"/>
      <c r="OY47" s="212"/>
      <c r="OZ47" s="212"/>
      <c r="PA47" s="212"/>
      <c r="PB47" s="212"/>
      <c r="PC47" s="212"/>
      <c r="PD47" s="212"/>
      <c r="PE47" s="212"/>
      <c r="PF47" s="212"/>
      <c r="PG47" s="212"/>
      <c r="PH47" s="212"/>
      <c r="PI47" s="212"/>
      <c r="PJ47" s="212"/>
      <c r="PK47" s="212"/>
      <c r="PL47" s="212"/>
      <c r="PM47" s="212"/>
      <c r="PN47" s="212"/>
      <c r="PO47" s="212"/>
      <c r="PP47" s="212"/>
      <c r="PQ47" s="212"/>
      <c r="PR47" s="212"/>
      <c r="PS47" s="212"/>
      <c r="PT47" s="212"/>
      <c r="PU47" s="212"/>
      <c r="PV47" s="212"/>
      <c r="PW47" s="212"/>
      <c r="PX47" s="212"/>
      <c r="PY47" s="212"/>
      <c r="PZ47" s="212"/>
      <c r="QA47" s="212"/>
      <c r="QB47" s="212"/>
      <c r="QC47" s="212"/>
      <c r="QD47" s="212"/>
      <c r="QE47" s="212"/>
      <c r="QF47" s="212"/>
      <c r="QG47" s="212"/>
      <c r="QH47" s="212"/>
      <c r="QI47" s="212"/>
      <c r="QJ47" s="212"/>
      <c r="QK47" s="212"/>
      <c r="QL47" s="212"/>
      <c r="QM47" s="212"/>
      <c r="QN47" s="212"/>
      <c r="QO47" s="212"/>
      <c r="QP47" s="212"/>
      <c r="QQ47" s="212"/>
      <c r="QR47" s="212"/>
      <c r="QS47" s="212"/>
      <c r="QT47" s="212"/>
      <c r="QU47" s="212"/>
      <c r="QV47" s="212"/>
      <c r="QW47" s="212"/>
      <c r="QX47" s="212"/>
      <c r="QY47" s="212"/>
      <c r="QZ47" s="212"/>
      <c r="RA47" s="212"/>
      <c r="RB47" s="212"/>
      <c r="RC47" s="212"/>
      <c r="RD47" s="212"/>
      <c r="RE47" s="212"/>
      <c r="RF47" s="212"/>
      <c r="RG47" s="212"/>
      <c r="RH47" s="212"/>
      <c r="RI47" s="212"/>
      <c r="RJ47" s="212"/>
      <c r="RK47" s="212"/>
      <c r="RL47" s="212"/>
      <c r="RM47" s="212"/>
      <c r="RN47" s="212"/>
      <c r="RO47" s="212"/>
      <c r="RP47" s="212"/>
      <c r="RQ47" s="212"/>
      <c r="RR47" s="212"/>
      <c r="RS47" s="212"/>
      <c r="RT47" s="212"/>
      <c r="RU47" s="212"/>
      <c r="RV47" s="212"/>
      <c r="RW47" s="212"/>
      <c r="RX47" s="212"/>
      <c r="RY47" s="212"/>
      <c r="RZ47" s="212"/>
      <c r="SA47" s="212"/>
      <c r="SB47" s="212"/>
      <c r="SC47" s="212"/>
      <c r="SD47" s="212"/>
      <c r="SE47" s="212"/>
      <c r="SF47" s="212"/>
      <c r="SG47" s="212"/>
      <c r="SH47" s="212"/>
      <c r="SI47" s="212"/>
      <c r="SJ47" s="212"/>
      <c r="SK47" s="212"/>
      <c r="SL47" s="212"/>
      <c r="SM47" s="212"/>
      <c r="SN47" s="212"/>
      <c r="SO47" s="212"/>
      <c r="SP47" s="212"/>
      <c r="SQ47" s="212"/>
      <c r="SR47" s="212"/>
      <c r="SS47" s="212"/>
      <c r="ST47" s="212"/>
      <c r="SU47" s="212"/>
      <c r="SV47" s="212"/>
      <c r="SW47" s="212"/>
      <c r="SX47" s="212"/>
      <c r="SY47" s="212"/>
      <c r="SZ47" s="212"/>
      <c r="TA47" s="212"/>
      <c r="TB47" s="212"/>
      <c r="TC47" s="212"/>
      <c r="TD47" s="212"/>
      <c r="TE47" s="212"/>
      <c r="TF47" s="212"/>
      <c r="TG47" s="212"/>
      <c r="TH47" s="212"/>
      <c r="TI47" s="212"/>
      <c r="TJ47" s="212"/>
      <c r="TK47" s="212"/>
      <c r="TL47" s="212"/>
      <c r="TM47" s="212"/>
      <c r="TN47" s="212"/>
      <c r="TO47" s="212"/>
      <c r="TP47" s="212"/>
      <c r="TQ47" s="212"/>
      <c r="TR47" s="212"/>
      <c r="TS47" s="212"/>
      <c r="TT47" s="212"/>
      <c r="TU47" s="212"/>
      <c r="TV47" s="212"/>
      <c r="TW47" s="212"/>
      <c r="TX47" s="212"/>
      <c r="TY47" s="212"/>
      <c r="TZ47" s="212"/>
      <c r="UA47" s="212"/>
      <c r="UB47" s="212"/>
      <c r="UC47" s="212"/>
      <c r="UD47" s="212"/>
      <c r="UE47" s="212"/>
      <c r="UF47" s="212"/>
      <c r="UG47" s="212"/>
      <c r="UH47" s="212"/>
      <c r="UI47" s="212"/>
      <c r="UJ47" s="212"/>
      <c r="UK47" s="212"/>
      <c r="UL47" s="212"/>
      <c r="UM47" s="212"/>
      <c r="UN47" s="212"/>
      <c r="UO47" s="212"/>
      <c r="UP47" s="212"/>
      <c r="UQ47" s="212"/>
      <c r="UR47" s="212"/>
      <c r="US47" s="212"/>
      <c r="UT47" s="194"/>
    </row>
    <row r="48" spans="2:566" ht="15.75" customHeight="1" x14ac:dyDescent="0.3">
      <c r="B48" s="117" t="s">
        <v>46</v>
      </c>
      <c r="C48" s="124"/>
      <c r="D48" s="102"/>
      <c r="E48" s="103"/>
      <c r="F48" s="212"/>
      <c r="G48" s="212"/>
      <c r="H48" s="212"/>
      <c r="I48" s="212"/>
      <c r="J48" s="212"/>
      <c r="K48" s="212"/>
      <c r="L48" s="212"/>
      <c r="M48" s="212"/>
      <c r="N48" s="212"/>
      <c r="O48" s="212"/>
      <c r="P48" s="213"/>
      <c r="Q48" s="213"/>
      <c r="R48" s="212"/>
      <c r="S48" s="212"/>
      <c r="T48" s="212"/>
      <c r="U48" s="212"/>
      <c r="V48" s="212"/>
      <c r="W48" s="213"/>
      <c r="X48" s="213"/>
      <c r="Y48" s="212"/>
      <c r="Z48" s="212"/>
      <c r="AA48" s="212"/>
      <c r="AB48" s="213"/>
      <c r="AC48" s="213"/>
      <c r="AD48" s="213"/>
      <c r="AE48" s="213"/>
      <c r="AF48" s="213"/>
      <c r="AG48" s="213"/>
      <c r="AH48" s="212"/>
      <c r="AI48" s="212"/>
      <c r="AJ48" s="212"/>
      <c r="AK48" s="213"/>
      <c r="AL48" s="213"/>
      <c r="AM48" s="212"/>
      <c r="AN48" s="212"/>
      <c r="AO48" s="212"/>
      <c r="AP48" s="212"/>
      <c r="AQ48" s="212"/>
      <c r="AR48" s="212"/>
      <c r="AS48" s="212"/>
      <c r="AT48" s="212"/>
      <c r="AU48" s="212"/>
      <c r="AV48" s="212"/>
      <c r="AW48" s="212"/>
      <c r="AX48" s="212"/>
      <c r="AY48" s="212"/>
      <c r="AZ48" s="212"/>
      <c r="BA48" s="212"/>
      <c r="BB48" s="212"/>
      <c r="BC48" s="212"/>
      <c r="BD48" s="212"/>
      <c r="BE48" s="212"/>
      <c r="BF48" s="212"/>
      <c r="BG48" s="212"/>
      <c r="BH48" s="212"/>
      <c r="BI48" s="212"/>
      <c r="BJ48" s="212"/>
      <c r="BK48" s="212"/>
      <c r="BL48" s="212"/>
      <c r="BM48" s="212"/>
      <c r="BN48" s="212"/>
      <c r="BO48" s="212"/>
      <c r="BP48" s="212"/>
      <c r="BQ48" s="212"/>
      <c r="BR48" s="212"/>
      <c r="BS48" s="212"/>
      <c r="BT48" s="212"/>
      <c r="BU48" s="212"/>
      <c r="BV48" s="212"/>
      <c r="BW48" s="212"/>
      <c r="BX48" s="212"/>
      <c r="BY48" s="212"/>
      <c r="BZ48" s="212"/>
      <c r="CA48" s="212"/>
      <c r="CB48" s="212"/>
      <c r="CC48" s="212"/>
      <c r="CD48" s="212"/>
      <c r="CE48" s="212"/>
      <c r="CF48" s="212"/>
      <c r="CG48" s="212"/>
      <c r="CH48" s="212"/>
      <c r="CI48" s="212"/>
      <c r="CJ48" s="212"/>
      <c r="CK48" s="212"/>
      <c r="CL48" s="212"/>
      <c r="CM48" s="212"/>
      <c r="CN48" s="212"/>
      <c r="CO48" s="212"/>
      <c r="CP48" s="212"/>
      <c r="CQ48" s="212"/>
      <c r="CR48" s="212"/>
      <c r="CS48" s="212"/>
      <c r="CT48" s="212"/>
      <c r="CU48" s="212"/>
      <c r="CV48" s="212"/>
      <c r="CW48" s="212"/>
      <c r="CX48" s="212"/>
      <c r="CY48" s="212"/>
      <c r="CZ48" s="212"/>
      <c r="DA48" s="212"/>
      <c r="DB48" s="212"/>
      <c r="DC48" s="212"/>
      <c r="DD48" s="212"/>
      <c r="DE48" s="212"/>
      <c r="DF48" s="212"/>
      <c r="DG48" s="212"/>
      <c r="DH48" s="212"/>
      <c r="DI48" s="212"/>
      <c r="DJ48" s="212"/>
      <c r="DK48" s="212"/>
      <c r="DL48" s="212"/>
      <c r="DM48" s="212"/>
      <c r="DN48" s="212"/>
      <c r="DO48" s="212"/>
      <c r="DP48" s="212"/>
      <c r="DQ48" s="212"/>
      <c r="DR48" s="212"/>
      <c r="DS48" s="212"/>
      <c r="DT48" s="212"/>
      <c r="DU48" s="212"/>
      <c r="DV48" s="212"/>
      <c r="DW48" s="212"/>
      <c r="DX48" s="212"/>
      <c r="DY48" s="212"/>
      <c r="DZ48" s="212"/>
      <c r="EA48" s="212"/>
      <c r="EB48" s="214"/>
      <c r="EC48" s="212"/>
      <c r="ED48" s="212"/>
      <c r="EE48" s="212"/>
      <c r="EF48" s="212"/>
      <c r="EG48" s="212"/>
      <c r="EH48" s="212"/>
      <c r="EI48" s="212"/>
      <c r="EJ48" s="212"/>
      <c r="EK48" s="212"/>
      <c r="EL48" s="212"/>
      <c r="EM48" s="212"/>
      <c r="EN48" s="212"/>
      <c r="EO48" s="212"/>
      <c r="EP48" s="212"/>
      <c r="EQ48" s="212"/>
      <c r="ER48" s="212"/>
      <c r="ES48" s="212"/>
      <c r="ET48" s="212"/>
      <c r="EU48" s="212"/>
      <c r="EV48" s="212"/>
      <c r="EW48" s="212"/>
      <c r="EX48" s="212"/>
      <c r="EY48" s="212"/>
      <c r="EZ48" s="212"/>
      <c r="FA48" s="212"/>
      <c r="FB48" s="212"/>
      <c r="FC48" s="212"/>
      <c r="FD48" s="212"/>
      <c r="FE48" s="212"/>
      <c r="FF48" s="212"/>
      <c r="FG48" s="212"/>
      <c r="FH48" s="212"/>
      <c r="FI48" s="212"/>
      <c r="FJ48" s="212"/>
      <c r="FK48" s="212"/>
      <c r="FL48" s="212"/>
      <c r="FM48" s="212"/>
      <c r="FN48" s="212"/>
      <c r="FO48" s="212"/>
      <c r="FP48" s="212"/>
      <c r="FQ48" s="212"/>
      <c r="FR48" s="212"/>
      <c r="FS48" s="212"/>
      <c r="FT48" s="212"/>
      <c r="FU48" s="212"/>
      <c r="FV48" s="212"/>
      <c r="FW48" s="212"/>
      <c r="FX48" s="212"/>
      <c r="FY48" s="212"/>
      <c r="FZ48" s="212"/>
      <c r="GA48" s="212"/>
      <c r="GB48" s="212"/>
      <c r="GC48" s="212"/>
      <c r="GD48" s="212"/>
      <c r="GE48" s="212"/>
      <c r="GF48" s="212"/>
      <c r="GG48" s="212"/>
      <c r="GH48" s="212"/>
      <c r="GI48" s="212"/>
      <c r="GJ48" s="212"/>
      <c r="GK48" s="212"/>
      <c r="GL48" s="212"/>
      <c r="GM48" s="212"/>
      <c r="GN48" s="212"/>
      <c r="GO48" s="212"/>
      <c r="GP48" s="212"/>
      <c r="GQ48" s="212"/>
      <c r="GR48" s="212"/>
      <c r="GS48" s="212"/>
      <c r="GT48" s="212"/>
      <c r="GU48" s="212"/>
      <c r="GV48" s="212"/>
      <c r="GW48" s="212"/>
      <c r="GX48" s="212"/>
      <c r="GY48" s="212"/>
      <c r="GZ48" s="212"/>
      <c r="HA48" s="212"/>
      <c r="HB48" s="212"/>
      <c r="HC48" s="212"/>
      <c r="HD48" s="212"/>
      <c r="HE48" s="212"/>
      <c r="HF48" s="212"/>
      <c r="HG48" s="212"/>
      <c r="HH48" s="212"/>
      <c r="HI48" s="212"/>
      <c r="HJ48" s="212"/>
      <c r="HK48" s="212"/>
      <c r="HL48" s="212"/>
      <c r="HM48" s="212"/>
      <c r="HN48" s="212"/>
      <c r="HO48" s="212"/>
      <c r="HP48" s="212"/>
      <c r="HQ48" s="212"/>
      <c r="HR48" s="212"/>
      <c r="HS48" s="212"/>
      <c r="HT48" s="212"/>
      <c r="HU48" s="212"/>
      <c r="HV48" s="212"/>
      <c r="HW48" s="212"/>
      <c r="HX48" s="212"/>
      <c r="HY48" s="212"/>
      <c r="HZ48" s="212"/>
      <c r="IA48" s="212"/>
      <c r="IB48" s="212"/>
      <c r="IC48" s="212"/>
      <c r="ID48" s="212"/>
      <c r="IE48" s="212"/>
      <c r="IF48" s="212"/>
      <c r="IG48" s="212"/>
      <c r="IH48" s="212"/>
      <c r="II48" s="212"/>
      <c r="IJ48" s="212"/>
      <c r="IK48" s="212"/>
      <c r="IL48" s="212"/>
      <c r="IM48" s="212"/>
      <c r="IN48" s="212"/>
      <c r="IO48" s="212"/>
      <c r="IP48" s="212"/>
      <c r="IQ48" s="212"/>
      <c r="IR48" s="212"/>
      <c r="IS48" s="212"/>
      <c r="IT48" s="212"/>
      <c r="IU48" s="212"/>
      <c r="IV48" s="212"/>
      <c r="IW48" s="212"/>
      <c r="IX48" s="212"/>
      <c r="IY48" s="212"/>
      <c r="IZ48" s="212"/>
      <c r="JA48" s="212"/>
      <c r="JB48" s="212"/>
      <c r="JC48" s="212"/>
      <c r="JD48" s="212"/>
      <c r="JE48" s="212"/>
      <c r="JF48" s="212"/>
      <c r="JG48" s="212"/>
      <c r="JH48" s="212"/>
      <c r="JI48" s="212"/>
      <c r="JJ48" s="212"/>
      <c r="JK48" s="212"/>
      <c r="JL48" s="212"/>
      <c r="JM48" s="212"/>
      <c r="JN48" s="212"/>
      <c r="JO48" s="212"/>
      <c r="JP48" s="212"/>
      <c r="JQ48" s="212"/>
      <c r="JR48" s="212"/>
      <c r="JS48" s="212"/>
      <c r="JT48" s="212"/>
      <c r="JU48" s="212"/>
      <c r="JV48" s="212"/>
      <c r="JW48" s="212"/>
      <c r="JX48" s="212"/>
      <c r="JY48" s="212"/>
      <c r="JZ48" s="212"/>
      <c r="KA48" s="212"/>
      <c r="KB48" s="212"/>
      <c r="KC48" s="212"/>
      <c r="KD48" s="212"/>
      <c r="KE48" s="212"/>
      <c r="KF48" s="212"/>
      <c r="KG48" s="212"/>
      <c r="KH48" s="212"/>
      <c r="KI48" s="212"/>
      <c r="KJ48" s="212"/>
      <c r="KK48" s="212"/>
      <c r="KL48" s="212"/>
      <c r="KM48" s="212"/>
      <c r="KN48" s="212"/>
      <c r="KO48" s="212"/>
      <c r="KP48" s="212"/>
      <c r="KQ48" s="212"/>
      <c r="KR48" s="212"/>
      <c r="KS48" s="212"/>
      <c r="KT48" s="212"/>
      <c r="KU48" s="212"/>
      <c r="KV48" s="212"/>
      <c r="KW48" s="212"/>
      <c r="KX48" s="212"/>
      <c r="KY48" s="212"/>
      <c r="KZ48" s="212"/>
      <c r="LA48" s="212"/>
      <c r="LB48" s="212"/>
      <c r="LC48" s="212"/>
      <c r="LD48" s="212"/>
      <c r="LE48" s="212"/>
      <c r="LF48" s="212"/>
      <c r="LG48" s="212"/>
      <c r="LH48" s="212"/>
      <c r="LI48" s="212"/>
      <c r="LJ48" s="212"/>
      <c r="LK48" s="212"/>
      <c r="LL48" s="212"/>
      <c r="LM48" s="212"/>
      <c r="LN48" s="212"/>
      <c r="LO48" s="212"/>
      <c r="LP48" s="212"/>
      <c r="LQ48" s="212"/>
      <c r="LR48" s="212"/>
      <c r="LS48" s="212"/>
      <c r="LT48" s="212"/>
      <c r="LU48" s="212"/>
      <c r="LV48" s="212"/>
      <c r="LW48" s="212"/>
      <c r="LX48" s="212"/>
      <c r="LY48" s="212"/>
      <c r="LZ48" s="212"/>
      <c r="MA48" s="212"/>
      <c r="MB48" s="212"/>
      <c r="MC48" s="212"/>
      <c r="MD48" s="212"/>
      <c r="ME48" s="212"/>
      <c r="MF48" s="212"/>
      <c r="MG48" s="212"/>
      <c r="MH48" s="212"/>
      <c r="MI48" s="212"/>
      <c r="MJ48" s="212"/>
      <c r="MK48" s="212"/>
      <c r="ML48" s="212"/>
      <c r="MM48" s="212"/>
      <c r="MN48" s="212"/>
      <c r="MO48" s="212"/>
      <c r="MP48" s="212"/>
      <c r="MQ48" s="212"/>
      <c r="MR48" s="212"/>
      <c r="MS48" s="212"/>
      <c r="MT48" s="212"/>
      <c r="MU48" s="212"/>
      <c r="MV48" s="212"/>
      <c r="MW48" s="212"/>
      <c r="MX48" s="212"/>
      <c r="MY48" s="212"/>
      <c r="MZ48" s="212"/>
      <c r="NA48" s="212"/>
      <c r="NB48" s="212"/>
      <c r="NC48" s="212"/>
      <c r="ND48" s="212"/>
      <c r="NE48" s="212"/>
      <c r="NF48" s="212"/>
      <c r="NG48" s="212"/>
      <c r="NH48" s="212"/>
      <c r="NI48" s="212"/>
      <c r="NJ48" s="212"/>
      <c r="NK48" s="212"/>
      <c r="NL48" s="212"/>
      <c r="NM48" s="212"/>
      <c r="NN48" s="212"/>
      <c r="NO48" s="212"/>
      <c r="NP48" s="212"/>
      <c r="NQ48" s="212"/>
      <c r="NR48" s="212"/>
      <c r="NS48" s="212"/>
      <c r="NT48" s="212"/>
      <c r="NU48" s="212"/>
      <c r="NV48" s="212"/>
      <c r="NW48" s="212"/>
      <c r="NX48" s="212"/>
      <c r="NY48" s="212"/>
      <c r="NZ48" s="212"/>
      <c r="OA48" s="212"/>
      <c r="OB48" s="212"/>
      <c r="OC48" s="212"/>
      <c r="OD48" s="212"/>
      <c r="OE48" s="212"/>
      <c r="OF48" s="212"/>
      <c r="OG48" s="212"/>
      <c r="OH48" s="212"/>
      <c r="OI48" s="212"/>
      <c r="OJ48" s="212"/>
      <c r="OK48" s="212"/>
      <c r="OL48" s="212"/>
      <c r="OM48" s="212"/>
      <c r="ON48" s="212"/>
      <c r="OO48" s="212"/>
      <c r="OP48" s="212"/>
      <c r="OQ48" s="212"/>
      <c r="OR48" s="212"/>
      <c r="OS48" s="212"/>
      <c r="OT48" s="212"/>
      <c r="OU48" s="212"/>
      <c r="OV48" s="212"/>
      <c r="OW48" s="212"/>
      <c r="OX48" s="212"/>
      <c r="OY48" s="212"/>
      <c r="OZ48" s="212"/>
      <c r="PA48" s="212"/>
      <c r="PB48" s="212"/>
      <c r="PC48" s="212"/>
      <c r="PD48" s="212"/>
      <c r="PE48" s="212"/>
      <c r="PF48" s="212"/>
      <c r="PG48" s="212"/>
      <c r="PH48" s="212"/>
      <c r="PI48" s="212"/>
      <c r="PJ48" s="212"/>
      <c r="PK48" s="212"/>
      <c r="PL48" s="212"/>
      <c r="PM48" s="212"/>
      <c r="PN48" s="212"/>
      <c r="PO48" s="212"/>
      <c r="PP48" s="212"/>
      <c r="PQ48" s="212"/>
      <c r="PR48" s="212"/>
      <c r="PS48" s="212"/>
      <c r="PT48" s="212"/>
      <c r="PU48" s="212"/>
      <c r="PV48" s="212"/>
      <c r="PW48" s="212"/>
      <c r="PX48" s="212"/>
      <c r="PY48" s="212"/>
      <c r="PZ48" s="212"/>
      <c r="QA48" s="212"/>
      <c r="QB48" s="212"/>
      <c r="QC48" s="212"/>
      <c r="QD48" s="212"/>
      <c r="QE48" s="212"/>
      <c r="QF48" s="212"/>
      <c r="QG48" s="212"/>
      <c r="QH48" s="212"/>
      <c r="QI48" s="212"/>
      <c r="QJ48" s="212"/>
      <c r="QK48" s="212"/>
      <c r="QL48" s="212"/>
      <c r="QM48" s="212"/>
      <c r="QN48" s="212"/>
      <c r="QO48" s="212"/>
      <c r="QP48" s="212"/>
      <c r="QQ48" s="212"/>
      <c r="QR48" s="212"/>
      <c r="QS48" s="212"/>
      <c r="QT48" s="212"/>
      <c r="QU48" s="212"/>
      <c r="QV48" s="212"/>
      <c r="QW48" s="212"/>
      <c r="QX48" s="212"/>
      <c r="QY48" s="212"/>
      <c r="QZ48" s="212"/>
      <c r="RA48" s="212"/>
      <c r="RB48" s="212"/>
      <c r="RC48" s="212"/>
      <c r="RD48" s="212"/>
      <c r="RE48" s="212"/>
      <c r="RF48" s="212"/>
      <c r="RG48" s="212"/>
      <c r="RH48" s="212"/>
      <c r="RI48" s="212"/>
      <c r="RJ48" s="212"/>
      <c r="RK48" s="212"/>
      <c r="RL48" s="212"/>
      <c r="RM48" s="212"/>
      <c r="RN48" s="212"/>
      <c r="RO48" s="212"/>
      <c r="RP48" s="212"/>
      <c r="RQ48" s="212"/>
      <c r="RR48" s="212"/>
      <c r="RS48" s="212"/>
      <c r="RT48" s="212"/>
      <c r="RU48" s="212"/>
      <c r="RV48" s="212"/>
      <c r="RW48" s="212"/>
      <c r="RX48" s="212"/>
      <c r="RY48" s="212"/>
      <c r="RZ48" s="212"/>
      <c r="SA48" s="212"/>
      <c r="SB48" s="212"/>
      <c r="SC48" s="212"/>
      <c r="SD48" s="212"/>
      <c r="SE48" s="212"/>
      <c r="SF48" s="212"/>
      <c r="SG48" s="212"/>
      <c r="SH48" s="212"/>
      <c r="SI48" s="212"/>
      <c r="SJ48" s="212"/>
      <c r="SK48" s="212"/>
      <c r="SL48" s="212"/>
      <c r="SM48" s="212"/>
      <c r="SN48" s="212"/>
      <c r="SO48" s="212"/>
      <c r="SP48" s="212"/>
      <c r="SQ48" s="212"/>
      <c r="SR48" s="212"/>
      <c r="SS48" s="212"/>
      <c r="ST48" s="212"/>
      <c r="SU48" s="212"/>
      <c r="SV48" s="212"/>
      <c r="SW48" s="212"/>
      <c r="SX48" s="212"/>
      <c r="SY48" s="212"/>
      <c r="SZ48" s="212"/>
      <c r="TA48" s="212"/>
      <c r="TB48" s="212"/>
      <c r="TC48" s="212"/>
      <c r="TD48" s="212"/>
      <c r="TE48" s="212"/>
      <c r="TF48" s="212"/>
      <c r="TG48" s="212"/>
      <c r="TH48" s="212"/>
      <c r="TI48" s="212"/>
      <c r="TJ48" s="212"/>
      <c r="TK48" s="212"/>
      <c r="TL48" s="212"/>
      <c r="TM48" s="212"/>
      <c r="TN48" s="212"/>
      <c r="TO48" s="212"/>
      <c r="TP48" s="212"/>
      <c r="TQ48" s="212"/>
      <c r="TR48" s="212"/>
      <c r="TS48" s="212"/>
      <c r="TT48" s="212"/>
      <c r="TU48" s="212"/>
      <c r="TV48" s="212"/>
      <c r="TW48" s="212"/>
      <c r="TX48" s="212"/>
      <c r="TY48" s="212"/>
      <c r="TZ48" s="212"/>
      <c r="UA48" s="212"/>
      <c r="UB48" s="212"/>
      <c r="UC48" s="212"/>
      <c r="UD48" s="212"/>
      <c r="UE48" s="212"/>
      <c r="UF48" s="212"/>
      <c r="UG48" s="212"/>
      <c r="UH48" s="212"/>
      <c r="UI48" s="212"/>
      <c r="UJ48" s="212"/>
      <c r="UK48" s="212"/>
      <c r="UL48" s="212"/>
      <c r="UM48" s="212"/>
      <c r="UN48" s="212"/>
      <c r="UO48" s="212"/>
      <c r="UP48" s="212"/>
      <c r="UQ48" s="212"/>
      <c r="UR48" s="212"/>
      <c r="US48" s="212"/>
      <c r="UT48" s="194"/>
    </row>
    <row r="49" spans="2:572" ht="15.75" customHeight="1" x14ac:dyDescent="0.3">
      <c r="B49" s="117" t="s">
        <v>45</v>
      </c>
      <c r="C49" s="124"/>
      <c r="D49" s="102" t="str">
        <f>IFERROR(E49/$E$55,"")</f>
        <v/>
      </c>
      <c r="E49" s="103" t="str">
        <f>IFERROR(AVERAGE(F49:US49),"")</f>
        <v/>
      </c>
      <c r="F49" s="212"/>
      <c r="G49" s="212"/>
      <c r="H49" s="212"/>
      <c r="I49" s="212"/>
      <c r="J49" s="212"/>
      <c r="K49" s="212"/>
      <c r="L49" s="212"/>
      <c r="M49" s="212"/>
      <c r="N49" s="212"/>
      <c r="O49" s="212"/>
      <c r="P49" s="213"/>
      <c r="Q49" s="213"/>
      <c r="R49" s="212"/>
      <c r="S49" s="212"/>
      <c r="T49" s="212"/>
      <c r="U49" s="212"/>
      <c r="V49" s="212"/>
      <c r="W49" s="213"/>
      <c r="X49" s="213"/>
      <c r="Y49" s="212"/>
      <c r="Z49" s="212"/>
      <c r="AA49" s="212"/>
      <c r="AB49" s="213"/>
      <c r="AC49" s="213"/>
      <c r="AD49" s="213"/>
      <c r="AE49" s="213"/>
      <c r="AF49" s="213"/>
      <c r="AG49" s="213"/>
      <c r="AH49" s="212"/>
      <c r="AI49" s="212"/>
      <c r="AJ49" s="212"/>
      <c r="AK49" s="213"/>
      <c r="AL49" s="213"/>
      <c r="AM49" s="212"/>
      <c r="AN49" s="212"/>
      <c r="AO49" s="212"/>
      <c r="AP49" s="212"/>
      <c r="AQ49" s="212"/>
      <c r="AR49" s="212"/>
      <c r="AS49" s="212"/>
      <c r="AT49" s="212"/>
      <c r="AU49" s="212"/>
      <c r="AV49" s="212"/>
      <c r="AW49" s="212"/>
      <c r="AX49" s="212"/>
      <c r="AY49" s="212"/>
      <c r="AZ49" s="212"/>
      <c r="BA49" s="212"/>
      <c r="BB49" s="212"/>
      <c r="BC49" s="212"/>
      <c r="BD49" s="212"/>
      <c r="BE49" s="212"/>
      <c r="BF49" s="212"/>
      <c r="BG49" s="212"/>
      <c r="BH49" s="212"/>
      <c r="BI49" s="212"/>
      <c r="BJ49" s="212"/>
      <c r="BK49" s="212"/>
      <c r="BL49" s="212"/>
      <c r="BM49" s="212"/>
      <c r="BN49" s="212"/>
      <c r="BO49" s="212"/>
      <c r="BP49" s="212"/>
      <c r="BQ49" s="212"/>
      <c r="BR49" s="212"/>
      <c r="BS49" s="212"/>
      <c r="BT49" s="212"/>
      <c r="BU49" s="212"/>
      <c r="BV49" s="212"/>
      <c r="BW49" s="212"/>
      <c r="BX49" s="212"/>
      <c r="BY49" s="212"/>
      <c r="BZ49" s="212"/>
      <c r="CA49" s="212"/>
      <c r="CB49" s="212"/>
      <c r="CC49" s="212"/>
      <c r="CD49" s="212"/>
      <c r="CE49" s="212"/>
      <c r="CF49" s="212"/>
      <c r="CG49" s="212"/>
      <c r="CH49" s="212"/>
      <c r="CI49" s="212"/>
      <c r="CJ49" s="212"/>
      <c r="CK49" s="212"/>
      <c r="CL49" s="212"/>
      <c r="CM49" s="212"/>
      <c r="CN49" s="212"/>
      <c r="CO49" s="212"/>
      <c r="CP49" s="212"/>
      <c r="CQ49" s="212"/>
      <c r="CR49" s="212"/>
      <c r="CS49" s="212"/>
      <c r="CT49" s="212"/>
      <c r="CU49" s="212"/>
      <c r="CV49" s="212"/>
      <c r="CW49" s="212"/>
      <c r="CX49" s="212"/>
      <c r="CY49" s="212"/>
      <c r="CZ49" s="212"/>
      <c r="DA49" s="212"/>
      <c r="DB49" s="212"/>
      <c r="DC49" s="212"/>
      <c r="DD49" s="212"/>
      <c r="DE49" s="212"/>
      <c r="DF49" s="212"/>
      <c r="DG49" s="212"/>
      <c r="DH49" s="212"/>
      <c r="DI49" s="212"/>
      <c r="DJ49" s="212"/>
      <c r="DK49" s="212"/>
      <c r="DL49" s="212"/>
      <c r="DM49" s="212"/>
      <c r="DN49" s="212"/>
      <c r="DO49" s="212"/>
      <c r="DP49" s="212"/>
      <c r="DQ49" s="212"/>
      <c r="DR49" s="212"/>
      <c r="DS49" s="212"/>
      <c r="DT49" s="212"/>
      <c r="DU49" s="212"/>
      <c r="DV49" s="212"/>
      <c r="DW49" s="212"/>
      <c r="DX49" s="212"/>
      <c r="DY49" s="212"/>
      <c r="DZ49" s="212"/>
      <c r="EA49" s="212"/>
      <c r="EB49" s="214"/>
      <c r="EC49" s="212"/>
      <c r="ED49" s="212"/>
      <c r="EE49" s="212"/>
      <c r="EF49" s="212"/>
      <c r="EG49" s="212"/>
      <c r="EH49" s="212"/>
      <c r="EI49" s="212"/>
      <c r="EJ49" s="212"/>
      <c r="EK49" s="212"/>
      <c r="EL49" s="212"/>
      <c r="EM49" s="212"/>
      <c r="EN49" s="212"/>
      <c r="EO49" s="212"/>
      <c r="EP49" s="212"/>
      <c r="EQ49" s="212"/>
      <c r="ER49" s="212"/>
      <c r="ES49" s="212"/>
      <c r="ET49" s="212"/>
      <c r="EU49" s="212"/>
      <c r="EV49" s="212"/>
      <c r="EW49" s="212"/>
      <c r="EX49" s="212"/>
      <c r="EY49" s="212"/>
      <c r="EZ49" s="212"/>
      <c r="FA49" s="212"/>
      <c r="FB49" s="212"/>
      <c r="FC49" s="212"/>
      <c r="FD49" s="212"/>
      <c r="FE49" s="212"/>
      <c r="FF49" s="212"/>
      <c r="FG49" s="212"/>
      <c r="FH49" s="212"/>
      <c r="FI49" s="212"/>
      <c r="FJ49" s="212"/>
      <c r="FK49" s="212"/>
      <c r="FL49" s="212"/>
      <c r="FM49" s="212"/>
      <c r="FN49" s="212"/>
      <c r="FO49" s="212"/>
      <c r="FP49" s="212"/>
      <c r="FQ49" s="212"/>
      <c r="FR49" s="212"/>
      <c r="FS49" s="212"/>
      <c r="FT49" s="212"/>
      <c r="FU49" s="212"/>
      <c r="FV49" s="212"/>
      <c r="FW49" s="212"/>
      <c r="FX49" s="212"/>
      <c r="FY49" s="212"/>
      <c r="FZ49" s="212"/>
      <c r="GA49" s="212"/>
      <c r="GB49" s="212"/>
      <c r="GC49" s="212"/>
      <c r="GD49" s="212"/>
      <c r="GE49" s="212"/>
      <c r="GF49" s="212"/>
      <c r="GG49" s="212"/>
      <c r="GH49" s="212"/>
      <c r="GI49" s="212"/>
      <c r="GJ49" s="212"/>
      <c r="GK49" s="212"/>
      <c r="GL49" s="212"/>
      <c r="GM49" s="212"/>
      <c r="GN49" s="212"/>
      <c r="GO49" s="212"/>
      <c r="GP49" s="212"/>
      <c r="GQ49" s="212"/>
      <c r="GR49" s="212"/>
      <c r="GS49" s="212"/>
      <c r="GT49" s="212"/>
      <c r="GU49" s="212"/>
      <c r="GV49" s="212"/>
      <c r="GW49" s="212"/>
      <c r="GX49" s="212"/>
      <c r="GY49" s="212"/>
      <c r="GZ49" s="212"/>
      <c r="HA49" s="212"/>
      <c r="HB49" s="212"/>
      <c r="HC49" s="212"/>
      <c r="HD49" s="212"/>
      <c r="HE49" s="212"/>
      <c r="HF49" s="212"/>
      <c r="HG49" s="212"/>
      <c r="HH49" s="212"/>
      <c r="HI49" s="212"/>
      <c r="HJ49" s="212"/>
      <c r="HK49" s="212"/>
      <c r="HL49" s="212"/>
      <c r="HM49" s="212"/>
      <c r="HN49" s="212"/>
      <c r="HO49" s="212"/>
      <c r="HP49" s="212"/>
      <c r="HQ49" s="212"/>
      <c r="HR49" s="212"/>
      <c r="HS49" s="212"/>
      <c r="HT49" s="212"/>
      <c r="HU49" s="212"/>
      <c r="HV49" s="212"/>
      <c r="HW49" s="212"/>
      <c r="HX49" s="212"/>
      <c r="HY49" s="212"/>
      <c r="HZ49" s="212"/>
      <c r="IA49" s="212"/>
      <c r="IB49" s="212"/>
      <c r="IC49" s="212"/>
      <c r="ID49" s="212"/>
      <c r="IE49" s="212"/>
      <c r="IF49" s="212"/>
      <c r="IG49" s="212"/>
      <c r="IH49" s="212"/>
      <c r="II49" s="212"/>
      <c r="IJ49" s="212"/>
      <c r="IK49" s="212"/>
      <c r="IL49" s="212"/>
      <c r="IM49" s="212"/>
      <c r="IN49" s="212"/>
      <c r="IO49" s="212"/>
      <c r="IP49" s="212"/>
      <c r="IQ49" s="212"/>
      <c r="IR49" s="212"/>
      <c r="IS49" s="212"/>
      <c r="IT49" s="212"/>
      <c r="IU49" s="212"/>
      <c r="IV49" s="212"/>
      <c r="IW49" s="212"/>
      <c r="IX49" s="212"/>
      <c r="IY49" s="212"/>
      <c r="IZ49" s="212"/>
      <c r="JA49" s="212"/>
      <c r="JB49" s="212"/>
      <c r="JC49" s="212"/>
      <c r="JD49" s="212"/>
      <c r="JE49" s="212"/>
      <c r="JF49" s="212"/>
      <c r="JG49" s="212"/>
      <c r="JH49" s="212"/>
      <c r="JI49" s="212"/>
      <c r="JJ49" s="212"/>
      <c r="JK49" s="212"/>
      <c r="JL49" s="212"/>
      <c r="JM49" s="212"/>
      <c r="JN49" s="212"/>
      <c r="JO49" s="212"/>
      <c r="JP49" s="212"/>
      <c r="JQ49" s="212"/>
      <c r="JR49" s="212"/>
      <c r="JS49" s="212"/>
      <c r="JT49" s="212"/>
      <c r="JU49" s="212"/>
      <c r="JV49" s="212"/>
      <c r="JW49" s="212"/>
      <c r="JX49" s="212"/>
      <c r="JY49" s="212"/>
      <c r="JZ49" s="212"/>
      <c r="KA49" s="212"/>
      <c r="KB49" s="212"/>
      <c r="KC49" s="212"/>
      <c r="KD49" s="212"/>
      <c r="KE49" s="212"/>
      <c r="KF49" s="212"/>
      <c r="KG49" s="212"/>
      <c r="KH49" s="212"/>
      <c r="KI49" s="212"/>
      <c r="KJ49" s="212"/>
      <c r="KK49" s="212"/>
      <c r="KL49" s="212"/>
      <c r="KM49" s="212"/>
      <c r="KN49" s="212"/>
      <c r="KO49" s="212"/>
      <c r="KP49" s="212"/>
      <c r="KQ49" s="212"/>
      <c r="KR49" s="212"/>
      <c r="KS49" s="212"/>
      <c r="KT49" s="212"/>
      <c r="KU49" s="212"/>
      <c r="KV49" s="212"/>
      <c r="KW49" s="212"/>
      <c r="KX49" s="212"/>
      <c r="KY49" s="212"/>
      <c r="KZ49" s="212"/>
      <c r="LA49" s="212"/>
      <c r="LB49" s="212"/>
      <c r="LC49" s="212"/>
      <c r="LD49" s="212"/>
      <c r="LE49" s="212"/>
      <c r="LF49" s="212"/>
      <c r="LG49" s="212"/>
      <c r="LH49" s="212"/>
      <c r="LI49" s="212"/>
      <c r="LJ49" s="212"/>
      <c r="LK49" s="212"/>
      <c r="LL49" s="212"/>
      <c r="LM49" s="212"/>
      <c r="LN49" s="212"/>
      <c r="LO49" s="212"/>
      <c r="LP49" s="212"/>
      <c r="LQ49" s="212"/>
      <c r="LR49" s="212"/>
      <c r="LS49" s="212"/>
      <c r="LT49" s="212"/>
      <c r="LU49" s="212"/>
      <c r="LV49" s="212"/>
      <c r="LW49" s="212"/>
      <c r="LX49" s="212"/>
      <c r="LY49" s="212"/>
      <c r="LZ49" s="212"/>
      <c r="MA49" s="212"/>
      <c r="MB49" s="212"/>
      <c r="MC49" s="212"/>
      <c r="MD49" s="212"/>
      <c r="ME49" s="212"/>
      <c r="MF49" s="212"/>
      <c r="MG49" s="212"/>
      <c r="MH49" s="212"/>
      <c r="MI49" s="212"/>
      <c r="MJ49" s="212"/>
      <c r="MK49" s="212"/>
      <c r="ML49" s="212"/>
      <c r="MM49" s="212"/>
      <c r="MN49" s="212"/>
      <c r="MO49" s="212"/>
      <c r="MP49" s="212"/>
      <c r="MQ49" s="212"/>
      <c r="MR49" s="212"/>
      <c r="MS49" s="212"/>
      <c r="MT49" s="212"/>
      <c r="MU49" s="212"/>
      <c r="MV49" s="212"/>
      <c r="MW49" s="212"/>
      <c r="MX49" s="212"/>
      <c r="MY49" s="212"/>
      <c r="MZ49" s="212"/>
      <c r="NA49" s="212"/>
      <c r="NB49" s="212"/>
      <c r="NC49" s="212"/>
      <c r="ND49" s="212"/>
      <c r="NE49" s="212"/>
      <c r="NF49" s="212"/>
      <c r="NG49" s="212"/>
      <c r="NH49" s="212"/>
      <c r="NI49" s="212"/>
      <c r="NJ49" s="212"/>
      <c r="NK49" s="212"/>
      <c r="NL49" s="212"/>
      <c r="NM49" s="212"/>
      <c r="NN49" s="212"/>
      <c r="NO49" s="212"/>
      <c r="NP49" s="212"/>
      <c r="NQ49" s="212"/>
      <c r="NR49" s="212"/>
      <c r="NS49" s="212"/>
      <c r="NT49" s="212"/>
      <c r="NU49" s="212"/>
      <c r="NV49" s="212"/>
      <c r="NW49" s="212"/>
      <c r="NX49" s="212"/>
      <c r="NY49" s="212"/>
      <c r="NZ49" s="212"/>
      <c r="OA49" s="212"/>
      <c r="OB49" s="212"/>
      <c r="OC49" s="212"/>
      <c r="OD49" s="212"/>
      <c r="OE49" s="212"/>
      <c r="OF49" s="212"/>
      <c r="OG49" s="212"/>
      <c r="OH49" s="212"/>
      <c r="OI49" s="212"/>
      <c r="OJ49" s="212"/>
      <c r="OK49" s="212"/>
      <c r="OL49" s="212"/>
      <c r="OM49" s="212"/>
      <c r="ON49" s="212"/>
      <c r="OO49" s="212"/>
      <c r="OP49" s="212"/>
      <c r="OQ49" s="212"/>
      <c r="OR49" s="212"/>
      <c r="OS49" s="212"/>
      <c r="OT49" s="212"/>
      <c r="OU49" s="212"/>
      <c r="OV49" s="212"/>
      <c r="OW49" s="212"/>
      <c r="OX49" s="212"/>
      <c r="OY49" s="212"/>
      <c r="OZ49" s="212"/>
      <c r="PA49" s="212"/>
      <c r="PB49" s="212"/>
      <c r="PC49" s="212"/>
      <c r="PD49" s="212"/>
      <c r="PE49" s="212"/>
      <c r="PF49" s="212"/>
      <c r="PG49" s="212"/>
      <c r="PH49" s="212"/>
      <c r="PI49" s="212"/>
      <c r="PJ49" s="212"/>
      <c r="PK49" s="212"/>
      <c r="PL49" s="212"/>
      <c r="PM49" s="212"/>
      <c r="PN49" s="212"/>
      <c r="PO49" s="212"/>
      <c r="PP49" s="212"/>
      <c r="PQ49" s="212"/>
      <c r="PR49" s="212"/>
      <c r="PS49" s="212"/>
      <c r="PT49" s="212"/>
      <c r="PU49" s="212"/>
      <c r="PV49" s="212"/>
      <c r="PW49" s="212"/>
      <c r="PX49" s="212"/>
      <c r="PY49" s="212"/>
      <c r="PZ49" s="212"/>
      <c r="QA49" s="212"/>
      <c r="QB49" s="212"/>
      <c r="QC49" s="212"/>
      <c r="QD49" s="212"/>
      <c r="QE49" s="212"/>
      <c r="QF49" s="212"/>
      <c r="QG49" s="212"/>
      <c r="QH49" s="212"/>
      <c r="QI49" s="212"/>
      <c r="QJ49" s="212"/>
      <c r="QK49" s="212"/>
      <c r="QL49" s="212"/>
      <c r="QM49" s="212"/>
      <c r="QN49" s="212"/>
      <c r="QO49" s="212"/>
      <c r="QP49" s="212"/>
      <c r="QQ49" s="212"/>
      <c r="QR49" s="212"/>
      <c r="QS49" s="212"/>
      <c r="QT49" s="212"/>
      <c r="QU49" s="212"/>
      <c r="QV49" s="212"/>
      <c r="QW49" s="212"/>
      <c r="QX49" s="212"/>
      <c r="QY49" s="212"/>
      <c r="QZ49" s="212"/>
      <c r="RA49" s="212"/>
      <c r="RB49" s="212"/>
      <c r="RC49" s="212"/>
      <c r="RD49" s="212"/>
      <c r="RE49" s="212"/>
      <c r="RF49" s="212"/>
      <c r="RG49" s="212"/>
      <c r="RH49" s="212"/>
      <c r="RI49" s="212"/>
      <c r="RJ49" s="212"/>
      <c r="RK49" s="212"/>
      <c r="RL49" s="212"/>
      <c r="RM49" s="212"/>
      <c r="RN49" s="212"/>
      <c r="RO49" s="212"/>
      <c r="RP49" s="212"/>
      <c r="RQ49" s="212"/>
      <c r="RR49" s="212"/>
      <c r="RS49" s="212"/>
      <c r="RT49" s="212"/>
      <c r="RU49" s="212"/>
      <c r="RV49" s="212"/>
      <c r="RW49" s="212"/>
      <c r="RX49" s="212"/>
      <c r="RY49" s="212"/>
      <c r="RZ49" s="212"/>
      <c r="SA49" s="212"/>
      <c r="SB49" s="212"/>
      <c r="SC49" s="212"/>
      <c r="SD49" s="212"/>
      <c r="SE49" s="212"/>
      <c r="SF49" s="212"/>
      <c r="SG49" s="212"/>
      <c r="SH49" s="212"/>
      <c r="SI49" s="212"/>
      <c r="SJ49" s="212"/>
      <c r="SK49" s="212"/>
      <c r="SL49" s="212"/>
      <c r="SM49" s="212"/>
      <c r="SN49" s="212"/>
      <c r="SO49" s="212"/>
      <c r="SP49" s="212"/>
      <c r="SQ49" s="212"/>
      <c r="SR49" s="212"/>
      <c r="SS49" s="212"/>
      <c r="ST49" s="212"/>
      <c r="SU49" s="212"/>
      <c r="SV49" s="212"/>
      <c r="SW49" s="212"/>
      <c r="SX49" s="212"/>
      <c r="SY49" s="212"/>
      <c r="SZ49" s="212"/>
      <c r="TA49" s="212"/>
      <c r="TB49" s="212"/>
      <c r="TC49" s="212"/>
      <c r="TD49" s="212"/>
      <c r="TE49" s="212"/>
      <c r="TF49" s="212"/>
      <c r="TG49" s="212"/>
      <c r="TH49" s="212"/>
      <c r="TI49" s="212"/>
      <c r="TJ49" s="212"/>
      <c r="TK49" s="212"/>
      <c r="TL49" s="212"/>
      <c r="TM49" s="212"/>
      <c r="TN49" s="212"/>
      <c r="TO49" s="212"/>
      <c r="TP49" s="212"/>
      <c r="TQ49" s="212"/>
      <c r="TR49" s="212"/>
      <c r="TS49" s="212"/>
      <c r="TT49" s="212"/>
      <c r="TU49" s="212"/>
      <c r="TV49" s="212"/>
      <c r="TW49" s="212"/>
      <c r="TX49" s="212"/>
      <c r="TY49" s="212"/>
      <c r="TZ49" s="212"/>
      <c r="UA49" s="212"/>
      <c r="UB49" s="212"/>
      <c r="UC49" s="212"/>
      <c r="UD49" s="212"/>
      <c r="UE49" s="212"/>
      <c r="UF49" s="212"/>
      <c r="UG49" s="212"/>
      <c r="UH49" s="212"/>
      <c r="UI49" s="212"/>
      <c r="UJ49" s="212"/>
      <c r="UK49" s="212"/>
      <c r="UL49" s="212"/>
      <c r="UM49" s="212"/>
      <c r="UN49" s="212"/>
      <c r="UO49" s="212"/>
      <c r="UP49" s="212"/>
      <c r="UQ49" s="212"/>
      <c r="UR49" s="212"/>
      <c r="US49" s="212"/>
      <c r="UT49" s="194"/>
    </row>
    <row r="50" spans="2:572" ht="15.75" customHeight="1" x14ac:dyDescent="0.3">
      <c r="B50" s="117" t="s">
        <v>44</v>
      </c>
      <c r="C50" s="124"/>
      <c r="D50" s="102" t="str">
        <f>IFERROR(E50/$E$55,"")</f>
        <v/>
      </c>
      <c r="E50" s="103" t="str">
        <f>IFERROR(AVERAGE(F50:US50),"")</f>
        <v/>
      </c>
      <c r="F50" s="212"/>
      <c r="G50" s="212"/>
      <c r="H50" s="212"/>
      <c r="I50" s="212"/>
      <c r="J50" s="212"/>
      <c r="K50" s="212"/>
      <c r="L50" s="212"/>
      <c r="M50" s="212"/>
      <c r="N50" s="212"/>
      <c r="O50" s="212"/>
      <c r="P50" s="213"/>
      <c r="Q50" s="213"/>
      <c r="R50" s="212"/>
      <c r="S50" s="212"/>
      <c r="T50" s="212"/>
      <c r="U50" s="212"/>
      <c r="V50" s="212"/>
      <c r="W50" s="213"/>
      <c r="X50" s="213"/>
      <c r="Y50" s="212"/>
      <c r="Z50" s="212"/>
      <c r="AA50" s="212"/>
      <c r="AB50" s="213"/>
      <c r="AC50" s="213"/>
      <c r="AD50" s="213"/>
      <c r="AE50" s="213"/>
      <c r="AF50" s="213"/>
      <c r="AG50" s="213"/>
      <c r="AH50" s="212"/>
      <c r="AI50" s="212"/>
      <c r="AJ50" s="212"/>
      <c r="AK50" s="213"/>
      <c r="AL50" s="213"/>
      <c r="AM50" s="212"/>
      <c r="AN50" s="212"/>
      <c r="AO50" s="212"/>
      <c r="AP50" s="212"/>
      <c r="AQ50" s="212"/>
      <c r="AR50" s="212"/>
      <c r="AS50" s="212"/>
      <c r="AT50" s="212"/>
      <c r="AU50" s="212"/>
      <c r="AV50" s="212"/>
      <c r="AW50" s="212"/>
      <c r="AX50" s="212"/>
      <c r="AY50" s="212"/>
      <c r="AZ50" s="212"/>
      <c r="BA50" s="212"/>
      <c r="BB50" s="212"/>
      <c r="BC50" s="212"/>
      <c r="BD50" s="212"/>
      <c r="BE50" s="212"/>
      <c r="BF50" s="212"/>
      <c r="BG50" s="212"/>
      <c r="BH50" s="212"/>
      <c r="BI50" s="212"/>
      <c r="BJ50" s="212"/>
      <c r="BK50" s="212"/>
      <c r="BL50" s="212"/>
      <c r="BM50" s="212"/>
      <c r="BN50" s="212"/>
      <c r="BO50" s="212"/>
      <c r="BP50" s="212"/>
      <c r="BQ50" s="212"/>
      <c r="BR50" s="212"/>
      <c r="BS50" s="212"/>
      <c r="BT50" s="212"/>
      <c r="BU50" s="212"/>
      <c r="BV50" s="212"/>
      <c r="BW50" s="212"/>
      <c r="BX50" s="212"/>
      <c r="BY50" s="212"/>
      <c r="BZ50" s="212"/>
      <c r="CA50" s="212"/>
      <c r="CB50" s="212"/>
      <c r="CC50" s="212"/>
      <c r="CD50" s="212"/>
      <c r="CE50" s="212"/>
      <c r="CF50" s="212"/>
      <c r="CG50" s="212"/>
      <c r="CH50" s="212"/>
      <c r="CI50" s="212"/>
      <c r="CJ50" s="212"/>
      <c r="CK50" s="212"/>
      <c r="CL50" s="212"/>
      <c r="CM50" s="212"/>
      <c r="CN50" s="212"/>
      <c r="CO50" s="212"/>
      <c r="CP50" s="212"/>
      <c r="CQ50" s="212"/>
      <c r="CR50" s="212"/>
      <c r="CS50" s="212"/>
      <c r="CT50" s="212"/>
      <c r="CU50" s="212"/>
      <c r="CV50" s="212"/>
      <c r="CW50" s="212"/>
      <c r="CX50" s="212"/>
      <c r="CY50" s="212"/>
      <c r="CZ50" s="212"/>
      <c r="DA50" s="212"/>
      <c r="DB50" s="212"/>
      <c r="DC50" s="212"/>
      <c r="DD50" s="212"/>
      <c r="DE50" s="212"/>
      <c r="DF50" s="212"/>
      <c r="DG50" s="212"/>
      <c r="DH50" s="212"/>
      <c r="DI50" s="212"/>
      <c r="DJ50" s="212"/>
      <c r="DK50" s="212"/>
      <c r="DL50" s="212"/>
      <c r="DM50" s="212"/>
      <c r="DN50" s="212"/>
      <c r="DO50" s="212"/>
      <c r="DP50" s="212"/>
      <c r="DQ50" s="212"/>
      <c r="DR50" s="212"/>
      <c r="DS50" s="212"/>
      <c r="DT50" s="212"/>
      <c r="DU50" s="212"/>
      <c r="DV50" s="212"/>
      <c r="DW50" s="212"/>
      <c r="DX50" s="212"/>
      <c r="DY50" s="212"/>
      <c r="DZ50" s="212"/>
      <c r="EA50" s="212"/>
      <c r="EB50" s="214"/>
      <c r="EC50" s="212"/>
      <c r="ED50" s="212"/>
      <c r="EE50" s="212"/>
      <c r="EF50" s="212"/>
      <c r="EG50" s="212"/>
      <c r="EH50" s="212"/>
      <c r="EI50" s="212"/>
      <c r="EJ50" s="212"/>
      <c r="EK50" s="212"/>
      <c r="EL50" s="212"/>
      <c r="EM50" s="212"/>
      <c r="EN50" s="212"/>
      <c r="EO50" s="212"/>
      <c r="EP50" s="212"/>
      <c r="EQ50" s="212"/>
      <c r="ER50" s="212"/>
      <c r="ES50" s="212"/>
      <c r="ET50" s="212"/>
      <c r="EU50" s="212"/>
      <c r="EV50" s="212"/>
      <c r="EW50" s="212"/>
      <c r="EX50" s="212"/>
      <c r="EY50" s="212"/>
      <c r="EZ50" s="212"/>
      <c r="FA50" s="212"/>
      <c r="FB50" s="212"/>
      <c r="FC50" s="212"/>
      <c r="FD50" s="212"/>
      <c r="FE50" s="212"/>
      <c r="FF50" s="212"/>
      <c r="FG50" s="212"/>
      <c r="FH50" s="212"/>
      <c r="FI50" s="212"/>
      <c r="FJ50" s="212"/>
      <c r="FK50" s="212"/>
      <c r="FL50" s="212"/>
      <c r="FM50" s="212"/>
      <c r="FN50" s="212"/>
      <c r="FO50" s="212"/>
      <c r="FP50" s="212"/>
      <c r="FQ50" s="212"/>
      <c r="FR50" s="212"/>
      <c r="FS50" s="212"/>
      <c r="FT50" s="212"/>
      <c r="FU50" s="212"/>
      <c r="FV50" s="212"/>
      <c r="FW50" s="212"/>
      <c r="FX50" s="212"/>
      <c r="FY50" s="212"/>
      <c r="FZ50" s="212"/>
      <c r="GA50" s="212"/>
      <c r="GB50" s="212"/>
      <c r="GC50" s="212"/>
      <c r="GD50" s="212"/>
      <c r="GE50" s="212"/>
      <c r="GF50" s="212"/>
      <c r="GG50" s="212"/>
      <c r="GH50" s="212"/>
      <c r="GI50" s="212"/>
      <c r="GJ50" s="212"/>
      <c r="GK50" s="212"/>
      <c r="GL50" s="212"/>
      <c r="GM50" s="212"/>
      <c r="GN50" s="212"/>
      <c r="GO50" s="212"/>
      <c r="GP50" s="212"/>
      <c r="GQ50" s="212"/>
      <c r="GR50" s="212"/>
      <c r="GS50" s="212"/>
      <c r="GT50" s="212"/>
      <c r="GU50" s="212"/>
      <c r="GV50" s="212"/>
      <c r="GW50" s="212"/>
      <c r="GX50" s="212"/>
      <c r="GY50" s="212"/>
      <c r="GZ50" s="212"/>
      <c r="HA50" s="212"/>
      <c r="HB50" s="212"/>
      <c r="HC50" s="212"/>
      <c r="HD50" s="212"/>
      <c r="HE50" s="212"/>
      <c r="HF50" s="212"/>
      <c r="HG50" s="212"/>
      <c r="HH50" s="212"/>
      <c r="HI50" s="212"/>
      <c r="HJ50" s="212"/>
      <c r="HK50" s="212"/>
      <c r="HL50" s="212"/>
      <c r="HM50" s="212"/>
      <c r="HN50" s="212"/>
      <c r="HO50" s="212"/>
      <c r="HP50" s="212"/>
      <c r="HQ50" s="212"/>
      <c r="HR50" s="212"/>
      <c r="HS50" s="212"/>
      <c r="HT50" s="212"/>
      <c r="HU50" s="212"/>
      <c r="HV50" s="212"/>
      <c r="HW50" s="212"/>
      <c r="HX50" s="212"/>
      <c r="HY50" s="212"/>
      <c r="HZ50" s="212"/>
      <c r="IA50" s="212"/>
      <c r="IB50" s="212"/>
      <c r="IC50" s="212"/>
      <c r="ID50" s="212"/>
      <c r="IE50" s="212"/>
      <c r="IF50" s="212"/>
      <c r="IG50" s="212"/>
      <c r="IH50" s="212"/>
      <c r="II50" s="212"/>
      <c r="IJ50" s="212"/>
      <c r="IK50" s="212"/>
      <c r="IL50" s="212"/>
      <c r="IM50" s="212"/>
      <c r="IN50" s="212"/>
      <c r="IO50" s="212"/>
      <c r="IP50" s="212"/>
      <c r="IQ50" s="212"/>
      <c r="IR50" s="212"/>
      <c r="IS50" s="212"/>
      <c r="IT50" s="212"/>
      <c r="IU50" s="212"/>
      <c r="IV50" s="212"/>
      <c r="IW50" s="212"/>
      <c r="IX50" s="212"/>
      <c r="IY50" s="212"/>
      <c r="IZ50" s="212"/>
      <c r="JA50" s="212"/>
      <c r="JB50" s="212"/>
      <c r="JC50" s="212"/>
      <c r="JD50" s="212"/>
      <c r="JE50" s="212"/>
      <c r="JF50" s="212"/>
      <c r="JG50" s="212"/>
      <c r="JH50" s="212"/>
      <c r="JI50" s="212"/>
      <c r="JJ50" s="212"/>
      <c r="JK50" s="212"/>
      <c r="JL50" s="212"/>
      <c r="JM50" s="212"/>
      <c r="JN50" s="212"/>
      <c r="JO50" s="212"/>
      <c r="JP50" s="212"/>
      <c r="JQ50" s="212"/>
      <c r="JR50" s="212"/>
      <c r="JS50" s="212"/>
      <c r="JT50" s="212"/>
      <c r="JU50" s="212"/>
      <c r="JV50" s="212"/>
      <c r="JW50" s="212"/>
      <c r="JX50" s="212"/>
      <c r="JY50" s="212"/>
      <c r="JZ50" s="212"/>
      <c r="KA50" s="212"/>
      <c r="KB50" s="212"/>
      <c r="KC50" s="212"/>
      <c r="KD50" s="212"/>
      <c r="KE50" s="212"/>
      <c r="KF50" s="212"/>
      <c r="KG50" s="212"/>
      <c r="KH50" s="212"/>
      <c r="KI50" s="212"/>
      <c r="KJ50" s="212"/>
      <c r="KK50" s="212"/>
      <c r="KL50" s="212"/>
      <c r="KM50" s="212"/>
      <c r="KN50" s="212"/>
      <c r="KO50" s="212"/>
      <c r="KP50" s="212"/>
      <c r="KQ50" s="212"/>
      <c r="KR50" s="212"/>
      <c r="KS50" s="212"/>
      <c r="KT50" s="212"/>
      <c r="KU50" s="212"/>
      <c r="KV50" s="212"/>
      <c r="KW50" s="212"/>
      <c r="KX50" s="212"/>
      <c r="KY50" s="212"/>
      <c r="KZ50" s="212"/>
      <c r="LA50" s="212"/>
      <c r="LB50" s="212"/>
      <c r="LC50" s="212"/>
      <c r="LD50" s="212"/>
      <c r="LE50" s="212"/>
      <c r="LF50" s="212"/>
      <c r="LG50" s="212"/>
      <c r="LH50" s="212"/>
      <c r="LI50" s="212"/>
      <c r="LJ50" s="212"/>
      <c r="LK50" s="212"/>
      <c r="LL50" s="212"/>
      <c r="LM50" s="212"/>
      <c r="LN50" s="212"/>
      <c r="LO50" s="212"/>
      <c r="LP50" s="212"/>
      <c r="LQ50" s="212"/>
      <c r="LR50" s="212"/>
      <c r="LS50" s="212"/>
      <c r="LT50" s="212"/>
      <c r="LU50" s="212"/>
      <c r="LV50" s="212"/>
      <c r="LW50" s="212"/>
      <c r="LX50" s="212"/>
      <c r="LY50" s="212"/>
      <c r="LZ50" s="212"/>
      <c r="MA50" s="212"/>
      <c r="MB50" s="212"/>
      <c r="MC50" s="212"/>
      <c r="MD50" s="212"/>
      <c r="ME50" s="212"/>
      <c r="MF50" s="212"/>
      <c r="MG50" s="212"/>
      <c r="MH50" s="212"/>
      <c r="MI50" s="212"/>
      <c r="MJ50" s="212"/>
      <c r="MK50" s="212"/>
      <c r="ML50" s="212"/>
      <c r="MM50" s="212"/>
      <c r="MN50" s="212"/>
      <c r="MO50" s="212"/>
      <c r="MP50" s="212"/>
      <c r="MQ50" s="212"/>
      <c r="MR50" s="212"/>
      <c r="MS50" s="212"/>
      <c r="MT50" s="212"/>
      <c r="MU50" s="212"/>
      <c r="MV50" s="212"/>
      <c r="MW50" s="212"/>
      <c r="MX50" s="212"/>
      <c r="MY50" s="212"/>
      <c r="MZ50" s="212"/>
      <c r="NA50" s="212"/>
      <c r="NB50" s="212"/>
      <c r="NC50" s="212"/>
      <c r="ND50" s="212"/>
      <c r="NE50" s="212"/>
      <c r="NF50" s="212"/>
      <c r="NG50" s="212"/>
      <c r="NH50" s="212"/>
      <c r="NI50" s="212"/>
      <c r="NJ50" s="212"/>
      <c r="NK50" s="212"/>
      <c r="NL50" s="212"/>
      <c r="NM50" s="212"/>
      <c r="NN50" s="212"/>
      <c r="NO50" s="212"/>
      <c r="NP50" s="212"/>
      <c r="NQ50" s="212"/>
      <c r="NR50" s="212"/>
      <c r="NS50" s="212"/>
      <c r="NT50" s="212"/>
      <c r="NU50" s="212"/>
      <c r="NV50" s="212"/>
      <c r="NW50" s="212"/>
      <c r="NX50" s="212"/>
      <c r="NY50" s="212"/>
      <c r="NZ50" s="212"/>
      <c r="OA50" s="212"/>
      <c r="OB50" s="212"/>
      <c r="OC50" s="212"/>
      <c r="OD50" s="212"/>
      <c r="OE50" s="212"/>
      <c r="OF50" s="212"/>
      <c r="OG50" s="212"/>
      <c r="OH50" s="212"/>
      <c r="OI50" s="212"/>
      <c r="OJ50" s="212"/>
      <c r="OK50" s="212"/>
      <c r="OL50" s="212"/>
      <c r="OM50" s="212"/>
      <c r="ON50" s="212"/>
      <c r="OO50" s="212"/>
      <c r="OP50" s="212"/>
      <c r="OQ50" s="212"/>
      <c r="OR50" s="212"/>
      <c r="OS50" s="212"/>
      <c r="OT50" s="212"/>
      <c r="OU50" s="212"/>
      <c r="OV50" s="212"/>
      <c r="OW50" s="212"/>
      <c r="OX50" s="212"/>
      <c r="OY50" s="212"/>
      <c r="OZ50" s="212"/>
      <c r="PA50" s="212"/>
      <c r="PB50" s="212"/>
      <c r="PC50" s="212"/>
      <c r="PD50" s="212"/>
      <c r="PE50" s="212"/>
      <c r="PF50" s="212"/>
      <c r="PG50" s="212"/>
      <c r="PH50" s="212"/>
      <c r="PI50" s="212"/>
      <c r="PJ50" s="212"/>
      <c r="PK50" s="212"/>
      <c r="PL50" s="212"/>
      <c r="PM50" s="212"/>
      <c r="PN50" s="212"/>
      <c r="PO50" s="212"/>
      <c r="PP50" s="212"/>
      <c r="PQ50" s="212"/>
      <c r="PR50" s="212"/>
      <c r="PS50" s="212"/>
      <c r="PT50" s="212"/>
      <c r="PU50" s="212"/>
      <c r="PV50" s="212"/>
      <c r="PW50" s="212"/>
      <c r="PX50" s="212"/>
      <c r="PY50" s="212"/>
      <c r="PZ50" s="212"/>
      <c r="QA50" s="212"/>
      <c r="QB50" s="212"/>
      <c r="QC50" s="212"/>
      <c r="QD50" s="212"/>
      <c r="QE50" s="212"/>
      <c r="QF50" s="212"/>
      <c r="QG50" s="212"/>
      <c r="QH50" s="212"/>
      <c r="QI50" s="212"/>
      <c r="QJ50" s="212"/>
      <c r="QK50" s="212"/>
      <c r="QL50" s="212"/>
      <c r="QM50" s="212"/>
      <c r="QN50" s="212"/>
      <c r="QO50" s="212"/>
      <c r="QP50" s="212"/>
      <c r="QQ50" s="212"/>
      <c r="QR50" s="212"/>
      <c r="QS50" s="212"/>
      <c r="QT50" s="212"/>
      <c r="QU50" s="212"/>
      <c r="QV50" s="212"/>
      <c r="QW50" s="212"/>
      <c r="QX50" s="212"/>
      <c r="QY50" s="212"/>
      <c r="QZ50" s="212"/>
      <c r="RA50" s="212"/>
      <c r="RB50" s="212"/>
      <c r="RC50" s="212"/>
      <c r="RD50" s="212"/>
      <c r="RE50" s="212"/>
      <c r="RF50" s="212"/>
      <c r="RG50" s="212"/>
      <c r="RH50" s="212"/>
      <c r="RI50" s="212"/>
      <c r="RJ50" s="212"/>
      <c r="RK50" s="212"/>
      <c r="RL50" s="212"/>
      <c r="RM50" s="212"/>
      <c r="RN50" s="212"/>
      <c r="RO50" s="212"/>
      <c r="RP50" s="212"/>
      <c r="RQ50" s="212"/>
      <c r="RR50" s="212"/>
      <c r="RS50" s="212"/>
      <c r="RT50" s="212"/>
      <c r="RU50" s="212"/>
      <c r="RV50" s="212"/>
      <c r="RW50" s="212"/>
      <c r="RX50" s="212"/>
      <c r="RY50" s="212"/>
      <c r="RZ50" s="212"/>
      <c r="SA50" s="212"/>
      <c r="SB50" s="212"/>
      <c r="SC50" s="212"/>
      <c r="SD50" s="212"/>
      <c r="SE50" s="212"/>
      <c r="SF50" s="212"/>
      <c r="SG50" s="212"/>
      <c r="SH50" s="212"/>
      <c r="SI50" s="212"/>
      <c r="SJ50" s="212"/>
      <c r="SK50" s="212"/>
      <c r="SL50" s="212"/>
      <c r="SM50" s="212"/>
      <c r="SN50" s="212"/>
      <c r="SO50" s="212"/>
      <c r="SP50" s="212"/>
      <c r="SQ50" s="212"/>
      <c r="SR50" s="212"/>
      <c r="SS50" s="212"/>
      <c r="ST50" s="212"/>
      <c r="SU50" s="212"/>
      <c r="SV50" s="212"/>
      <c r="SW50" s="212"/>
      <c r="SX50" s="212"/>
      <c r="SY50" s="212"/>
      <c r="SZ50" s="212"/>
      <c r="TA50" s="212"/>
      <c r="TB50" s="212"/>
      <c r="TC50" s="212"/>
      <c r="TD50" s="212"/>
      <c r="TE50" s="212"/>
      <c r="TF50" s="212"/>
      <c r="TG50" s="212"/>
      <c r="TH50" s="212"/>
      <c r="TI50" s="212"/>
      <c r="TJ50" s="212"/>
      <c r="TK50" s="212"/>
      <c r="TL50" s="212"/>
      <c r="TM50" s="212"/>
      <c r="TN50" s="212"/>
      <c r="TO50" s="212"/>
      <c r="TP50" s="212"/>
      <c r="TQ50" s="212"/>
      <c r="TR50" s="212"/>
      <c r="TS50" s="212"/>
      <c r="TT50" s="212"/>
      <c r="TU50" s="212"/>
      <c r="TV50" s="212"/>
      <c r="TW50" s="212"/>
      <c r="TX50" s="212"/>
      <c r="TY50" s="212"/>
      <c r="TZ50" s="212"/>
      <c r="UA50" s="212"/>
      <c r="UB50" s="212"/>
      <c r="UC50" s="212"/>
      <c r="UD50" s="212"/>
      <c r="UE50" s="212"/>
      <c r="UF50" s="212"/>
      <c r="UG50" s="212"/>
      <c r="UH50" s="212"/>
      <c r="UI50" s="212"/>
      <c r="UJ50" s="212"/>
      <c r="UK50" s="212"/>
      <c r="UL50" s="212"/>
      <c r="UM50" s="212"/>
      <c r="UN50" s="212"/>
      <c r="UO50" s="212"/>
      <c r="UP50" s="212"/>
      <c r="UQ50" s="212"/>
      <c r="UR50" s="212"/>
      <c r="US50" s="212"/>
      <c r="UT50" s="194"/>
    </row>
    <row r="51" spans="2:572" ht="15.75" customHeight="1" x14ac:dyDescent="0.3">
      <c r="B51" s="117" t="s">
        <v>43</v>
      </c>
      <c r="C51" s="124"/>
      <c r="D51" s="102" t="str">
        <f>IFERROR(E51/$E$55,"")</f>
        <v/>
      </c>
      <c r="E51" s="103" t="str">
        <f>IFERROR(AVERAGE(F51:US51),"")</f>
        <v/>
      </c>
      <c r="F51" s="212"/>
      <c r="G51" s="212"/>
      <c r="H51" s="212"/>
      <c r="I51" s="212"/>
      <c r="J51" s="212"/>
      <c r="K51" s="212"/>
      <c r="L51" s="212"/>
      <c r="M51" s="212"/>
      <c r="N51" s="212"/>
      <c r="O51" s="212"/>
      <c r="P51" s="213"/>
      <c r="Q51" s="213"/>
      <c r="R51" s="212"/>
      <c r="S51" s="212"/>
      <c r="T51" s="212"/>
      <c r="U51" s="212"/>
      <c r="V51" s="212"/>
      <c r="W51" s="213"/>
      <c r="X51" s="213"/>
      <c r="Y51" s="212"/>
      <c r="Z51" s="212"/>
      <c r="AA51" s="212"/>
      <c r="AB51" s="213"/>
      <c r="AC51" s="213"/>
      <c r="AD51" s="213"/>
      <c r="AE51" s="213"/>
      <c r="AF51" s="213"/>
      <c r="AG51" s="213"/>
      <c r="AH51" s="212"/>
      <c r="AI51" s="212"/>
      <c r="AJ51" s="212"/>
      <c r="AK51" s="213"/>
      <c r="AL51" s="213"/>
      <c r="AM51" s="212"/>
      <c r="AN51" s="212"/>
      <c r="AO51" s="212"/>
      <c r="AP51" s="212"/>
      <c r="AQ51" s="212"/>
      <c r="AR51" s="212"/>
      <c r="AS51" s="212"/>
      <c r="AT51" s="212"/>
      <c r="AU51" s="212"/>
      <c r="AV51" s="212"/>
      <c r="AW51" s="212"/>
      <c r="AX51" s="212"/>
      <c r="AY51" s="212"/>
      <c r="AZ51" s="212"/>
      <c r="BA51" s="212"/>
      <c r="BB51" s="212"/>
      <c r="BC51" s="212"/>
      <c r="BD51" s="212"/>
      <c r="BE51" s="212"/>
      <c r="BF51" s="212"/>
      <c r="BG51" s="212"/>
      <c r="BH51" s="212"/>
      <c r="BI51" s="212"/>
      <c r="BJ51" s="212"/>
      <c r="BK51" s="212"/>
      <c r="BL51" s="212"/>
      <c r="BM51" s="212"/>
      <c r="BN51" s="212"/>
      <c r="BO51" s="212"/>
      <c r="BP51" s="212"/>
      <c r="BQ51" s="212"/>
      <c r="BR51" s="212"/>
      <c r="BS51" s="212"/>
      <c r="BT51" s="212"/>
      <c r="BU51" s="212"/>
      <c r="BV51" s="212"/>
      <c r="BW51" s="212"/>
      <c r="BX51" s="212"/>
      <c r="BY51" s="212"/>
      <c r="BZ51" s="212"/>
      <c r="CA51" s="212"/>
      <c r="CB51" s="212"/>
      <c r="CC51" s="212"/>
      <c r="CD51" s="212"/>
      <c r="CE51" s="212"/>
      <c r="CF51" s="212"/>
      <c r="CG51" s="212"/>
      <c r="CH51" s="212"/>
      <c r="CI51" s="212"/>
      <c r="CJ51" s="212"/>
      <c r="CK51" s="212"/>
      <c r="CL51" s="212"/>
      <c r="CM51" s="212"/>
      <c r="CN51" s="212"/>
      <c r="CO51" s="212"/>
      <c r="CP51" s="212"/>
      <c r="CQ51" s="212"/>
      <c r="CR51" s="212"/>
      <c r="CS51" s="212"/>
      <c r="CT51" s="212"/>
      <c r="CU51" s="212"/>
      <c r="CV51" s="212"/>
      <c r="CW51" s="212"/>
      <c r="CX51" s="212"/>
      <c r="CY51" s="212"/>
      <c r="CZ51" s="212"/>
      <c r="DA51" s="212"/>
      <c r="DB51" s="212"/>
      <c r="DC51" s="212"/>
      <c r="DD51" s="212"/>
      <c r="DE51" s="212"/>
      <c r="DF51" s="212"/>
      <c r="DG51" s="212"/>
      <c r="DH51" s="212"/>
      <c r="DI51" s="212"/>
      <c r="DJ51" s="212"/>
      <c r="DK51" s="212"/>
      <c r="DL51" s="212"/>
      <c r="DM51" s="212"/>
      <c r="DN51" s="212"/>
      <c r="DO51" s="212"/>
      <c r="DP51" s="212"/>
      <c r="DQ51" s="212"/>
      <c r="DR51" s="212"/>
      <c r="DS51" s="212"/>
      <c r="DT51" s="212"/>
      <c r="DU51" s="212"/>
      <c r="DV51" s="212"/>
      <c r="DW51" s="212"/>
      <c r="DX51" s="212"/>
      <c r="DY51" s="212"/>
      <c r="DZ51" s="212"/>
      <c r="EA51" s="212"/>
      <c r="EB51" s="212"/>
      <c r="EC51" s="212"/>
      <c r="ED51" s="212"/>
      <c r="EE51" s="212"/>
      <c r="EF51" s="212"/>
      <c r="EG51" s="212"/>
      <c r="EH51" s="212"/>
      <c r="EI51" s="212"/>
      <c r="EJ51" s="212"/>
      <c r="EK51" s="212"/>
      <c r="EL51" s="212"/>
      <c r="EM51" s="212"/>
      <c r="EN51" s="212"/>
      <c r="EO51" s="212"/>
      <c r="EP51" s="212"/>
      <c r="EQ51" s="212"/>
      <c r="ER51" s="212"/>
      <c r="ES51" s="212"/>
      <c r="ET51" s="212"/>
      <c r="EU51" s="212"/>
      <c r="EV51" s="212"/>
      <c r="EW51" s="212"/>
      <c r="EX51" s="212"/>
      <c r="EY51" s="212"/>
      <c r="EZ51" s="212"/>
      <c r="FA51" s="212"/>
      <c r="FB51" s="212"/>
      <c r="FC51" s="212"/>
      <c r="FD51" s="212"/>
      <c r="FE51" s="212"/>
      <c r="FF51" s="212"/>
      <c r="FG51" s="212"/>
      <c r="FH51" s="212"/>
      <c r="FI51" s="212"/>
      <c r="FJ51" s="212"/>
      <c r="FK51" s="212"/>
      <c r="FL51" s="212"/>
      <c r="FM51" s="212"/>
      <c r="FN51" s="212"/>
      <c r="FO51" s="212"/>
      <c r="FP51" s="212"/>
      <c r="FQ51" s="212"/>
      <c r="FR51" s="212"/>
      <c r="FS51" s="212"/>
      <c r="FT51" s="212"/>
      <c r="FU51" s="212"/>
      <c r="FV51" s="212"/>
      <c r="FW51" s="212"/>
      <c r="FX51" s="212"/>
      <c r="FY51" s="212"/>
      <c r="FZ51" s="212"/>
      <c r="GA51" s="212"/>
      <c r="GB51" s="212"/>
      <c r="GC51" s="212"/>
      <c r="GD51" s="212"/>
      <c r="GE51" s="212"/>
      <c r="GF51" s="212"/>
      <c r="GG51" s="212"/>
      <c r="GH51" s="212"/>
      <c r="GI51" s="212"/>
      <c r="GJ51" s="212"/>
      <c r="GK51" s="212"/>
      <c r="GL51" s="212"/>
      <c r="GM51" s="212"/>
      <c r="GN51" s="212"/>
      <c r="GO51" s="212"/>
      <c r="GP51" s="212"/>
      <c r="GQ51" s="212"/>
      <c r="GR51" s="212"/>
      <c r="GS51" s="212"/>
      <c r="GT51" s="212"/>
      <c r="GU51" s="212"/>
      <c r="GV51" s="212"/>
      <c r="GW51" s="212"/>
      <c r="GX51" s="212"/>
      <c r="GY51" s="212"/>
      <c r="GZ51" s="212"/>
      <c r="HA51" s="212"/>
      <c r="HB51" s="212"/>
      <c r="HC51" s="212"/>
      <c r="HD51" s="212"/>
      <c r="HE51" s="212"/>
      <c r="HF51" s="212"/>
      <c r="HG51" s="212"/>
      <c r="HH51" s="212"/>
      <c r="HI51" s="212"/>
      <c r="HJ51" s="212"/>
      <c r="HK51" s="212"/>
      <c r="HL51" s="212"/>
      <c r="HM51" s="212"/>
      <c r="HN51" s="212"/>
      <c r="HO51" s="212"/>
      <c r="HP51" s="212"/>
      <c r="HQ51" s="212"/>
      <c r="HR51" s="212"/>
      <c r="HS51" s="212"/>
      <c r="HT51" s="212"/>
      <c r="HU51" s="212"/>
      <c r="HV51" s="212"/>
      <c r="HW51" s="212"/>
      <c r="HX51" s="212"/>
      <c r="HY51" s="212"/>
      <c r="HZ51" s="212"/>
      <c r="IA51" s="212"/>
      <c r="IB51" s="212"/>
      <c r="IC51" s="212"/>
      <c r="ID51" s="212"/>
      <c r="IE51" s="212"/>
      <c r="IF51" s="212"/>
      <c r="IG51" s="212"/>
      <c r="IH51" s="212"/>
      <c r="II51" s="212"/>
      <c r="IJ51" s="212"/>
      <c r="IK51" s="212"/>
      <c r="IL51" s="212"/>
      <c r="IM51" s="212"/>
      <c r="IN51" s="212"/>
      <c r="IO51" s="212"/>
      <c r="IP51" s="212"/>
      <c r="IQ51" s="212"/>
      <c r="IR51" s="212"/>
      <c r="IS51" s="212"/>
      <c r="IT51" s="212"/>
      <c r="IU51" s="212"/>
      <c r="IV51" s="212"/>
      <c r="IW51" s="212"/>
      <c r="IX51" s="212"/>
      <c r="IY51" s="212"/>
      <c r="IZ51" s="212"/>
      <c r="JA51" s="212"/>
      <c r="JB51" s="212"/>
      <c r="JC51" s="212"/>
      <c r="JD51" s="212"/>
      <c r="JE51" s="212"/>
      <c r="JF51" s="212"/>
      <c r="JG51" s="212"/>
      <c r="JH51" s="212"/>
      <c r="JI51" s="212"/>
      <c r="JJ51" s="212"/>
      <c r="JK51" s="212"/>
      <c r="JL51" s="212"/>
      <c r="JM51" s="212"/>
      <c r="JN51" s="212"/>
      <c r="JO51" s="212"/>
      <c r="JP51" s="212"/>
      <c r="JQ51" s="212"/>
      <c r="JR51" s="212"/>
      <c r="JS51" s="212"/>
      <c r="JT51" s="212"/>
      <c r="JU51" s="212"/>
      <c r="JV51" s="212"/>
      <c r="JW51" s="212"/>
      <c r="JX51" s="212"/>
      <c r="JY51" s="212"/>
      <c r="JZ51" s="212"/>
      <c r="KA51" s="212"/>
      <c r="KB51" s="212"/>
      <c r="KC51" s="212"/>
      <c r="KD51" s="212"/>
      <c r="KE51" s="212"/>
      <c r="KF51" s="212"/>
      <c r="KG51" s="212"/>
      <c r="KH51" s="212"/>
      <c r="KI51" s="212"/>
      <c r="KJ51" s="212"/>
      <c r="KK51" s="212"/>
      <c r="KL51" s="212"/>
      <c r="KM51" s="212"/>
      <c r="KN51" s="212"/>
      <c r="KO51" s="212"/>
      <c r="KP51" s="212"/>
      <c r="KQ51" s="212"/>
      <c r="KR51" s="212"/>
      <c r="KS51" s="212"/>
      <c r="KT51" s="212"/>
      <c r="KU51" s="212"/>
      <c r="KV51" s="212"/>
      <c r="KW51" s="212"/>
      <c r="KX51" s="212"/>
      <c r="KY51" s="212"/>
      <c r="KZ51" s="212"/>
      <c r="LA51" s="212"/>
      <c r="LB51" s="212"/>
      <c r="LC51" s="212"/>
      <c r="LD51" s="212"/>
      <c r="LE51" s="212"/>
      <c r="LF51" s="212"/>
      <c r="LG51" s="212"/>
      <c r="LH51" s="212"/>
      <c r="LI51" s="212"/>
      <c r="LJ51" s="212"/>
      <c r="LK51" s="212"/>
      <c r="LL51" s="212"/>
      <c r="LM51" s="212"/>
      <c r="LN51" s="212"/>
      <c r="LO51" s="212"/>
      <c r="LP51" s="212"/>
      <c r="LQ51" s="212"/>
      <c r="LR51" s="212"/>
      <c r="LS51" s="212"/>
      <c r="LT51" s="212"/>
      <c r="LU51" s="212"/>
      <c r="LV51" s="212"/>
      <c r="LW51" s="212"/>
      <c r="LX51" s="212"/>
      <c r="LY51" s="212"/>
      <c r="LZ51" s="212"/>
      <c r="MA51" s="212"/>
      <c r="MB51" s="212"/>
      <c r="MC51" s="212"/>
      <c r="MD51" s="212"/>
      <c r="ME51" s="212"/>
      <c r="MF51" s="212"/>
      <c r="MG51" s="212"/>
      <c r="MH51" s="212"/>
      <c r="MI51" s="212"/>
      <c r="MJ51" s="212"/>
      <c r="MK51" s="212"/>
      <c r="ML51" s="212"/>
      <c r="MM51" s="212"/>
      <c r="MN51" s="212"/>
      <c r="MO51" s="212"/>
      <c r="MP51" s="212"/>
      <c r="MQ51" s="212"/>
      <c r="MR51" s="212"/>
      <c r="MS51" s="212"/>
      <c r="MT51" s="212"/>
      <c r="MU51" s="212"/>
      <c r="MV51" s="212"/>
      <c r="MW51" s="212"/>
      <c r="MX51" s="212"/>
      <c r="MY51" s="212"/>
      <c r="MZ51" s="212"/>
      <c r="NA51" s="212"/>
      <c r="NB51" s="212"/>
      <c r="NC51" s="212"/>
      <c r="ND51" s="212"/>
      <c r="NE51" s="212"/>
      <c r="NF51" s="212"/>
      <c r="NG51" s="212"/>
      <c r="NH51" s="212"/>
      <c r="NI51" s="212"/>
      <c r="NJ51" s="212"/>
      <c r="NK51" s="212"/>
      <c r="NL51" s="212"/>
      <c r="NM51" s="212"/>
      <c r="NN51" s="212"/>
      <c r="NO51" s="212"/>
      <c r="NP51" s="212"/>
      <c r="NQ51" s="212"/>
      <c r="NR51" s="212"/>
      <c r="NS51" s="212"/>
      <c r="NT51" s="212"/>
      <c r="NU51" s="212"/>
      <c r="NV51" s="212"/>
      <c r="NW51" s="212"/>
      <c r="NX51" s="212"/>
      <c r="NY51" s="212"/>
      <c r="NZ51" s="212"/>
      <c r="OA51" s="212"/>
      <c r="OB51" s="212"/>
      <c r="OC51" s="212"/>
      <c r="OD51" s="212"/>
      <c r="OE51" s="212"/>
      <c r="OF51" s="212"/>
      <c r="OG51" s="212"/>
      <c r="OH51" s="212"/>
      <c r="OI51" s="212"/>
      <c r="OJ51" s="212"/>
      <c r="OK51" s="212"/>
      <c r="OL51" s="212"/>
      <c r="OM51" s="212"/>
      <c r="ON51" s="212"/>
      <c r="OO51" s="212"/>
      <c r="OP51" s="212"/>
      <c r="OQ51" s="212"/>
      <c r="OR51" s="212"/>
      <c r="OS51" s="212"/>
      <c r="OT51" s="212"/>
      <c r="OU51" s="212"/>
      <c r="OV51" s="212"/>
      <c r="OW51" s="212"/>
      <c r="OX51" s="212"/>
      <c r="OY51" s="212"/>
      <c r="OZ51" s="212"/>
      <c r="PA51" s="212"/>
      <c r="PB51" s="212"/>
      <c r="PC51" s="212"/>
      <c r="PD51" s="212"/>
      <c r="PE51" s="212"/>
      <c r="PF51" s="212"/>
      <c r="PG51" s="212"/>
      <c r="PH51" s="212"/>
      <c r="PI51" s="212"/>
      <c r="PJ51" s="212"/>
      <c r="PK51" s="212"/>
      <c r="PL51" s="212"/>
      <c r="PM51" s="212"/>
      <c r="PN51" s="212"/>
      <c r="PO51" s="212"/>
      <c r="PP51" s="212"/>
      <c r="PQ51" s="212"/>
      <c r="PR51" s="212"/>
      <c r="PS51" s="212"/>
      <c r="PT51" s="212"/>
      <c r="PU51" s="212"/>
      <c r="PV51" s="212"/>
      <c r="PW51" s="212"/>
      <c r="PX51" s="212"/>
      <c r="PY51" s="212"/>
      <c r="PZ51" s="212"/>
      <c r="QA51" s="212"/>
      <c r="QB51" s="212"/>
      <c r="QC51" s="212"/>
      <c r="QD51" s="212"/>
      <c r="QE51" s="212"/>
      <c r="QF51" s="212"/>
      <c r="QG51" s="212"/>
      <c r="QH51" s="212"/>
      <c r="QI51" s="212"/>
      <c r="QJ51" s="212"/>
      <c r="QK51" s="212"/>
      <c r="QL51" s="212"/>
      <c r="QM51" s="212"/>
      <c r="QN51" s="212"/>
      <c r="QO51" s="212"/>
      <c r="QP51" s="212"/>
      <c r="QQ51" s="212"/>
      <c r="QR51" s="212"/>
      <c r="QS51" s="212"/>
      <c r="QT51" s="212"/>
      <c r="QU51" s="212"/>
      <c r="QV51" s="212"/>
      <c r="QW51" s="212"/>
      <c r="QX51" s="212"/>
      <c r="QY51" s="212"/>
      <c r="QZ51" s="212"/>
      <c r="RA51" s="212"/>
      <c r="RB51" s="212"/>
      <c r="RC51" s="212"/>
      <c r="RD51" s="212"/>
      <c r="RE51" s="212"/>
      <c r="RF51" s="212"/>
      <c r="RG51" s="212"/>
      <c r="RH51" s="212"/>
      <c r="RI51" s="212"/>
      <c r="RJ51" s="212"/>
      <c r="RK51" s="212"/>
      <c r="RL51" s="212"/>
      <c r="RM51" s="212"/>
      <c r="RN51" s="212"/>
      <c r="RO51" s="212"/>
      <c r="RP51" s="212"/>
      <c r="RQ51" s="212"/>
      <c r="RR51" s="212"/>
      <c r="RS51" s="212"/>
      <c r="RT51" s="212"/>
      <c r="RU51" s="212"/>
      <c r="RV51" s="212"/>
      <c r="RW51" s="212"/>
      <c r="RX51" s="212"/>
      <c r="RY51" s="212"/>
      <c r="RZ51" s="212"/>
      <c r="SA51" s="212"/>
      <c r="SB51" s="212"/>
      <c r="SC51" s="212"/>
      <c r="SD51" s="212"/>
      <c r="SE51" s="212"/>
      <c r="SF51" s="212"/>
      <c r="SG51" s="212"/>
      <c r="SH51" s="212"/>
      <c r="SI51" s="212"/>
      <c r="SJ51" s="212"/>
      <c r="SK51" s="212"/>
      <c r="SL51" s="212"/>
      <c r="SM51" s="212"/>
      <c r="SN51" s="212"/>
      <c r="SO51" s="212"/>
      <c r="SP51" s="212"/>
      <c r="SQ51" s="212"/>
      <c r="SR51" s="212"/>
      <c r="SS51" s="212"/>
      <c r="ST51" s="212"/>
      <c r="SU51" s="212"/>
      <c r="SV51" s="212"/>
      <c r="SW51" s="212"/>
      <c r="SX51" s="212"/>
      <c r="SY51" s="212"/>
      <c r="SZ51" s="212"/>
      <c r="TA51" s="212"/>
      <c r="TB51" s="212"/>
      <c r="TC51" s="212"/>
      <c r="TD51" s="212"/>
      <c r="TE51" s="212"/>
      <c r="TF51" s="212"/>
      <c r="TG51" s="212"/>
      <c r="TH51" s="212"/>
      <c r="TI51" s="212"/>
      <c r="TJ51" s="212"/>
      <c r="TK51" s="212"/>
      <c r="TL51" s="212"/>
      <c r="TM51" s="212"/>
      <c r="TN51" s="212"/>
      <c r="TO51" s="212"/>
      <c r="TP51" s="212"/>
      <c r="TQ51" s="212"/>
      <c r="TR51" s="212"/>
      <c r="TS51" s="212"/>
      <c r="TT51" s="212"/>
      <c r="TU51" s="212"/>
      <c r="TV51" s="212"/>
      <c r="TW51" s="212"/>
      <c r="TX51" s="212"/>
      <c r="TY51" s="212"/>
      <c r="TZ51" s="212"/>
      <c r="UA51" s="212"/>
      <c r="UB51" s="212"/>
      <c r="UC51" s="212"/>
      <c r="UD51" s="212"/>
      <c r="UE51" s="212"/>
      <c r="UF51" s="212"/>
      <c r="UG51" s="212"/>
      <c r="UH51" s="212"/>
      <c r="UI51" s="212"/>
      <c r="UJ51" s="212"/>
      <c r="UK51" s="212"/>
      <c r="UL51" s="212"/>
      <c r="UM51" s="212"/>
      <c r="UN51" s="212"/>
      <c r="UO51" s="212"/>
      <c r="UP51" s="212"/>
      <c r="UQ51" s="212"/>
      <c r="UR51" s="212"/>
      <c r="US51" s="212"/>
      <c r="UT51" s="194"/>
    </row>
    <row r="52" spans="2:572" ht="15.75" customHeight="1" x14ac:dyDescent="0.3">
      <c r="B52" s="117" t="s">
        <v>42</v>
      </c>
      <c r="C52" s="124"/>
      <c r="D52" s="102" t="str">
        <f>IFERROR(E52/$E$55,"")</f>
        <v/>
      </c>
      <c r="E52" s="103" t="str">
        <f>IFERROR(AVERAGE(F52:US52),"")</f>
        <v/>
      </c>
      <c r="F52" s="212"/>
      <c r="G52" s="212"/>
      <c r="H52" s="212"/>
      <c r="I52" s="212"/>
      <c r="J52" s="212"/>
      <c r="K52" s="212"/>
      <c r="L52" s="212"/>
      <c r="M52" s="212"/>
      <c r="N52" s="212"/>
      <c r="O52" s="212"/>
      <c r="P52" s="213"/>
      <c r="Q52" s="213"/>
      <c r="R52" s="212"/>
      <c r="S52" s="212"/>
      <c r="T52" s="212"/>
      <c r="U52" s="212"/>
      <c r="V52" s="212"/>
      <c r="W52" s="213"/>
      <c r="X52" s="213"/>
      <c r="Y52" s="212"/>
      <c r="Z52" s="212"/>
      <c r="AA52" s="212"/>
      <c r="AB52" s="213"/>
      <c r="AC52" s="213"/>
      <c r="AD52" s="213"/>
      <c r="AE52" s="213"/>
      <c r="AF52" s="213"/>
      <c r="AG52" s="213"/>
      <c r="AH52" s="212"/>
      <c r="AI52" s="212"/>
      <c r="AJ52" s="212"/>
      <c r="AK52" s="213"/>
      <c r="AL52" s="213"/>
      <c r="AM52" s="212"/>
      <c r="AN52" s="212"/>
      <c r="AO52" s="212"/>
      <c r="AP52" s="212"/>
      <c r="AQ52" s="212"/>
      <c r="AR52" s="212"/>
      <c r="AS52" s="212"/>
      <c r="AT52" s="212"/>
      <c r="AU52" s="212"/>
      <c r="AV52" s="212"/>
      <c r="AW52" s="212"/>
      <c r="AX52" s="212"/>
      <c r="AY52" s="212"/>
      <c r="AZ52" s="212"/>
      <c r="BA52" s="212"/>
      <c r="BB52" s="212"/>
      <c r="BC52" s="212"/>
      <c r="BD52" s="212"/>
      <c r="BE52" s="212"/>
      <c r="BF52" s="212"/>
      <c r="BG52" s="212"/>
      <c r="BH52" s="212"/>
      <c r="BI52" s="212"/>
      <c r="BJ52" s="212"/>
      <c r="BK52" s="212"/>
      <c r="BL52" s="212"/>
      <c r="BM52" s="212"/>
      <c r="BN52" s="212"/>
      <c r="BO52" s="212"/>
      <c r="BP52" s="212"/>
      <c r="BQ52" s="212"/>
      <c r="BR52" s="212"/>
      <c r="BS52" s="212"/>
      <c r="BT52" s="212"/>
      <c r="BU52" s="212"/>
      <c r="BV52" s="212"/>
      <c r="BW52" s="212"/>
      <c r="BX52" s="212"/>
      <c r="BY52" s="212"/>
      <c r="BZ52" s="212"/>
      <c r="CA52" s="212"/>
      <c r="CB52" s="212"/>
      <c r="CC52" s="212"/>
      <c r="CD52" s="212"/>
      <c r="CE52" s="212"/>
      <c r="CF52" s="212"/>
      <c r="CG52" s="212"/>
      <c r="CH52" s="212"/>
      <c r="CI52" s="212"/>
      <c r="CJ52" s="212"/>
      <c r="CK52" s="212"/>
      <c r="CL52" s="212"/>
      <c r="CM52" s="212"/>
      <c r="CN52" s="212"/>
      <c r="CO52" s="212"/>
      <c r="CP52" s="212"/>
      <c r="CQ52" s="212"/>
      <c r="CR52" s="212"/>
      <c r="CS52" s="212"/>
      <c r="CT52" s="212"/>
      <c r="CU52" s="212"/>
      <c r="CV52" s="212"/>
      <c r="CW52" s="212"/>
      <c r="CX52" s="212"/>
      <c r="CY52" s="212"/>
      <c r="CZ52" s="212"/>
      <c r="DA52" s="212"/>
      <c r="DB52" s="212"/>
      <c r="DC52" s="212"/>
      <c r="DD52" s="212"/>
      <c r="DE52" s="212"/>
      <c r="DF52" s="212"/>
      <c r="DG52" s="212"/>
      <c r="DH52" s="212"/>
      <c r="DI52" s="212"/>
      <c r="DJ52" s="212"/>
      <c r="DK52" s="212"/>
      <c r="DL52" s="212"/>
      <c r="DM52" s="212"/>
      <c r="DN52" s="212"/>
      <c r="DO52" s="212"/>
      <c r="DP52" s="212"/>
      <c r="DQ52" s="212"/>
      <c r="DR52" s="212"/>
      <c r="DS52" s="212"/>
      <c r="DT52" s="212"/>
      <c r="DU52" s="212"/>
      <c r="DV52" s="212"/>
      <c r="DW52" s="212"/>
      <c r="DX52" s="212"/>
      <c r="DY52" s="212"/>
      <c r="DZ52" s="212"/>
      <c r="EA52" s="212"/>
      <c r="EB52" s="212"/>
      <c r="EC52" s="212"/>
      <c r="ED52" s="212"/>
      <c r="EE52" s="212"/>
      <c r="EF52" s="212"/>
      <c r="EG52" s="212"/>
      <c r="EH52" s="212"/>
      <c r="EI52" s="212"/>
      <c r="EJ52" s="212"/>
      <c r="EK52" s="212"/>
      <c r="EL52" s="212"/>
      <c r="EM52" s="212"/>
      <c r="EN52" s="212"/>
      <c r="EO52" s="212"/>
      <c r="EP52" s="212"/>
      <c r="EQ52" s="212"/>
      <c r="ER52" s="212"/>
      <c r="ES52" s="212"/>
      <c r="ET52" s="212"/>
      <c r="EU52" s="212"/>
      <c r="EV52" s="212"/>
      <c r="EW52" s="212"/>
      <c r="EX52" s="212"/>
      <c r="EY52" s="212"/>
      <c r="EZ52" s="212"/>
      <c r="FA52" s="212"/>
      <c r="FB52" s="212"/>
      <c r="FC52" s="212"/>
      <c r="FD52" s="212"/>
      <c r="FE52" s="212"/>
      <c r="FF52" s="212"/>
      <c r="FG52" s="212"/>
      <c r="FH52" s="212"/>
      <c r="FI52" s="212"/>
      <c r="FJ52" s="212"/>
      <c r="FK52" s="212"/>
      <c r="FL52" s="212"/>
      <c r="FM52" s="212"/>
      <c r="FN52" s="212"/>
      <c r="FO52" s="212"/>
      <c r="FP52" s="212"/>
      <c r="FQ52" s="212"/>
      <c r="FR52" s="212"/>
      <c r="FS52" s="212"/>
      <c r="FT52" s="212"/>
      <c r="FU52" s="212"/>
      <c r="FV52" s="212"/>
      <c r="FW52" s="212"/>
      <c r="FX52" s="212"/>
      <c r="FY52" s="212"/>
      <c r="FZ52" s="212"/>
      <c r="GA52" s="212"/>
      <c r="GB52" s="212"/>
      <c r="GC52" s="212"/>
      <c r="GD52" s="212"/>
      <c r="GE52" s="212"/>
      <c r="GF52" s="212"/>
      <c r="GG52" s="212"/>
      <c r="GH52" s="212"/>
      <c r="GI52" s="212"/>
      <c r="GJ52" s="212"/>
      <c r="GK52" s="212"/>
      <c r="GL52" s="212"/>
      <c r="GM52" s="212"/>
      <c r="GN52" s="212"/>
      <c r="GO52" s="212"/>
      <c r="GP52" s="212"/>
      <c r="GQ52" s="212"/>
      <c r="GR52" s="212"/>
      <c r="GS52" s="212"/>
      <c r="GT52" s="212"/>
      <c r="GU52" s="212"/>
      <c r="GV52" s="212"/>
      <c r="GW52" s="212"/>
      <c r="GX52" s="212"/>
      <c r="GY52" s="212"/>
      <c r="GZ52" s="212"/>
      <c r="HA52" s="212"/>
      <c r="HB52" s="212"/>
      <c r="HC52" s="212"/>
      <c r="HD52" s="212"/>
      <c r="HE52" s="212"/>
      <c r="HF52" s="212"/>
      <c r="HG52" s="212"/>
      <c r="HH52" s="212"/>
      <c r="HI52" s="212"/>
      <c r="HJ52" s="212"/>
      <c r="HK52" s="212"/>
      <c r="HL52" s="212"/>
      <c r="HM52" s="212"/>
      <c r="HN52" s="212"/>
      <c r="HO52" s="212"/>
      <c r="HP52" s="212"/>
      <c r="HQ52" s="212"/>
      <c r="HR52" s="212"/>
      <c r="HS52" s="212"/>
      <c r="HT52" s="212"/>
      <c r="HU52" s="212"/>
      <c r="HV52" s="212"/>
      <c r="HW52" s="212"/>
      <c r="HX52" s="212"/>
      <c r="HY52" s="212"/>
      <c r="HZ52" s="212"/>
      <c r="IA52" s="212"/>
      <c r="IB52" s="212"/>
      <c r="IC52" s="212"/>
      <c r="ID52" s="212"/>
      <c r="IE52" s="212"/>
      <c r="IF52" s="212"/>
      <c r="IG52" s="212"/>
      <c r="IH52" s="212"/>
      <c r="II52" s="212"/>
      <c r="IJ52" s="212"/>
      <c r="IK52" s="212"/>
      <c r="IL52" s="212"/>
      <c r="IM52" s="212"/>
      <c r="IN52" s="212"/>
      <c r="IO52" s="212"/>
      <c r="IP52" s="212"/>
      <c r="IQ52" s="212"/>
      <c r="IR52" s="212"/>
      <c r="IS52" s="212"/>
      <c r="IT52" s="212"/>
      <c r="IU52" s="212"/>
      <c r="IV52" s="212"/>
      <c r="IW52" s="212"/>
      <c r="IX52" s="212"/>
      <c r="IY52" s="212"/>
      <c r="IZ52" s="212"/>
      <c r="JA52" s="212"/>
      <c r="JB52" s="212"/>
      <c r="JC52" s="212"/>
      <c r="JD52" s="212"/>
      <c r="JE52" s="212"/>
      <c r="JF52" s="212"/>
      <c r="JG52" s="212"/>
      <c r="JH52" s="212"/>
      <c r="JI52" s="212"/>
      <c r="JJ52" s="212"/>
      <c r="JK52" s="212"/>
      <c r="JL52" s="212"/>
      <c r="JM52" s="212"/>
      <c r="JN52" s="212"/>
      <c r="JO52" s="212"/>
      <c r="JP52" s="212"/>
      <c r="JQ52" s="212"/>
      <c r="JR52" s="212"/>
      <c r="JS52" s="212"/>
      <c r="JT52" s="212"/>
      <c r="JU52" s="212"/>
      <c r="JV52" s="212"/>
      <c r="JW52" s="212"/>
      <c r="JX52" s="212"/>
      <c r="JY52" s="212"/>
      <c r="JZ52" s="212"/>
      <c r="KA52" s="212"/>
      <c r="KB52" s="212"/>
      <c r="KC52" s="212"/>
      <c r="KD52" s="212"/>
      <c r="KE52" s="212"/>
      <c r="KF52" s="212"/>
      <c r="KG52" s="212"/>
      <c r="KH52" s="212"/>
      <c r="KI52" s="212"/>
      <c r="KJ52" s="212"/>
      <c r="KK52" s="212"/>
      <c r="KL52" s="212"/>
      <c r="KM52" s="212"/>
      <c r="KN52" s="212"/>
      <c r="KO52" s="212"/>
      <c r="KP52" s="212"/>
      <c r="KQ52" s="212"/>
      <c r="KR52" s="212"/>
      <c r="KS52" s="212"/>
      <c r="KT52" s="212"/>
      <c r="KU52" s="212"/>
      <c r="KV52" s="212"/>
      <c r="KW52" s="212"/>
      <c r="KX52" s="212"/>
      <c r="KY52" s="212"/>
      <c r="KZ52" s="212"/>
      <c r="LA52" s="212"/>
      <c r="LB52" s="212"/>
      <c r="LC52" s="212"/>
      <c r="LD52" s="212"/>
      <c r="LE52" s="212"/>
      <c r="LF52" s="212"/>
      <c r="LG52" s="212"/>
      <c r="LH52" s="212"/>
      <c r="LI52" s="212"/>
      <c r="LJ52" s="212"/>
      <c r="LK52" s="212"/>
      <c r="LL52" s="212"/>
      <c r="LM52" s="212"/>
      <c r="LN52" s="212"/>
      <c r="LO52" s="212"/>
      <c r="LP52" s="212"/>
      <c r="LQ52" s="212"/>
      <c r="LR52" s="212"/>
      <c r="LS52" s="212"/>
      <c r="LT52" s="212"/>
      <c r="LU52" s="212"/>
      <c r="LV52" s="212"/>
      <c r="LW52" s="212"/>
      <c r="LX52" s="212"/>
      <c r="LY52" s="212"/>
      <c r="LZ52" s="212"/>
      <c r="MA52" s="212"/>
      <c r="MB52" s="212"/>
      <c r="MC52" s="212"/>
      <c r="MD52" s="212"/>
      <c r="ME52" s="212"/>
      <c r="MF52" s="212"/>
      <c r="MG52" s="212"/>
      <c r="MH52" s="212"/>
      <c r="MI52" s="212"/>
      <c r="MJ52" s="212"/>
      <c r="MK52" s="212"/>
      <c r="ML52" s="212"/>
      <c r="MM52" s="212"/>
      <c r="MN52" s="212"/>
      <c r="MO52" s="212"/>
      <c r="MP52" s="212"/>
      <c r="MQ52" s="212"/>
      <c r="MR52" s="212"/>
      <c r="MS52" s="212"/>
      <c r="MT52" s="212"/>
      <c r="MU52" s="212"/>
      <c r="MV52" s="212"/>
      <c r="MW52" s="212"/>
      <c r="MX52" s="212"/>
      <c r="MY52" s="212"/>
      <c r="MZ52" s="212"/>
      <c r="NA52" s="212"/>
      <c r="NB52" s="212"/>
      <c r="NC52" s="212"/>
      <c r="ND52" s="212"/>
      <c r="NE52" s="212"/>
      <c r="NF52" s="212"/>
      <c r="NG52" s="212"/>
      <c r="NH52" s="212"/>
      <c r="NI52" s="212"/>
      <c r="NJ52" s="212"/>
      <c r="NK52" s="212"/>
      <c r="NL52" s="212"/>
      <c r="NM52" s="212"/>
      <c r="NN52" s="212"/>
      <c r="NO52" s="212"/>
      <c r="NP52" s="212"/>
      <c r="NQ52" s="212"/>
      <c r="NR52" s="212"/>
      <c r="NS52" s="212"/>
      <c r="NT52" s="212"/>
      <c r="NU52" s="212"/>
      <c r="NV52" s="212"/>
      <c r="NW52" s="212"/>
      <c r="NX52" s="212"/>
      <c r="NY52" s="212"/>
      <c r="NZ52" s="212"/>
      <c r="OA52" s="212"/>
      <c r="OB52" s="212"/>
      <c r="OC52" s="212"/>
      <c r="OD52" s="212"/>
      <c r="OE52" s="212"/>
      <c r="OF52" s="212"/>
      <c r="OG52" s="212"/>
      <c r="OH52" s="212"/>
      <c r="OI52" s="212"/>
      <c r="OJ52" s="212"/>
      <c r="OK52" s="212"/>
      <c r="OL52" s="212"/>
      <c r="OM52" s="212"/>
      <c r="ON52" s="212"/>
      <c r="OO52" s="212"/>
      <c r="OP52" s="212"/>
      <c r="OQ52" s="212"/>
      <c r="OR52" s="212"/>
      <c r="OS52" s="212"/>
      <c r="OT52" s="212"/>
      <c r="OU52" s="212"/>
      <c r="OV52" s="212"/>
      <c r="OW52" s="212"/>
      <c r="OX52" s="212"/>
      <c r="OY52" s="212"/>
      <c r="OZ52" s="212"/>
      <c r="PA52" s="212"/>
      <c r="PB52" s="212"/>
      <c r="PC52" s="212"/>
      <c r="PD52" s="212"/>
      <c r="PE52" s="212"/>
      <c r="PF52" s="212"/>
      <c r="PG52" s="212"/>
      <c r="PH52" s="212"/>
      <c r="PI52" s="212"/>
      <c r="PJ52" s="212"/>
      <c r="PK52" s="212"/>
      <c r="PL52" s="212"/>
      <c r="PM52" s="212"/>
      <c r="PN52" s="212"/>
      <c r="PO52" s="212"/>
      <c r="PP52" s="212"/>
      <c r="PQ52" s="212"/>
      <c r="PR52" s="212"/>
      <c r="PS52" s="212"/>
      <c r="PT52" s="212"/>
      <c r="PU52" s="212"/>
      <c r="PV52" s="212"/>
      <c r="PW52" s="212"/>
      <c r="PX52" s="212"/>
      <c r="PY52" s="212"/>
      <c r="PZ52" s="212"/>
      <c r="QA52" s="212"/>
      <c r="QB52" s="212"/>
      <c r="QC52" s="212"/>
      <c r="QD52" s="212"/>
      <c r="QE52" s="212"/>
      <c r="QF52" s="212"/>
      <c r="QG52" s="212"/>
      <c r="QH52" s="212"/>
      <c r="QI52" s="212"/>
      <c r="QJ52" s="212"/>
      <c r="QK52" s="212"/>
      <c r="QL52" s="212"/>
      <c r="QM52" s="212"/>
      <c r="QN52" s="212"/>
      <c r="QO52" s="212"/>
      <c r="QP52" s="212"/>
      <c r="QQ52" s="212"/>
      <c r="QR52" s="212"/>
      <c r="QS52" s="212"/>
      <c r="QT52" s="212"/>
      <c r="QU52" s="212"/>
      <c r="QV52" s="212"/>
      <c r="QW52" s="212"/>
      <c r="QX52" s="212"/>
      <c r="QY52" s="212"/>
      <c r="QZ52" s="212"/>
      <c r="RA52" s="212"/>
      <c r="RB52" s="212"/>
      <c r="RC52" s="212"/>
      <c r="RD52" s="212"/>
      <c r="RE52" s="212"/>
      <c r="RF52" s="212"/>
      <c r="RG52" s="212"/>
      <c r="RH52" s="212"/>
      <c r="RI52" s="212"/>
      <c r="RJ52" s="212"/>
      <c r="RK52" s="212"/>
      <c r="RL52" s="212"/>
      <c r="RM52" s="212"/>
      <c r="RN52" s="212"/>
      <c r="RO52" s="212"/>
      <c r="RP52" s="212"/>
      <c r="RQ52" s="212"/>
      <c r="RR52" s="212"/>
      <c r="RS52" s="212"/>
      <c r="RT52" s="212"/>
      <c r="RU52" s="212"/>
      <c r="RV52" s="212"/>
      <c r="RW52" s="212"/>
      <c r="RX52" s="212"/>
      <c r="RY52" s="212"/>
      <c r="RZ52" s="212"/>
      <c r="SA52" s="212"/>
      <c r="SB52" s="212"/>
      <c r="SC52" s="212"/>
      <c r="SD52" s="212"/>
      <c r="SE52" s="212"/>
      <c r="SF52" s="212"/>
      <c r="SG52" s="212"/>
      <c r="SH52" s="212"/>
      <c r="SI52" s="212"/>
      <c r="SJ52" s="212"/>
      <c r="SK52" s="212"/>
      <c r="SL52" s="212"/>
      <c r="SM52" s="212"/>
      <c r="SN52" s="212"/>
      <c r="SO52" s="212"/>
      <c r="SP52" s="212"/>
      <c r="SQ52" s="212"/>
      <c r="SR52" s="212"/>
      <c r="SS52" s="212"/>
      <c r="ST52" s="212"/>
      <c r="SU52" s="212"/>
      <c r="SV52" s="212"/>
      <c r="SW52" s="212"/>
      <c r="SX52" s="212"/>
      <c r="SY52" s="212"/>
      <c r="SZ52" s="212"/>
      <c r="TA52" s="212"/>
      <c r="TB52" s="212"/>
      <c r="TC52" s="212"/>
      <c r="TD52" s="212"/>
      <c r="TE52" s="212"/>
      <c r="TF52" s="212"/>
      <c r="TG52" s="212"/>
      <c r="TH52" s="212"/>
      <c r="TI52" s="212"/>
      <c r="TJ52" s="212"/>
      <c r="TK52" s="212"/>
      <c r="TL52" s="212"/>
      <c r="TM52" s="212"/>
      <c r="TN52" s="212"/>
      <c r="TO52" s="212"/>
      <c r="TP52" s="212"/>
      <c r="TQ52" s="212"/>
      <c r="TR52" s="212"/>
      <c r="TS52" s="212"/>
      <c r="TT52" s="212"/>
      <c r="TU52" s="212"/>
      <c r="TV52" s="212"/>
      <c r="TW52" s="212"/>
      <c r="TX52" s="212"/>
      <c r="TY52" s="212"/>
      <c r="TZ52" s="212"/>
      <c r="UA52" s="212"/>
      <c r="UB52" s="212"/>
      <c r="UC52" s="212"/>
      <c r="UD52" s="212"/>
      <c r="UE52" s="212"/>
      <c r="UF52" s="212"/>
      <c r="UG52" s="212"/>
      <c r="UH52" s="212"/>
      <c r="UI52" s="212"/>
      <c r="UJ52" s="212"/>
      <c r="UK52" s="212"/>
      <c r="UL52" s="212"/>
      <c r="UM52" s="212"/>
      <c r="UN52" s="212"/>
      <c r="UO52" s="212"/>
      <c r="UP52" s="212"/>
      <c r="UQ52" s="212"/>
      <c r="UR52" s="212"/>
      <c r="US52" s="212"/>
      <c r="UT52" s="194"/>
    </row>
    <row r="53" spans="2:572" ht="15.75" customHeight="1" x14ac:dyDescent="0.3">
      <c r="B53" s="117" t="s">
        <v>41</v>
      </c>
      <c r="C53" s="124"/>
      <c r="D53" s="102" t="str">
        <f>IFERROR(E53/$E$55,"")</f>
        <v/>
      </c>
      <c r="E53" s="103" t="str">
        <f>IFERROR(AVERAGE(F53:US53),"")</f>
        <v/>
      </c>
      <c r="F53" s="212"/>
      <c r="G53" s="212"/>
      <c r="H53" s="212"/>
      <c r="I53" s="212"/>
      <c r="J53" s="212"/>
      <c r="K53" s="212"/>
      <c r="L53" s="212"/>
      <c r="M53" s="212"/>
      <c r="N53" s="212"/>
      <c r="O53" s="212"/>
      <c r="P53" s="213"/>
      <c r="Q53" s="213"/>
      <c r="R53" s="212"/>
      <c r="S53" s="212"/>
      <c r="T53" s="212"/>
      <c r="U53" s="212"/>
      <c r="V53" s="212"/>
      <c r="W53" s="213"/>
      <c r="X53" s="213"/>
      <c r="Y53" s="212"/>
      <c r="Z53" s="212"/>
      <c r="AA53" s="212"/>
      <c r="AB53" s="213"/>
      <c r="AC53" s="213"/>
      <c r="AD53" s="213"/>
      <c r="AE53" s="213"/>
      <c r="AF53" s="213"/>
      <c r="AG53" s="213"/>
      <c r="AH53" s="212"/>
      <c r="AI53" s="212"/>
      <c r="AJ53" s="212"/>
      <c r="AK53" s="213"/>
      <c r="AL53" s="213"/>
      <c r="AM53" s="212"/>
      <c r="AN53" s="212"/>
      <c r="AO53" s="212"/>
      <c r="AP53" s="212"/>
      <c r="AQ53" s="212"/>
      <c r="AR53" s="212"/>
      <c r="AS53" s="212"/>
      <c r="AT53" s="212"/>
      <c r="AU53" s="212"/>
      <c r="AV53" s="212"/>
      <c r="AW53" s="212"/>
      <c r="AX53" s="212"/>
      <c r="AY53" s="212"/>
      <c r="AZ53" s="212"/>
      <c r="BA53" s="212"/>
      <c r="BB53" s="212"/>
      <c r="BC53" s="212"/>
      <c r="BD53" s="212"/>
      <c r="BE53" s="212"/>
      <c r="BF53" s="212"/>
      <c r="BG53" s="212"/>
      <c r="BH53" s="212"/>
      <c r="BI53" s="212"/>
      <c r="BJ53" s="212"/>
      <c r="BK53" s="212"/>
      <c r="BL53" s="212"/>
      <c r="BM53" s="212"/>
      <c r="BN53" s="212"/>
      <c r="BO53" s="212"/>
      <c r="BP53" s="212"/>
      <c r="BQ53" s="212"/>
      <c r="BR53" s="212"/>
      <c r="BS53" s="212"/>
      <c r="BT53" s="212"/>
      <c r="BU53" s="212"/>
      <c r="BV53" s="212"/>
      <c r="BW53" s="212"/>
      <c r="BX53" s="212"/>
      <c r="BY53" s="212"/>
      <c r="BZ53" s="212"/>
      <c r="CA53" s="212"/>
      <c r="CB53" s="212"/>
      <c r="CC53" s="212"/>
      <c r="CD53" s="212"/>
      <c r="CE53" s="212"/>
      <c r="CF53" s="212"/>
      <c r="CG53" s="212"/>
      <c r="CH53" s="212"/>
      <c r="CI53" s="212"/>
      <c r="CJ53" s="212"/>
      <c r="CK53" s="212"/>
      <c r="CL53" s="212"/>
      <c r="CM53" s="212"/>
      <c r="CN53" s="212"/>
      <c r="CO53" s="212"/>
      <c r="CP53" s="212"/>
      <c r="CQ53" s="212"/>
      <c r="CR53" s="212"/>
      <c r="CS53" s="212"/>
      <c r="CT53" s="212"/>
      <c r="CU53" s="212"/>
      <c r="CV53" s="212"/>
      <c r="CW53" s="212"/>
      <c r="CX53" s="212"/>
      <c r="CY53" s="212"/>
      <c r="CZ53" s="212"/>
      <c r="DA53" s="212"/>
      <c r="DB53" s="212"/>
      <c r="DC53" s="212"/>
      <c r="DD53" s="212"/>
      <c r="DE53" s="212"/>
      <c r="DF53" s="212"/>
      <c r="DG53" s="212"/>
      <c r="DH53" s="212"/>
      <c r="DI53" s="212"/>
      <c r="DJ53" s="212"/>
      <c r="DK53" s="212"/>
      <c r="DL53" s="212"/>
      <c r="DM53" s="212"/>
      <c r="DN53" s="212"/>
      <c r="DO53" s="212"/>
      <c r="DP53" s="212"/>
      <c r="DQ53" s="212"/>
      <c r="DR53" s="212"/>
      <c r="DS53" s="212"/>
      <c r="DT53" s="212"/>
      <c r="DU53" s="212"/>
      <c r="DV53" s="212"/>
      <c r="DW53" s="212"/>
      <c r="DX53" s="212"/>
      <c r="DY53" s="212"/>
      <c r="DZ53" s="212"/>
      <c r="EA53" s="212"/>
      <c r="EB53" s="212"/>
      <c r="EC53" s="212"/>
      <c r="ED53" s="212"/>
      <c r="EE53" s="212"/>
      <c r="EF53" s="212"/>
      <c r="EG53" s="212"/>
      <c r="EH53" s="212"/>
      <c r="EI53" s="212"/>
      <c r="EJ53" s="212"/>
      <c r="EK53" s="212"/>
      <c r="EL53" s="212"/>
      <c r="EM53" s="212"/>
      <c r="EN53" s="212"/>
      <c r="EO53" s="212"/>
      <c r="EP53" s="212"/>
      <c r="EQ53" s="212"/>
      <c r="ER53" s="212"/>
      <c r="ES53" s="212"/>
      <c r="ET53" s="212"/>
      <c r="EU53" s="212"/>
      <c r="EV53" s="212"/>
      <c r="EW53" s="212"/>
      <c r="EX53" s="212"/>
      <c r="EY53" s="212"/>
      <c r="EZ53" s="212"/>
      <c r="FA53" s="212"/>
      <c r="FB53" s="212"/>
      <c r="FC53" s="212"/>
      <c r="FD53" s="212"/>
      <c r="FE53" s="212"/>
      <c r="FF53" s="212"/>
      <c r="FG53" s="212"/>
      <c r="FH53" s="212"/>
      <c r="FI53" s="212"/>
      <c r="FJ53" s="212"/>
      <c r="FK53" s="212"/>
      <c r="FL53" s="212"/>
      <c r="FM53" s="212"/>
      <c r="FN53" s="212"/>
      <c r="FO53" s="212"/>
      <c r="FP53" s="212"/>
      <c r="FQ53" s="212"/>
      <c r="FR53" s="212"/>
      <c r="FS53" s="212"/>
      <c r="FT53" s="212"/>
      <c r="FU53" s="212"/>
      <c r="FV53" s="212"/>
      <c r="FW53" s="212"/>
      <c r="FX53" s="212"/>
      <c r="FY53" s="212"/>
      <c r="FZ53" s="212"/>
      <c r="GA53" s="212"/>
      <c r="GB53" s="212"/>
      <c r="GC53" s="212"/>
      <c r="GD53" s="212"/>
      <c r="GE53" s="212"/>
      <c r="GF53" s="212"/>
      <c r="GG53" s="212"/>
      <c r="GH53" s="212"/>
      <c r="GI53" s="212"/>
      <c r="GJ53" s="212"/>
      <c r="GK53" s="212"/>
      <c r="GL53" s="212"/>
      <c r="GM53" s="212"/>
      <c r="GN53" s="212"/>
      <c r="GO53" s="212"/>
      <c r="GP53" s="212"/>
      <c r="GQ53" s="212"/>
      <c r="GR53" s="212"/>
      <c r="GS53" s="212"/>
      <c r="GT53" s="212"/>
      <c r="GU53" s="212"/>
      <c r="GV53" s="212"/>
      <c r="GW53" s="212"/>
      <c r="GX53" s="212"/>
      <c r="GY53" s="212"/>
      <c r="GZ53" s="212"/>
      <c r="HA53" s="212"/>
      <c r="HB53" s="212"/>
      <c r="HC53" s="212"/>
      <c r="HD53" s="212"/>
      <c r="HE53" s="212"/>
      <c r="HF53" s="212"/>
      <c r="HG53" s="212"/>
      <c r="HH53" s="212"/>
      <c r="HI53" s="212"/>
      <c r="HJ53" s="212"/>
      <c r="HK53" s="212"/>
      <c r="HL53" s="212"/>
      <c r="HM53" s="212"/>
      <c r="HN53" s="212"/>
      <c r="HO53" s="212"/>
      <c r="HP53" s="212"/>
      <c r="HQ53" s="212"/>
      <c r="HR53" s="212"/>
      <c r="HS53" s="212"/>
      <c r="HT53" s="212"/>
      <c r="HU53" s="212"/>
      <c r="HV53" s="212"/>
      <c r="HW53" s="212"/>
      <c r="HX53" s="212"/>
      <c r="HY53" s="212"/>
      <c r="HZ53" s="212"/>
      <c r="IA53" s="212"/>
      <c r="IB53" s="212"/>
      <c r="IC53" s="212"/>
      <c r="ID53" s="212"/>
      <c r="IE53" s="212"/>
      <c r="IF53" s="212"/>
      <c r="IG53" s="212"/>
      <c r="IH53" s="212"/>
      <c r="II53" s="212"/>
      <c r="IJ53" s="212"/>
      <c r="IK53" s="212"/>
      <c r="IL53" s="212"/>
      <c r="IM53" s="212"/>
      <c r="IN53" s="212"/>
      <c r="IO53" s="212"/>
      <c r="IP53" s="212"/>
      <c r="IQ53" s="212"/>
      <c r="IR53" s="212"/>
      <c r="IS53" s="212"/>
      <c r="IT53" s="212"/>
      <c r="IU53" s="212"/>
      <c r="IV53" s="212"/>
      <c r="IW53" s="212"/>
      <c r="IX53" s="212"/>
      <c r="IY53" s="212"/>
      <c r="IZ53" s="212"/>
      <c r="JA53" s="212"/>
      <c r="JB53" s="212"/>
      <c r="JC53" s="212"/>
      <c r="JD53" s="212"/>
      <c r="JE53" s="212"/>
      <c r="JF53" s="212"/>
      <c r="JG53" s="212"/>
      <c r="JH53" s="212"/>
      <c r="JI53" s="212"/>
      <c r="JJ53" s="212"/>
      <c r="JK53" s="212"/>
      <c r="JL53" s="212"/>
      <c r="JM53" s="212"/>
      <c r="JN53" s="212"/>
      <c r="JO53" s="212"/>
      <c r="JP53" s="212"/>
      <c r="JQ53" s="212"/>
      <c r="JR53" s="212"/>
      <c r="JS53" s="212"/>
      <c r="JT53" s="212"/>
      <c r="JU53" s="212"/>
      <c r="JV53" s="212"/>
      <c r="JW53" s="212"/>
      <c r="JX53" s="212"/>
      <c r="JY53" s="212"/>
      <c r="JZ53" s="212"/>
      <c r="KA53" s="212"/>
      <c r="KB53" s="212"/>
      <c r="KC53" s="212"/>
      <c r="KD53" s="212"/>
      <c r="KE53" s="212"/>
      <c r="KF53" s="212"/>
      <c r="KG53" s="212"/>
      <c r="KH53" s="212"/>
      <c r="KI53" s="212"/>
      <c r="KJ53" s="212"/>
      <c r="KK53" s="212"/>
      <c r="KL53" s="212"/>
      <c r="KM53" s="212"/>
      <c r="KN53" s="212"/>
      <c r="KO53" s="212"/>
      <c r="KP53" s="212"/>
      <c r="KQ53" s="212"/>
      <c r="KR53" s="212"/>
      <c r="KS53" s="212"/>
      <c r="KT53" s="212"/>
      <c r="KU53" s="212"/>
      <c r="KV53" s="212"/>
      <c r="KW53" s="212"/>
      <c r="KX53" s="212"/>
      <c r="KY53" s="212"/>
      <c r="KZ53" s="212"/>
      <c r="LA53" s="212"/>
      <c r="LB53" s="212"/>
      <c r="LC53" s="212"/>
      <c r="LD53" s="212"/>
      <c r="LE53" s="212"/>
      <c r="LF53" s="212"/>
      <c r="LG53" s="212"/>
      <c r="LH53" s="212"/>
      <c r="LI53" s="212"/>
      <c r="LJ53" s="212"/>
      <c r="LK53" s="212"/>
      <c r="LL53" s="212"/>
      <c r="LM53" s="212"/>
      <c r="LN53" s="212"/>
      <c r="LO53" s="212"/>
      <c r="LP53" s="212"/>
      <c r="LQ53" s="212"/>
      <c r="LR53" s="212"/>
      <c r="LS53" s="212"/>
      <c r="LT53" s="212"/>
      <c r="LU53" s="212"/>
      <c r="LV53" s="212"/>
      <c r="LW53" s="212"/>
      <c r="LX53" s="212"/>
      <c r="LY53" s="212"/>
      <c r="LZ53" s="212"/>
      <c r="MA53" s="212"/>
      <c r="MB53" s="212"/>
      <c r="MC53" s="212"/>
      <c r="MD53" s="212"/>
      <c r="ME53" s="212"/>
      <c r="MF53" s="212"/>
      <c r="MG53" s="212"/>
      <c r="MH53" s="212"/>
      <c r="MI53" s="212"/>
      <c r="MJ53" s="212"/>
      <c r="MK53" s="212"/>
      <c r="ML53" s="212"/>
      <c r="MM53" s="212"/>
      <c r="MN53" s="212"/>
      <c r="MO53" s="212"/>
      <c r="MP53" s="212"/>
      <c r="MQ53" s="212"/>
      <c r="MR53" s="212"/>
      <c r="MS53" s="212"/>
      <c r="MT53" s="212"/>
      <c r="MU53" s="212"/>
      <c r="MV53" s="212"/>
      <c r="MW53" s="212"/>
      <c r="MX53" s="212"/>
      <c r="MY53" s="212"/>
      <c r="MZ53" s="212"/>
      <c r="NA53" s="212"/>
      <c r="NB53" s="212"/>
      <c r="NC53" s="212"/>
      <c r="ND53" s="212"/>
      <c r="NE53" s="212"/>
      <c r="NF53" s="212"/>
      <c r="NG53" s="212"/>
      <c r="NH53" s="212"/>
      <c r="NI53" s="212"/>
      <c r="NJ53" s="212"/>
      <c r="NK53" s="212"/>
      <c r="NL53" s="212"/>
      <c r="NM53" s="212"/>
      <c r="NN53" s="212"/>
      <c r="NO53" s="212"/>
      <c r="NP53" s="212"/>
      <c r="NQ53" s="212"/>
      <c r="NR53" s="212"/>
      <c r="NS53" s="212"/>
      <c r="NT53" s="212"/>
      <c r="NU53" s="212"/>
      <c r="NV53" s="212"/>
      <c r="NW53" s="212"/>
      <c r="NX53" s="212"/>
      <c r="NY53" s="212"/>
      <c r="NZ53" s="212"/>
      <c r="OA53" s="212"/>
      <c r="OB53" s="212"/>
      <c r="OC53" s="212"/>
      <c r="OD53" s="212"/>
      <c r="OE53" s="212"/>
      <c r="OF53" s="212"/>
      <c r="OG53" s="212"/>
      <c r="OH53" s="212"/>
      <c r="OI53" s="212"/>
      <c r="OJ53" s="212"/>
      <c r="OK53" s="212"/>
      <c r="OL53" s="212"/>
      <c r="OM53" s="212"/>
      <c r="ON53" s="212"/>
      <c r="OO53" s="212"/>
      <c r="OP53" s="212"/>
      <c r="OQ53" s="212"/>
      <c r="OR53" s="212"/>
      <c r="OS53" s="212"/>
      <c r="OT53" s="212"/>
      <c r="OU53" s="212"/>
      <c r="OV53" s="212"/>
      <c r="OW53" s="212"/>
      <c r="OX53" s="212"/>
      <c r="OY53" s="212"/>
      <c r="OZ53" s="212"/>
      <c r="PA53" s="212"/>
      <c r="PB53" s="212"/>
      <c r="PC53" s="212"/>
      <c r="PD53" s="212"/>
      <c r="PE53" s="212"/>
      <c r="PF53" s="212"/>
      <c r="PG53" s="212"/>
      <c r="PH53" s="212"/>
      <c r="PI53" s="212"/>
      <c r="PJ53" s="212"/>
      <c r="PK53" s="212"/>
      <c r="PL53" s="212"/>
      <c r="PM53" s="212"/>
      <c r="PN53" s="212"/>
      <c r="PO53" s="212"/>
      <c r="PP53" s="212"/>
      <c r="PQ53" s="212"/>
      <c r="PR53" s="212"/>
      <c r="PS53" s="212"/>
      <c r="PT53" s="212"/>
      <c r="PU53" s="212"/>
      <c r="PV53" s="212"/>
      <c r="PW53" s="212"/>
      <c r="PX53" s="212"/>
      <c r="PY53" s="212"/>
      <c r="PZ53" s="212"/>
      <c r="QA53" s="212"/>
      <c r="QB53" s="212"/>
      <c r="QC53" s="212"/>
      <c r="QD53" s="212"/>
      <c r="QE53" s="212"/>
      <c r="QF53" s="212"/>
      <c r="QG53" s="212"/>
      <c r="QH53" s="212"/>
      <c r="QI53" s="212"/>
      <c r="QJ53" s="212"/>
      <c r="QK53" s="212"/>
      <c r="QL53" s="212"/>
      <c r="QM53" s="212"/>
      <c r="QN53" s="212"/>
      <c r="QO53" s="212"/>
      <c r="QP53" s="212"/>
      <c r="QQ53" s="212"/>
      <c r="QR53" s="212"/>
      <c r="QS53" s="212"/>
      <c r="QT53" s="212"/>
      <c r="QU53" s="212"/>
      <c r="QV53" s="212"/>
      <c r="QW53" s="212"/>
      <c r="QX53" s="212"/>
      <c r="QY53" s="212"/>
      <c r="QZ53" s="212"/>
      <c r="RA53" s="212"/>
      <c r="RB53" s="212"/>
      <c r="RC53" s="212"/>
      <c r="RD53" s="212"/>
      <c r="RE53" s="212"/>
      <c r="RF53" s="212"/>
      <c r="RG53" s="212"/>
      <c r="RH53" s="212"/>
      <c r="RI53" s="212"/>
      <c r="RJ53" s="212"/>
      <c r="RK53" s="212"/>
      <c r="RL53" s="212"/>
      <c r="RM53" s="212"/>
      <c r="RN53" s="212"/>
      <c r="RO53" s="212"/>
      <c r="RP53" s="212"/>
      <c r="RQ53" s="212"/>
      <c r="RR53" s="212"/>
      <c r="RS53" s="212"/>
      <c r="RT53" s="212"/>
      <c r="RU53" s="212"/>
      <c r="RV53" s="212"/>
      <c r="RW53" s="212"/>
      <c r="RX53" s="212"/>
      <c r="RY53" s="212"/>
      <c r="RZ53" s="212"/>
      <c r="SA53" s="212"/>
      <c r="SB53" s="212"/>
      <c r="SC53" s="212"/>
      <c r="SD53" s="212"/>
      <c r="SE53" s="212"/>
      <c r="SF53" s="212"/>
      <c r="SG53" s="212"/>
      <c r="SH53" s="212"/>
      <c r="SI53" s="212"/>
      <c r="SJ53" s="212"/>
      <c r="SK53" s="212"/>
      <c r="SL53" s="212"/>
      <c r="SM53" s="212"/>
      <c r="SN53" s="212"/>
      <c r="SO53" s="212"/>
      <c r="SP53" s="212"/>
      <c r="SQ53" s="212"/>
      <c r="SR53" s="212"/>
      <c r="SS53" s="212"/>
      <c r="ST53" s="212"/>
      <c r="SU53" s="212"/>
      <c r="SV53" s="212"/>
      <c r="SW53" s="212"/>
      <c r="SX53" s="212"/>
      <c r="SY53" s="212"/>
      <c r="SZ53" s="212"/>
      <c r="TA53" s="212"/>
      <c r="TB53" s="212"/>
      <c r="TC53" s="212"/>
      <c r="TD53" s="212"/>
      <c r="TE53" s="212"/>
      <c r="TF53" s="212"/>
      <c r="TG53" s="212"/>
      <c r="TH53" s="212"/>
      <c r="TI53" s="212"/>
      <c r="TJ53" s="212"/>
      <c r="TK53" s="212"/>
      <c r="TL53" s="212"/>
      <c r="TM53" s="212"/>
      <c r="TN53" s="212"/>
      <c r="TO53" s="212"/>
      <c r="TP53" s="212"/>
      <c r="TQ53" s="212"/>
      <c r="TR53" s="212"/>
      <c r="TS53" s="212"/>
      <c r="TT53" s="212"/>
      <c r="TU53" s="212"/>
      <c r="TV53" s="212"/>
      <c r="TW53" s="212"/>
      <c r="TX53" s="212"/>
      <c r="TY53" s="212"/>
      <c r="TZ53" s="212"/>
      <c r="UA53" s="212"/>
      <c r="UB53" s="212"/>
      <c r="UC53" s="212"/>
      <c r="UD53" s="212"/>
      <c r="UE53" s="212"/>
      <c r="UF53" s="212"/>
      <c r="UG53" s="212"/>
      <c r="UH53" s="212"/>
      <c r="UI53" s="212"/>
      <c r="UJ53" s="212"/>
      <c r="UK53" s="212"/>
      <c r="UL53" s="212"/>
      <c r="UM53" s="212"/>
      <c r="UN53" s="212"/>
      <c r="UO53" s="212"/>
      <c r="UP53" s="212"/>
      <c r="UQ53" s="212"/>
      <c r="UR53" s="212"/>
      <c r="US53" s="212"/>
      <c r="UT53" s="194"/>
    </row>
    <row r="54" spans="2:572" ht="18" customHeight="1" x14ac:dyDescent="0.3">
      <c r="B54" s="126" t="s">
        <v>38</v>
      </c>
      <c r="C54" s="127" t="s">
        <v>40</v>
      </c>
      <c r="D54" s="128" t="str">
        <f>IFERROR(E54/$E$56,"")</f>
        <v/>
      </c>
      <c r="E54" s="129" t="e">
        <f>AVERAGE(F54:US54)</f>
        <v>#DIV/0!</v>
      </c>
      <c r="F54" s="130" t="str">
        <f t="shared" ref="F54:BQ54" si="30">IF(SUM(F16:F21)=0,"",SUM(F16:F21))</f>
        <v/>
      </c>
      <c r="G54" s="130" t="str">
        <f t="shared" si="30"/>
        <v/>
      </c>
      <c r="H54" s="130" t="str">
        <f t="shared" si="30"/>
        <v/>
      </c>
      <c r="I54" s="130" t="str">
        <f t="shared" si="30"/>
        <v/>
      </c>
      <c r="J54" s="130" t="str">
        <f t="shared" si="30"/>
        <v/>
      </c>
      <c r="K54" s="130" t="str">
        <f t="shared" si="30"/>
        <v/>
      </c>
      <c r="L54" s="130" t="str">
        <f t="shared" si="30"/>
        <v/>
      </c>
      <c r="M54" s="130" t="str">
        <f t="shared" si="30"/>
        <v/>
      </c>
      <c r="N54" s="130" t="str">
        <f t="shared" si="30"/>
        <v/>
      </c>
      <c r="O54" s="130" t="str">
        <f t="shared" si="30"/>
        <v/>
      </c>
      <c r="P54" s="130" t="str">
        <f t="shared" si="30"/>
        <v/>
      </c>
      <c r="Q54" s="130" t="str">
        <f t="shared" si="30"/>
        <v/>
      </c>
      <c r="R54" s="130" t="str">
        <f t="shared" si="30"/>
        <v/>
      </c>
      <c r="S54" s="130" t="str">
        <f t="shared" si="30"/>
        <v/>
      </c>
      <c r="T54" s="130" t="str">
        <f t="shared" si="30"/>
        <v/>
      </c>
      <c r="U54" s="130" t="str">
        <f t="shared" si="30"/>
        <v/>
      </c>
      <c r="V54" s="130" t="str">
        <f t="shared" si="30"/>
        <v/>
      </c>
      <c r="W54" s="130" t="str">
        <f t="shared" si="30"/>
        <v/>
      </c>
      <c r="X54" s="130" t="str">
        <f t="shared" si="30"/>
        <v/>
      </c>
      <c r="Y54" s="130" t="str">
        <f t="shared" si="30"/>
        <v/>
      </c>
      <c r="Z54" s="130" t="str">
        <f t="shared" si="30"/>
        <v/>
      </c>
      <c r="AA54" s="130" t="str">
        <f t="shared" si="30"/>
        <v/>
      </c>
      <c r="AB54" s="130" t="str">
        <f t="shared" si="30"/>
        <v/>
      </c>
      <c r="AC54" s="130" t="str">
        <f t="shared" si="30"/>
        <v/>
      </c>
      <c r="AD54" s="130" t="str">
        <f t="shared" si="30"/>
        <v/>
      </c>
      <c r="AE54" s="130" t="str">
        <f t="shared" si="30"/>
        <v/>
      </c>
      <c r="AF54" s="130" t="str">
        <f t="shared" si="30"/>
        <v/>
      </c>
      <c r="AG54" s="130" t="str">
        <f t="shared" si="30"/>
        <v/>
      </c>
      <c r="AH54" s="130" t="str">
        <f t="shared" si="30"/>
        <v/>
      </c>
      <c r="AI54" s="130" t="str">
        <f t="shared" si="30"/>
        <v/>
      </c>
      <c r="AJ54" s="130" t="str">
        <f t="shared" si="30"/>
        <v/>
      </c>
      <c r="AK54" s="130" t="str">
        <f t="shared" si="30"/>
        <v/>
      </c>
      <c r="AL54" s="130" t="str">
        <f t="shared" si="30"/>
        <v/>
      </c>
      <c r="AM54" s="130" t="str">
        <f t="shared" si="30"/>
        <v/>
      </c>
      <c r="AN54" s="130" t="str">
        <f t="shared" si="30"/>
        <v/>
      </c>
      <c r="AO54" s="130" t="str">
        <f t="shared" si="30"/>
        <v/>
      </c>
      <c r="AP54" s="130" t="str">
        <f t="shared" si="30"/>
        <v/>
      </c>
      <c r="AQ54" s="130" t="str">
        <f t="shared" si="30"/>
        <v/>
      </c>
      <c r="AR54" s="130" t="str">
        <f t="shared" si="30"/>
        <v/>
      </c>
      <c r="AS54" s="130" t="str">
        <f>IF(SUM(AS16:AS21)=0,"",SUM(AS16:AS21))</f>
        <v/>
      </c>
      <c r="AT54" s="130" t="str">
        <f t="shared" si="30"/>
        <v/>
      </c>
      <c r="AU54" s="130" t="str">
        <f t="shared" si="30"/>
        <v/>
      </c>
      <c r="AV54" s="130" t="str">
        <f t="shared" si="30"/>
        <v/>
      </c>
      <c r="AW54" s="130" t="str">
        <f t="shared" si="30"/>
        <v/>
      </c>
      <c r="AX54" s="130" t="str">
        <f t="shared" si="30"/>
        <v/>
      </c>
      <c r="AY54" s="130" t="str">
        <f t="shared" si="30"/>
        <v/>
      </c>
      <c r="AZ54" s="130" t="str">
        <f t="shared" si="30"/>
        <v/>
      </c>
      <c r="BA54" s="130" t="str">
        <f t="shared" si="30"/>
        <v/>
      </c>
      <c r="BB54" s="130" t="str">
        <f t="shared" si="30"/>
        <v/>
      </c>
      <c r="BC54" s="130" t="str">
        <f t="shared" si="30"/>
        <v/>
      </c>
      <c r="BD54" s="130" t="str">
        <f t="shared" si="30"/>
        <v/>
      </c>
      <c r="BE54" s="130" t="str">
        <f t="shared" si="30"/>
        <v/>
      </c>
      <c r="BF54" s="130" t="str">
        <f t="shared" si="30"/>
        <v/>
      </c>
      <c r="BG54" s="130" t="str">
        <f t="shared" si="30"/>
        <v/>
      </c>
      <c r="BH54" s="130" t="str">
        <f t="shared" si="30"/>
        <v/>
      </c>
      <c r="BI54" s="130" t="str">
        <f t="shared" si="30"/>
        <v/>
      </c>
      <c r="BJ54" s="130" t="str">
        <f t="shared" si="30"/>
        <v/>
      </c>
      <c r="BK54" s="130" t="str">
        <f t="shared" si="30"/>
        <v/>
      </c>
      <c r="BL54" s="130" t="str">
        <f t="shared" si="30"/>
        <v/>
      </c>
      <c r="BM54" s="130" t="str">
        <f t="shared" si="30"/>
        <v/>
      </c>
      <c r="BN54" s="130" t="str">
        <f t="shared" si="30"/>
        <v/>
      </c>
      <c r="BO54" s="130" t="str">
        <f t="shared" si="30"/>
        <v/>
      </c>
      <c r="BP54" s="130" t="str">
        <f t="shared" si="30"/>
        <v/>
      </c>
      <c r="BQ54" s="130" t="str">
        <f t="shared" si="30"/>
        <v/>
      </c>
      <c r="BR54" s="130" t="str">
        <f t="shared" ref="BR54:EC54" si="31">IF(SUM(BR16:BR21)=0,"",SUM(BR16:BR21))</f>
        <v/>
      </c>
      <c r="BS54" s="130" t="str">
        <f t="shared" si="31"/>
        <v/>
      </c>
      <c r="BT54" s="130" t="str">
        <f t="shared" si="31"/>
        <v/>
      </c>
      <c r="BU54" s="130" t="str">
        <f t="shared" si="31"/>
        <v/>
      </c>
      <c r="BV54" s="130" t="str">
        <f t="shared" si="31"/>
        <v/>
      </c>
      <c r="BW54" s="130" t="str">
        <f t="shared" si="31"/>
        <v/>
      </c>
      <c r="BX54" s="130" t="str">
        <f t="shared" si="31"/>
        <v/>
      </c>
      <c r="BY54" s="130" t="str">
        <f t="shared" si="31"/>
        <v/>
      </c>
      <c r="BZ54" s="130" t="str">
        <f t="shared" si="31"/>
        <v/>
      </c>
      <c r="CA54" s="130" t="str">
        <f t="shared" si="31"/>
        <v/>
      </c>
      <c r="CB54" s="130" t="str">
        <f t="shared" si="31"/>
        <v/>
      </c>
      <c r="CC54" s="130" t="str">
        <f t="shared" si="31"/>
        <v/>
      </c>
      <c r="CD54" s="130" t="str">
        <f t="shared" si="31"/>
        <v/>
      </c>
      <c r="CE54" s="130" t="str">
        <f t="shared" si="31"/>
        <v/>
      </c>
      <c r="CF54" s="130" t="str">
        <f t="shared" si="31"/>
        <v/>
      </c>
      <c r="CG54" s="130" t="str">
        <f t="shared" si="31"/>
        <v/>
      </c>
      <c r="CH54" s="130" t="str">
        <f t="shared" si="31"/>
        <v/>
      </c>
      <c r="CI54" s="130" t="str">
        <f t="shared" si="31"/>
        <v/>
      </c>
      <c r="CJ54" s="130" t="str">
        <f t="shared" si="31"/>
        <v/>
      </c>
      <c r="CK54" s="130" t="str">
        <f t="shared" si="31"/>
        <v/>
      </c>
      <c r="CL54" s="130" t="str">
        <f t="shared" si="31"/>
        <v/>
      </c>
      <c r="CM54" s="130" t="str">
        <f t="shared" si="31"/>
        <v/>
      </c>
      <c r="CN54" s="130" t="str">
        <f t="shared" si="31"/>
        <v/>
      </c>
      <c r="CO54" s="130" t="str">
        <f t="shared" si="31"/>
        <v/>
      </c>
      <c r="CP54" s="130" t="str">
        <f t="shared" si="31"/>
        <v/>
      </c>
      <c r="CQ54" s="130" t="str">
        <f t="shared" si="31"/>
        <v/>
      </c>
      <c r="CR54" s="130" t="str">
        <f t="shared" si="31"/>
        <v/>
      </c>
      <c r="CS54" s="130" t="str">
        <f t="shared" si="31"/>
        <v/>
      </c>
      <c r="CT54" s="130" t="str">
        <f t="shared" si="31"/>
        <v/>
      </c>
      <c r="CU54" s="130" t="str">
        <f t="shared" si="31"/>
        <v/>
      </c>
      <c r="CV54" s="130" t="str">
        <f t="shared" si="31"/>
        <v/>
      </c>
      <c r="CW54" s="130" t="str">
        <f t="shared" si="31"/>
        <v/>
      </c>
      <c r="CX54" s="130" t="str">
        <f t="shared" si="31"/>
        <v/>
      </c>
      <c r="CY54" s="130" t="str">
        <f t="shared" si="31"/>
        <v/>
      </c>
      <c r="CZ54" s="130" t="str">
        <f t="shared" si="31"/>
        <v/>
      </c>
      <c r="DA54" s="130" t="str">
        <f t="shared" si="31"/>
        <v/>
      </c>
      <c r="DB54" s="130" t="str">
        <f t="shared" si="31"/>
        <v/>
      </c>
      <c r="DC54" s="130" t="str">
        <f t="shared" si="31"/>
        <v/>
      </c>
      <c r="DD54" s="130" t="str">
        <f t="shared" si="31"/>
        <v/>
      </c>
      <c r="DE54" s="130" t="str">
        <f t="shared" si="31"/>
        <v/>
      </c>
      <c r="DF54" s="130" t="str">
        <f t="shared" si="31"/>
        <v/>
      </c>
      <c r="DG54" s="130" t="str">
        <f t="shared" si="31"/>
        <v/>
      </c>
      <c r="DH54" s="130" t="str">
        <f t="shared" si="31"/>
        <v/>
      </c>
      <c r="DI54" s="130" t="str">
        <f t="shared" si="31"/>
        <v/>
      </c>
      <c r="DJ54" s="130" t="str">
        <f t="shared" si="31"/>
        <v/>
      </c>
      <c r="DK54" s="130" t="str">
        <f t="shared" si="31"/>
        <v/>
      </c>
      <c r="DL54" s="130" t="str">
        <f t="shared" si="31"/>
        <v/>
      </c>
      <c r="DM54" s="130" t="str">
        <f t="shared" si="31"/>
        <v/>
      </c>
      <c r="DN54" s="130" t="str">
        <f t="shared" si="31"/>
        <v/>
      </c>
      <c r="DO54" s="130" t="str">
        <f t="shared" si="31"/>
        <v/>
      </c>
      <c r="DP54" s="130" t="str">
        <f t="shared" si="31"/>
        <v/>
      </c>
      <c r="DQ54" s="130" t="str">
        <f t="shared" si="31"/>
        <v/>
      </c>
      <c r="DR54" s="130" t="str">
        <f t="shared" si="31"/>
        <v/>
      </c>
      <c r="DS54" s="130" t="str">
        <f t="shared" si="31"/>
        <v/>
      </c>
      <c r="DT54" s="130" t="str">
        <f t="shared" si="31"/>
        <v/>
      </c>
      <c r="DU54" s="130" t="str">
        <f t="shared" si="31"/>
        <v/>
      </c>
      <c r="DV54" s="130" t="str">
        <f t="shared" si="31"/>
        <v/>
      </c>
      <c r="DW54" s="130" t="str">
        <f t="shared" si="31"/>
        <v/>
      </c>
      <c r="DX54" s="130" t="str">
        <f t="shared" si="31"/>
        <v/>
      </c>
      <c r="DY54" s="130" t="str">
        <f t="shared" si="31"/>
        <v/>
      </c>
      <c r="DZ54" s="130" t="str">
        <f t="shared" si="31"/>
        <v/>
      </c>
      <c r="EA54" s="130" t="str">
        <f t="shared" si="31"/>
        <v/>
      </c>
      <c r="EB54" s="130" t="str">
        <f t="shared" si="31"/>
        <v/>
      </c>
      <c r="EC54" s="130" t="str">
        <f t="shared" si="31"/>
        <v/>
      </c>
      <c r="ED54" s="130" t="str">
        <f t="shared" ref="ED54:GO54" si="32">IF(SUM(ED16:ED21)=0,"",SUM(ED16:ED21))</f>
        <v/>
      </c>
      <c r="EE54" s="130" t="str">
        <f t="shared" si="32"/>
        <v/>
      </c>
      <c r="EF54" s="130" t="str">
        <f t="shared" si="32"/>
        <v/>
      </c>
      <c r="EG54" s="130" t="str">
        <f t="shared" si="32"/>
        <v/>
      </c>
      <c r="EH54" s="130" t="str">
        <f t="shared" si="32"/>
        <v/>
      </c>
      <c r="EI54" s="130" t="str">
        <f t="shared" si="32"/>
        <v/>
      </c>
      <c r="EJ54" s="130" t="str">
        <f t="shared" si="32"/>
        <v/>
      </c>
      <c r="EK54" s="130" t="str">
        <f t="shared" si="32"/>
        <v/>
      </c>
      <c r="EL54" s="130" t="str">
        <f t="shared" si="32"/>
        <v/>
      </c>
      <c r="EM54" s="130" t="str">
        <f t="shared" si="32"/>
        <v/>
      </c>
      <c r="EN54" s="130" t="str">
        <f t="shared" si="32"/>
        <v/>
      </c>
      <c r="EO54" s="130" t="str">
        <f t="shared" si="32"/>
        <v/>
      </c>
      <c r="EP54" s="130" t="str">
        <f t="shared" si="32"/>
        <v/>
      </c>
      <c r="EQ54" s="130" t="str">
        <f t="shared" si="32"/>
        <v/>
      </c>
      <c r="ER54" s="130" t="str">
        <f t="shared" si="32"/>
        <v/>
      </c>
      <c r="ES54" s="130" t="str">
        <f t="shared" si="32"/>
        <v/>
      </c>
      <c r="ET54" s="130" t="str">
        <f t="shared" si="32"/>
        <v/>
      </c>
      <c r="EU54" s="130" t="str">
        <f t="shared" si="32"/>
        <v/>
      </c>
      <c r="EV54" s="130" t="str">
        <f t="shared" si="32"/>
        <v/>
      </c>
      <c r="EW54" s="130" t="str">
        <f t="shared" si="32"/>
        <v/>
      </c>
      <c r="EX54" s="130" t="str">
        <f t="shared" si="32"/>
        <v/>
      </c>
      <c r="EY54" s="130" t="str">
        <f t="shared" si="32"/>
        <v/>
      </c>
      <c r="EZ54" s="130" t="str">
        <f t="shared" si="32"/>
        <v/>
      </c>
      <c r="FA54" s="130" t="str">
        <f t="shared" si="32"/>
        <v/>
      </c>
      <c r="FB54" s="130" t="str">
        <f t="shared" si="32"/>
        <v/>
      </c>
      <c r="FC54" s="130" t="str">
        <f t="shared" si="32"/>
        <v/>
      </c>
      <c r="FD54" s="130" t="str">
        <f t="shared" si="32"/>
        <v/>
      </c>
      <c r="FE54" s="130" t="str">
        <f t="shared" si="32"/>
        <v/>
      </c>
      <c r="FF54" s="130" t="str">
        <f t="shared" si="32"/>
        <v/>
      </c>
      <c r="FG54" s="130" t="str">
        <f t="shared" si="32"/>
        <v/>
      </c>
      <c r="FH54" s="130" t="str">
        <f t="shared" si="32"/>
        <v/>
      </c>
      <c r="FI54" s="130" t="str">
        <f t="shared" si="32"/>
        <v/>
      </c>
      <c r="FJ54" s="130" t="str">
        <f t="shared" si="32"/>
        <v/>
      </c>
      <c r="FK54" s="130" t="str">
        <f t="shared" si="32"/>
        <v/>
      </c>
      <c r="FL54" s="130" t="str">
        <f t="shared" si="32"/>
        <v/>
      </c>
      <c r="FM54" s="130" t="str">
        <f t="shared" si="32"/>
        <v/>
      </c>
      <c r="FN54" s="130" t="str">
        <f t="shared" si="32"/>
        <v/>
      </c>
      <c r="FO54" s="130" t="str">
        <f t="shared" si="32"/>
        <v/>
      </c>
      <c r="FP54" s="130" t="str">
        <f t="shared" si="32"/>
        <v/>
      </c>
      <c r="FQ54" s="130" t="str">
        <f t="shared" si="32"/>
        <v/>
      </c>
      <c r="FR54" s="130" t="str">
        <f t="shared" si="32"/>
        <v/>
      </c>
      <c r="FS54" s="130" t="str">
        <f t="shared" si="32"/>
        <v/>
      </c>
      <c r="FT54" s="130" t="str">
        <f t="shared" si="32"/>
        <v/>
      </c>
      <c r="FU54" s="130" t="str">
        <f t="shared" si="32"/>
        <v/>
      </c>
      <c r="FV54" s="130" t="str">
        <f t="shared" si="32"/>
        <v/>
      </c>
      <c r="FW54" s="130" t="str">
        <f t="shared" si="32"/>
        <v/>
      </c>
      <c r="FX54" s="130" t="str">
        <f t="shared" si="32"/>
        <v/>
      </c>
      <c r="FY54" s="130" t="str">
        <f t="shared" si="32"/>
        <v/>
      </c>
      <c r="FZ54" s="130" t="str">
        <f t="shared" si="32"/>
        <v/>
      </c>
      <c r="GA54" s="130" t="str">
        <f t="shared" si="32"/>
        <v/>
      </c>
      <c r="GB54" s="130" t="str">
        <f t="shared" si="32"/>
        <v/>
      </c>
      <c r="GC54" s="130" t="str">
        <f t="shared" si="32"/>
        <v/>
      </c>
      <c r="GD54" s="130" t="str">
        <f t="shared" si="32"/>
        <v/>
      </c>
      <c r="GE54" s="130" t="str">
        <f t="shared" si="32"/>
        <v/>
      </c>
      <c r="GF54" s="130" t="str">
        <f t="shared" si="32"/>
        <v/>
      </c>
      <c r="GG54" s="130" t="str">
        <f t="shared" si="32"/>
        <v/>
      </c>
      <c r="GH54" s="130" t="str">
        <f t="shared" si="32"/>
        <v/>
      </c>
      <c r="GI54" s="130" t="str">
        <f t="shared" si="32"/>
        <v/>
      </c>
      <c r="GJ54" s="130" t="str">
        <f t="shared" si="32"/>
        <v/>
      </c>
      <c r="GK54" s="130" t="str">
        <f t="shared" si="32"/>
        <v/>
      </c>
      <c r="GL54" s="130" t="str">
        <f t="shared" si="32"/>
        <v/>
      </c>
      <c r="GM54" s="130" t="str">
        <f t="shared" si="32"/>
        <v/>
      </c>
      <c r="GN54" s="130" t="str">
        <f t="shared" si="32"/>
        <v/>
      </c>
      <c r="GO54" s="130" t="str">
        <f t="shared" si="32"/>
        <v/>
      </c>
      <c r="GP54" s="130" t="str">
        <f t="shared" ref="GP54:JA54" si="33">IF(SUM(GP16:GP21)=0,"",SUM(GP16:GP21))</f>
        <v/>
      </c>
      <c r="GQ54" s="130" t="str">
        <f t="shared" si="33"/>
        <v/>
      </c>
      <c r="GR54" s="130" t="str">
        <f t="shared" si="33"/>
        <v/>
      </c>
      <c r="GS54" s="130" t="str">
        <f t="shared" si="33"/>
        <v/>
      </c>
      <c r="GT54" s="130" t="str">
        <f t="shared" si="33"/>
        <v/>
      </c>
      <c r="GU54" s="130" t="str">
        <f t="shared" si="33"/>
        <v/>
      </c>
      <c r="GV54" s="130" t="str">
        <f t="shared" si="33"/>
        <v/>
      </c>
      <c r="GW54" s="130" t="str">
        <f t="shared" si="33"/>
        <v/>
      </c>
      <c r="GX54" s="130" t="str">
        <f t="shared" si="33"/>
        <v/>
      </c>
      <c r="GY54" s="130" t="str">
        <f t="shared" si="33"/>
        <v/>
      </c>
      <c r="GZ54" s="130" t="str">
        <f t="shared" si="33"/>
        <v/>
      </c>
      <c r="HA54" s="130" t="str">
        <f t="shared" si="33"/>
        <v/>
      </c>
      <c r="HB54" s="130" t="str">
        <f t="shared" si="33"/>
        <v/>
      </c>
      <c r="HC54" s="130" t="str">
        <f t="shared" si="33"/>
        <v/>
      </c>
      <c r="HD54" s="130" t="str">
        <f t="shared" si="33"/>
        <v/>
      </c>
      <c r="HE54" s="130" t="str">
        <f t="shared" si="33"/>
        <v/>
      </c>
      <c r="HF54" s="130" t="str">
        <f t="shared" si="33"/>
        <v/>
      </c>
      <c r="HG54" s="130" t="str">
        <f t="shared" si="33"/>
        <v/>
      </c>
      <c r="HH54" s="130" t="str">
        <f t="shared" si="33"/>
        <v/>
      </c>
      <c r="HI54" s="130" t="str">
        <f t="shared" si="33"/>
        <v/>
      </c>
      <c r="HJ54" s="130" t="str">
        <f t="shared" si="33"/>
        <v/>
      </c>
      <c r="HK54" s="130" t="str">
        <f t="shared" si="33"/>
        <v/>
      </c>
      <c r="HL54" s="130" t="str">
        <f t="shared" si="33"/>
        <v/>
      </c>
      <c r="HM54" s="130" t="str">
        <f t="shared" si="33"/>
        <v/>
      </c>
      <c r="HN54" s="130" t="str">
        <f t="shared" si="33"/>
        <v/>
      </c>
      <c r="HO54" s="130" t="str">
        <f t="shared" si="33"/>
        <v/>
      </c>
      <c r="HP54" s="130" t="str">
        <f t="shared" si="33"/>
        <v/>
      </c>
      <c r="HQ54" s="130" t="str">
        <f t="shared" si="33"/>
        <v/>
      </c>
      <c r="HR54" s="130" t="str">
        <f t="shared" si="33"/>
        <v/>
      </c>
      <c r="HS54" s="130" t="str">
        <f t="shared" si="33"/>
        <v/>
      </c>
      <c r="HT54" s="130" t="str">
        <f t="shared" si="33"/>
        <v/>
      </c>
      <c r="HU54" s="130" t="str">
        <f t="shared" si="33"/>
        <v/>
      </c>
      <c r="HV54" s="130" t="str">
        <f t="shared" si="33"/>
        <v/>
      </c>
      <c r="HW54" s="130" t="str">
        <f t="shared" si="33"/>
        <v/>
      </c>
      <c r="HX54" s="130" t="str">
        <f t="shared" si="33"/>
        <v/>
      </c>
      <c r="HY54" s="130" t="str">
        <f t="shared" si="33"/>
        <v/>
      </c>
      <c r="HZ54" s="130" t="str">
        <f t="shared" si="33"/>
        <v/>
      </c>
      <c r="IA54" s="130" t="str">
        <f t="shared" si="33"/>
        <v/>
      </c>
      <c r="IB54" s="130" t="str">
        <f t="shared" si="33"/>
        <v/>
      </c>
      <c r="IC54" s="130" t="str">
        <f t="shared" si="33"/>
        <v/>
      </c>
      <c r="ID54" s="130" t="str">
        <f t="shared" si="33"/>
        <v/>
      </c>
      <c r="IE54" s="130" t="str">
        <f t="shared" si="33"/>
        <v/>
      </c>
      <c r="IF54" s="130" t="str">
        <f t="shared" si="33"/>
        <v/>
      </c>
      <c r="IG54" s="130" t="str">
        <f t="shared" si="33"/>
        <v/>
      </c>
      <c r="IH54" s="130" t="str">
        <f t="shared" si="33"/>
        <v/>
      </c>
      <c r="II54" s="130" t="str">
        <f t="shared" si="33"/>
        <v/>
      </c>
      <c r="IJ54" s="130" t="str">
        <f t="shared" si="33"/>
        <v/>
      </c>
      <c r="IK54" s="130" t="str">
        <f t="shared" si="33"/>
        <v/>
      </c>
      <c r="IL54" s="130" t="str">
        <f t="shared" si="33"/>
        <v/>
      </c>
      <c r="IM54" s="130" t="str">
        <f t="shared" si="33"/>
        <v/>
      </c>
      <c r="IN54" s="130" t="str">
        <f t="shared" si="33"/>
        <v/>
      </c>
      <c r="IO54" s="130" t="str">
        <f t="shared" si="33"/>
        <v/>
      </c>
      <c r="IP54" s="130" t="str">
        <f t="shared" si="33"/>
        <v/>
      </c>
      <c r="IQ54" s="130" t="str">
        <f t="shared" si="33"/>
        <v/>
      </c>
      <c r="IR54" s="130" t="str">
        <f t="shared" si="33"/>
        <v/>
      </c>
      <c r="IS54" s="130" t="str">
        <f t="shared" si="33"/>
        <v/>
      </c>
      <c r="IT54" s="130" t="str">
        <f t="shared" si="33"/>
        <v/>
      </c>
      <c r="IU54" s="130" t="str">
        <f t="shared" si="33"/>
        <v/>
      </c>
      <c r="IV54" s="130" t="str">
        <f t="shared" si="33"/>
        <v/>
      </c>
      <c r="IW54" s="130" t="str">
        <f t="shared" si="33"/>
        <v/>
      </c>
      <c r="IX54" s="130" t="str">
        <f t="shared" si="33"/>
        <v/>
      </c>
      <c r="IY54" s="130" t="str">
        <f t="shared" si="33"/>
        <v/>
      </c>
      <c r="IZ54" s="130" t="str">
        <f t="shared" si="33"/>
        <v/>
      </c>
      <c r="JA54" s="130" t="str">
        <f t="shared" si="33"/>
        <v/>
      </c>
      <c r="JB54" s="130" t="str">
        <f t="shared" ref="JB54:LM54" si="34">IF(SUM(JB16:JB21)=0,"",SUM(JB16:JB21))</f>
        <v/>
      </c>
      <c r="JC54" s="130" t="str">
        <f t="shared" si="34"/>
        <v/>
      </c>
      <c r="JD54" s="130" t="str">
        <f t="shared" si="34"/>
        <v/>
      </c>
      <c r="JE54" s="130" t="str">
        <f t="shared" si="34"/>
        <v/>
      </c>
      <c r="JF54" s="130" t="str">
        <f t="shared" si="34"/>
        <v/>
      </c>
      <c r="JG54" s="130" t="str">
        <f t="shared" si="34"/>
        <v/>
      </c>
      <c r="JH54" s="130" t="str">
        <f t="shared" si="34"/>
        <v/>
      </c>
      <c r="JI54" s="130" t="str">
        <f t="shared" si="34"/>
        <v/>
      </c>
      <c r="JJ54" s="130" t="str">
        <f t="shared" si="34"/>
        <v/>
      </c>
      <c r="JK54" s="130" t="str">
        <f t="shared" si="34"/>
        <v/>
      </c>
      <c r="JL54" s="130" t="str">
        <f t="shared" si="34"/>
        <v/>
      </c>
      <c r="JM54" s="130" t="str">
        <f t="shared" si="34"/>
        <v/>
      </c>
      <c r="JN54" s="130" t="str">
        <f t="shared" si="34"/>
        <v/>
      </c>
      <c r="JO54" s="130" t="str">
        <f t="shared" si="34"/>
        <v/>
      </c>
      <c r="JP54" s="130" t="str">
        <f t="shared" si="34"/>
        <v/>
      </c>
      <c r="JQ54" s="130" t="str">
        <f t="shared" si="34"/>
        <v/>
      </c>
      <c r="JR54" s="130" t="str">
        <f t="shared" si="34"/>
        <v/>
      </c>
      <c r="JS54" s="130" t="str">
        <f t="shared" si="34"/>
        <v/>
      </c>
      <c r="JT54" s="130" t="str">
        <f t="shared" si="34"/>
        <v/>
      </c>
      <c r="JU54" s="130" t="str">
        <f t="shared" si="34"/>
        <v/>
      </c>
      <c r="JV54" s="130" t="str">
        <f t="shared" si="34"/>
        <v/>
      </c>
      <c r="JW54" s="130" t="str">
        <f t="shared" si="34"/>
        <v/>
      </c>
      <c r="JX54" s="130" t="str">
        <f t="shared" si="34"/>
        <v/>
      </c>
      <c r="JY54" s="130" t="str">
        <f t="shared" si="34"/>
        <v/>
      </c>
      <c r="JZ54" s="130" t="str">
        <f t="shared" si="34"/>
        <v/>
      </c>
      <c r="KA54" s="130" t="str">
        <f t="shared" si="34"/>
        <v/>
      </c>
      <c r="KB54" s="130" t="str">
        <f t="shared" si="34"/>
        <v/>
      </c>
      <c r="KC54" s="130" t="str">
        <f t="shared" si="34"/>
        <v/>
      </c>
      <c r="KD54" s="130" t="str">
        <f t="shared" si="34"/>
        <v/>
      </c>
      <c r="KE54" s="130" t="str">
        <f t="shared" si="34"/>
        <v/>
      </c>
      <c r="KF54" s="130" t="str">
        <f t="shared" si="34"/>
        <v/>
      </c>
      <c r="KG54" s="130" t="str">
        <f t="shared" si="34"/>
        <v/>
      </c>
      <c r="KH54" s="130" t="str">
        <f t="shared" si="34"/>
        <v/>
      </c>
      <c r="KI54" s="130" t="str">
        <f t="shared" si="34"/>
        <v/>
      </c>
      <c r="KJ54" s="130" t="str">
        <f t="shared" si="34"/>
        <v/>
      </c>
      <c r="KK54" s="130" t="str">
        <f t="shared" si="34"/>
        <v/>
      </c>
      <c r="KL54" s="130" t="str">
        <f t="shared" si="34"/>
        <v/>
      </c>
      <c r="KM54" s="130" t="str">
        <f t="shared" si="34"/>
        <v/>
      </c>
      <c r="KN54" s="130" t="str">
        <f t="shared" si="34"/>
        <v/>
      </c>
      <c r="KO54" s="130" t="str">
        <f t="shared" si="34"/>
        <v/>
      </c>
      <c r="KP54" s="130" t="str">
        <f t="shared" si="34"/>
        <v/>
      </c>
      <c r="KQ54" s="130" t="str">
        <f t="shared" si="34"/>
        <v/>
      </c>
      <c r="KR54" s="130" t="str">
        <f t="shared" si="34"/>
        <v/>
      </c>
      <c r="KS54" s="130" t="str">
        <f t="shared" si="34"/>
        <v/>
      </c>
      <c r="KT54" s="130" t="str">
        <f t="shared" si="34"/>
        <v/>
      </c>
      <c r="KU54" s="130" t="str">
        <f t="shared" si="34"/>
        <v/>
      </c>
      <c r="KV54" s="130" t="str">
        <f t="shared" si="34"/>
        <v/>
      </c>
      <c r="KW54" s="130" t="str">
        <f t="shared" si="34"/>
        <v/>
      </c>
      <c r="KX54" s="130" t="str">
        <f t="shared" si="34"/>
        <v/>
      </c>
      <c r="KY54" s="130" t="str">
        <f t="shared" si="34"/>
        <v/>
      </c>
      <c r="KZ54" s="130" t="str">
        <f t="shared" si="34"/>
        <v/>
      </c>
      <c r="LA54" s="130" t="str">
        <f t="shared" si="34"/>
        <v/>
      </c>
      <c r="LB54" s="130" t="str">
        <f t="shared" si="34"/>
        <v/>
      </c>
      <c r="LC54" s="130" t="str">
        <f t="shared" si="34"/>
        <v/>
      </c>
      <c r="LD54" s="130" t="str">
        <f t="shared" si="34"/>
        <v/>
      </c>
      <c r="LE54" s="130" t="str">
        <f t="shared" si="34"/>
        <v/>
      </c>
      <c r="LF54" s="130" t="str">
        <f t="shared" si="34"/>
        <v/>
      </c>
      <c r="LG54" s="130" t="str">
        <f t="shared" si="34"/>
        <v/>
      </c>
      <c r="LH54" s="130" t="str">
        <f t="shared" si="34"/>
        <v/>
      </c>
      <c r="LI54" s="130" t="str">
        <f t="shared" si="34"/>
        <v/>
      </c>
      <c r="LJ54" s="130" t="str">
        <f t="shared" si="34"/>
        <v/>
      </c>
      <c r="LK54" s="130" t="str">
        <f t="shared" si="34"/>
        <v/>
      </c>
      <c r="LL54" s="130" t="str">
        <f t="shared" si="34"/>
        <v/>
      </c>
      <c r="LM54" s="130" t="str">
        <f t="shared" si="34"/>
        <v/>
      </c>
      <c r="LN54" s="130" t="str">
        <f t="shared" ref="LN54:NY54" si="35">IF(SUM(LN16:LN21)=0,"",SUM(LN16:LN21))</f>
        <v/>
      </c>
      <c r="LO54" s="130" t="str">
        <f t="shared" si="35"/>
        <v/>
      </c>
      <c r="LP54" s="130" t="str">
        <f t="shared" si="35"/>
        <v/>
      </c>
      <c r="LQ54" s="130" t="str">
        <f t="shared" si="35"/>
        <v/>
      </c>
      <c r="LR54" s="130" t="str">
        <f t="shared" si="35"/>
        <v/>
      </c>
      <c r="LS54" s="130" t="str">
        <f t="shared" si="35"/>
        <v/>
      </c>
      <c r="LT54" s="130" t="str">
        <f t="shared" si="35"/>
        <v/>
      </c>
      <c r="LU54" s="130" t="str">
        <f t="shared" si="35"/>
        <v/>
      </c>
      <c r="LV54" s="130" t="str">
        <f t="shared" si="35"/>
        <v/>
      </c>
      <c r="LW54" s="130" t="str">
        <f t="shared" si="35"/>
        <v/>
      </c>
      <c r="LX54" s="130" t="str">
        <f t="shared" si="35"/>
        <v/>
      </c>
      <c r="LY54" s="130" t="str">
        <f t="shared" si="35"/>
        <v/>
      </c>
      <c r="LZ54" s="130" t="str">
        <f t="shared" si="35"/>
        <v/>
      </c>
      <c r="MA54" s="130" t="str">
        <f t="shared" si="35"/>
        <v/>
      </c>
      <c r="MB54" s="130" t="str">
        <f t="shared" si="35"/>
        <v/>
      </c>
      <c r="MC54" s="130" t="str">
        <f t="shared" si="35"/>
        <v/>
      </c>
      <c r="MD54" s="130" t="str">
        <f t="shared" si="35"/>
        <v/>
      </c>
      <c r="ME54" s="130" t="str">
        <f t="shared" si="35"/>
        <v/>
      </c>
      <c r="MF54" s="130" t="str">
        <f t="shared" si="35"/>
        <v/>
      </c>
      <c r="MG54" s="130" t="str">
        <f t="shared" si="35"/>
        <v/>
      </c>
      <c r="MH54" s="130" t="str">
        <f t="shared" si="35"/>
        <v/>
      </c>
      <c r="MI54" s="130" t="str">
        <f t="shared" si="35"/>
        <v/>
      </c>
      <c r="MJ54" s="130" t="str">
        <f t="shared" si="35"/>
        <v/>
      </c>
      <c r="MK54" s="130" t="str">
        <f t="shared" si="35"/>
        <v/>
      </c>
      <c r="ML54" s="130" t="str">
        <f t="shared" si="35"/>
        <v/>
      </c>
      <c r="MM54" s="130" t="str">
        <f t="shared" si="35"/>
        <v/>
      </c>
      <c r="MN54" s="130" t="str">
        <f t="shared" si="35"/>
        <v/>
      </c>
      <c r="MO54" s="130" t="str">
        <f t="shared" si="35"/>
        <v/>
      </c>
      <c r="MP54" s="130" t="str">
        <f t="shared" si="35"/>
        <v/>
      </c>
      <c r="MQ54" s="130" t="str">
        <f t="shared" si="35"/>
        <v/>
      </c>
      <c r="MR54" s="130" t="str">
        <f t="shared" si="35"/>
        <v/>
      </c>
      <c r="MS54" s="130" t="str">
        <f t="shared" si="35"/>
        <v/>
      </c>
      <c r="MT54" s="130" t="str">
        <f t="shared" si="35"/>
        <v/>
      </c>
      <c r="MU54" s="130" t="str">
        <f t="shared" si="35"/>
        <v/>
      </c>
      <c r="MV54" s="130" t="str">
        <f t="shared" si="35"/>
        <v/>
      </c>
      <c r="MW54" s="130" t="str">
        <f t="shared" si="35"/>
        <v/>
      </c>
      <c r="MX54" s="130" t="str">
        <f t="shared" si="35"/>
        <v/>
      </c>
      <c r="MY54" s="130" t="str">
        <f t="shared" si="35"/>
        <v/>
      </c>
      <c r="MZ54" s="130" t="str">
        <f t="shared" si="35"/>
        <v/>
      </c>
      <c r="NA54" s="130" t="str">
        <f t="shared" si="35"/>
        <v/>
      </c>
      <c r="NB54" s="130" t="str">
        <f t="shared" si="35"/>
        <v/>
      </c>
      <c r="NC54" s="130" t="str">
        <f t="shared" si="35"/>
        <v/>
      </c>
      <c r="ND54" s="130" t="str">
        <f t="shared" si="35"/>
        <v/>
      </c>
      <c r="NE54" s="130" t="str">
        <f t="shared" si="35"/>
        <v/>
      </c>
      <c r="NF54" s="130" t="str">
        <f t="shared" si="35"/>
        <v/>
      </c>
      <c r="NG54" s="130" t="str">
        <f t="shared" si="35"/>
        <v/>
      </c>
      <c r="NH54" s="130" t="str">
        <f t="shared" si="35"/>
        <v/>
      </c>
      <c r="NI54" s="130" t="str">
        <f t="shared" si="35"/>
        <v/>
      </c>
      <c r="NJ54" s="130" t="str">
        <f t="shared" si="35"/>
        <v/>
      </c>
      <c r="NK54" s="130" t="str">
        <f t="shared" si="35"/>
        <v/>
      </c>
      <c r="NL54" s="130" t="str">
        <f t="shared" si="35"/>
        <v/>
      </c>
      <c r="NM54" s="130" t="str">
        <f t="shared" si="35"/>
        <v/>
      </c>
      <c r="NN54" s="130" t="str">
        <f t="shared" si="35"/>
        <v/>
      </c>
      <c r="NO54" s="130" t="str">
        <f t="shared" si="35"/>
        <v/>
      </c>
      <c r="NP54" s="130" t="str">
        <f t="shared" si="35"/>
        <v/>
      </c>
      <c r="NQ54" s="130" t="str">
        <f t="shared" si="35"/>
        <v/>
      </c>
      <c r="NR54" s="130" t="str">
        <f t="shared" si="35"/>
        <v/>
      </c>
      <c r="NS54" s="130" t="str">
        <f t="shared" si="35"/>
        <v/>
      </c>
      <c r="NT54" s="130" t="str">
        <f t="shared" si="35"/>
        <v/>
      </c>
      <c r="NU54" s="130" t="str">
        <f t="shared" si="35"/>
        <v/>
      </c>
      <c r="NV54" s="130" t="str">
        <f t="shared" si="35"/>
        <v/>
      </c>
      <c r="NW54" s="130" t="str">
        <f t="shared" si="35"/>
        <v/>
      </c>
      <c r="NX54" s="130" t="str">
        <f t="shared" si="35"/>
        <v/>
      </c>
      <c r="NY54" s="130" t="str">
        <f t="shared" si="35"/>
        <v/>
      </c>
      <c r="NZ54" s="130" t="str">
        <f t="shared" ref="NZ54:QK54" si="36">IF(SUM(NZ16:NZ21)=0,"",SUM(NZ16:NZ21))</f>
        <v/>
      </c>
      <c r="OA54" s="130" t="str">
        <f t="shared" si="36"/>
        <v/>
      </c>
      <c r="OB54" s="130" t="str">
        <f t="shared" si="36"/>
        <v/>
      </c>
      <c r="OC54" s="130" t="str">
        <f t="shared" si="36"/>
        <v/>
      </c>
      <c r="OD54" s="130" t="str">
        <f t="shared" si="36"/>
        <v/>
      </c>
      <c r="OE54" s="130" t="str">
        <f t="shared" si="36"/>
        <v/>
      </c>
      <c r="OF54" s="130" t="str">
        <f t="shared" si="36"/>
        <v/>
      </c>
      <c r="OG54" s="130" t="str">
        <f t="shared" si="36"/>
        <v/>
      </c>
      <c r="OH54" s="130" t="str">
        <f t="shared" si="36"/>
        <v/>
      </c>
      <c r="OI54" s="130" t="str">
        <f t="shared" si="36"/>
        <v/>
      </c>
      <c r="OJ54" s="130" t="str">
        <f t="shared" si="36"/>
        <v/>
      </c>
      <c r="OK54" s="130" t="str">
        <f t="shared" si="36"/>
        <v/>
      </c>
      <c r="OL54" s="130" t="str">
        <f t="shared" si="36"/>
        <v/>
      </c>
      <c r="OM54" s="130" t="str">
        <f t="shared" si="36"/>
        <v/>
      </c>
      <c r="ON54" s="130" t="str">
        <f t="shared" si="36"/>
        <v/>
      </c>
      <c r="OO54" s="130" t="str">
        <f t="shared" si="36"/>
        <v/>
      </c>
      <c r="OP54" s="130" t="str">
        <f t="shared" si="36"/>
        <v/>
      </c>
      <c r="OQ54" s="130" t="str">
        <f t="shared" si="36"/>
        <v/>
      </c>
      <c r="OR54" s="130" t="str">
        <f t="shared" si="36"/>
        <v/>
      </c>
      <c r="OS54" s="130" t="str">
        <f t="shared" si="36"/>
        <v/>
      </c>
      <c r="OT54" s="130" t="str">
        <f t="shared" si="36"/>
        <v/>
      </c>
      <c r="OU54" s="130" t="str">
        <f t="shared" si="36"/>
        <v/>
      </c>
      <c r="OV54" s="130" t="str">
        <f t="shared" si="36"/>
        <v/>
      </c>
      <c r="OW54" s="130" t="str">
        <f t="shared" si="36"/>
        <v/>
      </c>
      <c r="OX54" s="130" t="str">
        <f t="shared" si="36"/>
        <v/>
      </c>
      <c r="OY54" s="130" t="str">
        <f t="shared" si="36"/>
        <v/>
      </c>
      <c r="OZ54" s="130" t="str">
        <f t="shared" si="36"/>
        <v/>
      </c>
      <c r="PA54" s="130" t="str">
        <f t="shared" si="36"/>
        <v/>
      </c>
      <c r="PB54" s="130" t="str">
        <f t="shared" si="36"/>
        <v/>
      </c>
      <c r="PC54" s="130" t="str">
        <f t="shared" si="36"/>
        <v/>
      </c>
      <c r="PD54" s="130" t="str">
        <f t="shared" si="36"/>
        <v/>
      </c>
      <c r="PE54" s="130" t="str">
        <f t="shared" si="36"/>
        <v/>
      </c>
      <c r="PF54" s="130" t="str">
        <f t="shared" si="36"/>
        <v/>
      </c>
      <c r="PG54" s="130" t="str">
        <f t="shared" si="36"/>
        <v/>
      </c>
      <c r="PH54" s="130" t="str">
        <f t="shared" si="36"/>
        <v/>
      </c>
      <c r="PI54" s="130" t="str">
        <f t="shared" si="36"/>
        <v/>
      </c>
      <c r="PJ54" s="130" t="str">
        <f t="shared" si="36"/>
        <v/>
      </c>
      <c r="PK54" s="130" t="str">
        <f t="shared" si="36"/>
        <v/>
      </c>
      <c r="PL54" s="130" t="str">
        <f t="shared" si="36"/>
        <v/>
      </c>
      <c r="PM54" s="130" t="str">
        <f t="shared" si="36"/>
        <v/>
      </c>
      <c r="PN54" s="130" t="str">
        <f t="shared" si="36"/>
        <v/>
      </c>
      <c r="PO54" s="130" t="str">
        <f t="shared" si="36"/>
        <v/>
      </c>
      <c r="PP54" s="130" t="str">
        <f t="shared" si="36"/>
        <v/>
      </c>
      <c r="PQ54" s="130" t="str">
        <f t="shared" si="36"/>
        <v/>
      </c>
      <c r="PR54" s="130" t="str">
        <f t="shared" si="36"/>
        <v/>
      </c>
      <c r="PS54" s="130" t="str">
        <f t="shared" si="36"/>
        <v/>
      </c>
      <c r="PT54" s="130" t="str">
        <f t="shared" si="36"/>
        <v/>
      </c>
      <c r="PU54" s="130" t="str">
        <f t="shared" si="36"/>
        <v/>
      </c>
      <c r="PV54" s="130" t="str">
        <f t="shared" si="36"/>
        <v/>
      </c>
      <c r="PW54" s="130" t="str">
        <f t="shared" si="36"/>
        <v/>
      </c>
      <c r="PX54" s="130" t="str">
        <f t="shared" si="36"/>
        <v/>
      </c>
      <c r="PY54" s="130" t="str">
        <f t="shared" si="36"/>
        <v/>
      </c>
      <c r="PZ54" s="130" t="str">
        <f t="shared" si="36"/>
        <v/>
      </c>
      <c r="QA54" s="130" t="str">
        <f t="shared" si="36"/>
        <v/>
      </c>
      <c r="QB54" s="130" t="str">
        <f t="shared" si="36"/>
        <v/>
      </c>
      <c r="QC54" s="130" t="str">
        <f t="shared" si="36"/>
        <v/>
      </c>
      <c r="QD54" s="130" t="str">
        <f t="shared" si="36"/>
        <v/>
      </c>
      <c r="QE54" s="130" t="str">
        <f t="shared" si="36"/>
        <v/>
      </c>
      <c r="QF54" s="130" t="str">
        <f t="shared" si="36"/>
        <v/>
      </c>
      <c r="QG54" s="130" t="str">
        <f t="shared" si="36"/>
        <v/>
      </c>
      <c r="QH54" s="130" t="str">
        <f t="shared" si="36"/>
        <v/>
      </c>
      <c r="QI54" s="130" t="str">
        <f t="shared" si="36"/>
        <v/>
      </c>
      <c r="QJ54" s="130" t="str">
        <f t="shared" si="36"/>
        <v/>
      </c>
      <c r="QK54" s="130" t="str">
        <f t="shared" si="36"/>
        <v/>
      </c>
      <c r="QL54" s="130" t="str">
        <f t="shared" ref="QL54:SW54" si="37">IF(SUM(QL16:QL21)=0,"",SUM(QL16:QL21))</f>
        <v/>
      </c>
      <c r="QM54" s="130" t="str">
        <f t="shared" si="37"/>
        <v/>
      </c>
      <c r="QN54" s="130" t="str">
        <f t="shared" si="37"/>
        <v/>
      </c>
      <c r="QO54" s="130" t="str">
        <f t="shared" si="37"/>
        <v/>
      </c>
      <c r="QP54" s="130" t="str">
        <f t="shared" si="37"/>
        <v/>
      </c>
      <c r="QQ54" s="130" t="str">
        <f t="shared" si="37"/>
        <v/>
      </c>
      <c r="QR54" s="130" t="str">
        <f t="shared" si="37"/>
        <v/>
      </c>
      <c r="QS54" s="130" t="str">
        <f t="shared" si="37"/>
        <v/>
      </c>
      <c r="QT54" s="130" t="str">
        <f t="shared" si="37"/>
        <v/>
      </c>
      <c r="QU54" s="130" t="str">
        <f t="shared" si="37"/>
        <v/>
      </c>
      <c r="QV54" s="130" t="str">
        <f t="shared" si="37"/>
        <v/>
      </c>
      <c r="QW54" s="130" t="str">
        <f t="shared" si="37"/>
        <v/>
      </c>
      <c r="QX54" s="130" t="str">
        <f t="shared" si="37"/>
        <v/>
      </c>
      <c r="QY54" s="130" t="str">
        <f t="shared" si="37"/>
        <v/>
      </c>
      <c r="QZ54" s="130" t="str">
        <f t="shared" si="37"/>
        <v/>
      </c>
      <c r="RA54" s="130" t="str">
        <f t="shared" si="37"/>
        <v/>
      </c>
      <c r="RB54" s="130" t="str">
        <f t="shared" si="37"/>
        <v/>
      </c>
      <c r="RC54" s="130" t="str">
        <f t="shared" si="37"/>
        <v/>
      </c>
      <c r="RD54" s="130" t="str">
        <f t="shared" si="37"/>
        <v/>
      </c>
      <c r="RE54" s="130" t="str">
        <f t="shared" si="37"/>
        <v/>
      </c>
      <c r="RF54" s="130" t="str">
        <f t="shared" si="37"/>
        <v/>
      </c>
      <c r="RG54" s="130" t="str">
        <f t="shared" si="37"/>
        <v/>
      </c>
      <c r="RH54" s="130" t="str">
        <f t="shared" si="37"/>
        <v/>
      </c>
      <c r="RI54" s="130" t="str">
        <f t="shared" si="37"/>
        <v/>
      </c>
      <c r="RJ54" s="130" t="str">
        <f t="shared" si="37"/>
        <v/>
      </c>
      <c r="RK54" s="130" t="str">
        <f t="shared" si="37"/>
        <v/>
      </c>
      <c r="RL54" s="130" t="str">
        <f t="shared" si="37"/>
        <v/>
      </c>
      <c r="RM54" s="130" t="str">
        <f t="shared" si="37"/>
        <v/>
      </c>
      <c r="RN54" s="130" t="str">
        <f t="shared" si="37"/>
        <v/>
      </c>
      <c r="RO54" s="130" t="str">
        <f t="shared" si="37"/>
        <v/>
      </c>
      <c r="RP54" s="130" t="str">
        <f t="shared" si="37"/>
        <v/>
      </c>
      <c r="RQ54" s="130" t="str">
        <f t="shared" si="37"/>
        <v/>
      </c>
      <c r="RR54" s="130" t="str">
        <f t="shared" si="37"/>
        <v/>
      </c>
      <c r="RS54" s="130" t="str">
        <f t="shared" si="37"/>
        <v/>
      </c>
      <c r="RT54" s="130" t="str">
        <f t="shared" si="37"/>
        <v/>
      </c>
      <c r="RU54" s="130" t="str">
        <f t="shared" si="37"/>
        <v/>
      </c>
      <c r="RV54" s="130" t="str">
        <f t="shared" si="37"/>
        <v/>
      </c>
      <c r="RW54" s="130" t="str">
        <f t="shared" si="37"/>
        <v/>
      </c>
      <c r="RX54" s="130" t="str">
        <f t="shared" si="37"/>
        <v/>
      </c>
      <c r="RY54" s="130" t="str">
        <f t="shared" si="37"/>
        <v/>
      </c>
      <c r="RZ54" s="130" t="str">
        <f t="shared" si="37"/>
        <v/>
      </c>
      <c r="SA54" s="130" t="str">
        <f t="shared" si="37"/>
        <v/>
      </c>
      <c r="SB54" s="130" t="str">
        <f t="shared" si="37"/>
        <v/>
      </c>
      <c r="SC54" s="130" t="str">
        <f t="shared" si="37"/>
        <v/>
      </c>
      <c r="SD54" s="130" t="str">
        <f t="shared" si="37"/>
        <v/>
      </c>
      <c r="SE54" s="130" t="str">
        <f t="shared" si="37"/>
        <v/>
      </c>
      <c r="SF54" s="130" t="str">
        <f t="shared" si="37"/>
        <v/>
      </c>
      <c r="SG54" s="130" t="str">
        <f t="shared" si="37"/>
        <v/>
      </c>
      <c r="SH54" s="130" t="str">
        <f t="shared" si="37"/>
        <v/>
      </c>
      <c r="SI54" s="130" t="str">
        <f t="shared" si="37"/>
        <v/>
      </c>
      <c r="SJ54" s="130" t="str">
        <f t="shared" si="37"/>
        <v/>
      </c>
      <c r="SK54" s="130" t="str">
        <f t="shared" si="37"/>
        <v/>
      </c>
      <c r="SL54" s="130" t="str">
        <f t="shared" si="37"/>
        <v/>
      </c>
      <c r="SM54" s="130" t="str">
        <f t="shared" si="37"/>
        <v/>
      </c>
      <c r="SN54" s="130" t="str">
        <f t="shared" si="37"/>
        <v/>
      </c>
      <c r="SO54" s="130" t="str">
        <f t="shared" si="37"/>
        <v/>
      </c>
      <c r="SP54" s="130" t="str">
        <f t="shared" si="37"/>
        <v/>
      </c>
      <c r="SQ54" s="130" t="str">
        <f t="shared" si="37"/>
        <v/>
      </c>
      <c r="SR54" s="130" t="str">
        <f t="shared" si="37"/>
        <v/>
      </c>
      <c r="SS54" s="130" t="str">
        <f t="shared" si="37"/>
        <v/>
      </c>
      <c r="ST54" s="130" t="str">
        <f t="shared" si="37"/>
        <v/>
      </c>
      <c r="SU54" s="130" t="str">
        <f t="shared" si="37"/>
        <v/>
      </c>
      <c r="SV54" s="130" t="str">
        <f t="shared" si="37"/>
        <v/>
      </c>
      <c r="SW54" s="130" t="str">
        <f t="shared" si="37"/>
        <v/>
      </c>
      <c r="SX54" s="130" t="str">
        <f t="shared" ref="SX54:US54" si="38">IF(SUM(SX16:SX21)=0,"",SUM(SX16:SX21))</f>
        <v/>
      </c>
      <c r="SY54" s="130" t="str">
        <f t="shared" si="38"/>
        <v/>
      </c>
      <c r="SZ54" s="130" t="str">
        <f t="shared" si="38"/>
        <v/>
      </c>
      <c r="TA54" s="130" t="str">
        <f t="shared" si="38"/>
        <v/>
      </c>
      <c r="TB54" s="130" t="str">
        <f t="shared" si="38"/>
        <v/>
      </c>
      <c r="TC54" s="130" t="str">
        <f t="shared" si="38"/>
        <v/>
      </c>
      <c r="TD54" s="130" t="str">
        <f t="shared" si="38"/>
        <v/>
      </c>
      <c r="TE54" s="130" t="str">
        <f t="shared" si="38"/>
        <v/>
      </c>
      <c r="TF54" s="130" t="str">
        <f t="shared" si="38"/>
        <v/>
      </c>
      <c r="TG54" s="130" t="str">
        <f t="shared" si="38"/>
        <v/>
      </c>
      <c r="TH54" s="130" t="str">
        <f t="shared" si="38"/>
        <v/>
      </c>
      <c r="TI54" s="130" t="str">
        <f t="shared" si="38"/>
        <v/>
      </c>
      <c r="TJ54" s="130" t="str">
        <f t="shared" si="38"/>
        <v/>
      </c>
      <c r="TK54" s="130" t="str">
        <f t="shared" si="38"/>
        <v/>
      </c>
      <c r="TL54" s="130" t="str">
        <f t="shared" si="38"/>
        <v/>
      </c>
      <c r="TM54" s="130" t="str">
        <f t="shared" si="38"/>
        <v/>
      </c>
      <c r="TN54" s="130" t="str">
        <f t="shared" si="38"/>
        <v/>
      </c>
      <c r="TO54" s="130" t="str">
        <f t="shared" si="38"/>
        <v/>
      </c>
      <c r="TP54" s="130" t="str">
        <f t="shared" si="38"/>
        <v/>
      </c>
      <c r="TQ54" s="130" t="str">
        <f t="shared" si="38"/>
        <v/>
      </c>
      <c r="TR54" s="130" t="str">
        <f t="shared" si="38"/>
        <v/>
      </c>
      <c r="TS54" s="130" t="str">
        <f t="shared" si="38"/>
        <v/>
      </c>
      <c r="TT54" s="130" t="str">
        <f t="shared" si="38"/>
        <v/>
      </c>
      <c r="TU54" s="130" t="str">
        <f t="shared" si="38"/>
        <v/>
      </c>
      <c r="TV54" s="130" t="str">
        <f t="shared" si="38"/>
        <v/>
      </c>
      <c r="TW54" s="130" t="str">
        <f t="shared" si="38"/>
        <v/>
      </c>
      <c r="TX54" s="130" t="str">
        <f t="shared" si="38"/>
        <v/>
      </c>
      <c r="TY54" s="130" t="str">
        <f t="shared" si="38"/>
        <v/>
      </c>
      <c r="TZ54" s="130" t="str">
        <f t="shared" si="38"/>
        <v/>
      </c>
      <c r="UA54" s="130" t="str">
        <f t="shared" si="38"/>
        <v/>
      </c>
      <c r="UB54" s="130" t="str">
        <f t="shared" si="38"/>
        <v/>
      </c>
      <c r="UC54" s="130" t="str">
        <f t="shared" si="38"/>
        <v/>
      </c>
      <c r="UD54" s="130" t="str">
        <f t="shared" si="38"/>
        <v/>
      </c>
      <c r="UE54" s="130" t="str">
        <f t="shared" si="38"/>
        <v/>
      </c>
      <c r="UF54" s="130" t="str">
        <f t="shared" si="38"/>
        <v/>
      </c>
      <c r="UG54" s="130" t="str">
        <f t="shared" si="38"/>
        <v/>
      </c>
      <c r="UH54" s="130" t="str">
        <f t="shared" si="38"/>
        <v/>
      </c>
      <c r="UI54" s="130" t="str">
        <f t="shared" si="38"/>
        <v/>
      </c>
      <c r="UJ54" s="130" t="str">
        <f t="shared" si="38"/>
        <v/>
      </c>
      <c r="UK54" s="130" t="str">
        <f t="shared" si="38"/>
        <v/>
      </c>
      <c r="UL54" s="130" t="str">
        <f t="shared" si="38"/>
        <v/>
      </c>
      <c r="UM54" s="130" t="str">
        <f t="shared" si="38"/>
        <v/>
      </c>
      <c r="UN54" s="130" t="str">
        <f t="shared" si="38"/>
        <v/>
      </c>
      <c r="UO54" s="130" t="str">
        <f t="shared" si="38"/>
        <v/>
      </c>
      <c r="UP54" s="130" t="str">
        <f t="shared" si="38"/>
        <v/>
      </c>
      <c r="UQ54" s="130" t="str">
        <f t="shared" si="38"/>
        <v/>
      </c>
      <c r="UR54" s="130" t="str">
        <f t="shared" si="38"/>
        <v/>
      </c>
      <c r="US54" s="130" t="str">
        <f t="shared" si="38"/>
        <v/>
      </c>
      <c r="UT54" s="194"/>
    </row>
    <row r="55" spans="2:572" ht="18" customHeight="1" x14ac:dyDescent="0.3">
      <c r="B55" s="126" t="s">
        <v>38</v>
      </c>
      <c r="C55" s="127" t="s">
        <v>39</v>
      </c>
      <c r="D55" s="128" t="str">
        <f>IFERROR(E55/$E$56,"")</f>
        <v/>
      </c>
      <c r="E55" s="129" t="e">
        <f>AVERAGE(F55:US55)</f>
        <v>#DIV/0!</v>
      </c>
      <c r="F55" s="130" t="str">
        <f t="shared" ref="F55:BQ55" si="39">IF(SUM(F23:F53)=0,"",SUM(F23:F53))</f>
        <v/>
      </c>
      <c r="G55" s="130" t="str">
        <f t="shared" si="39"/>
        <v/>
      </c>
      <c r="H55" s="130" t="str">
        <f t="shared" si="39"/>
        <v/>
      </c>
      <c r="I55" s="130" t="str">
        <f t="shared" si="39"/>
        <v/>
      </c>
      <c r="J55" s="130" t="str">
        <f t="shared" si="39"/>
        <v/>
      </c>
      <c r="K55" s="130" t="str">
        <f t="shared" si="39"/>
        <v/>
      </c>
      <c r="L55" s="130" t="str">
        <f t="shared" si="39"/>
        <v/>
      </c>
      <c r="M55" s="130" t="str">
        <f t="shared" si="39"/>
        <v/>
      </c>
      <c r="N55" s="130" t="str">
        <f t="shared" si="39"/>
        <v/>
      </c>
      <c r="O55" s="130" t="str">
        <f t="shared" si="39"/>
        <v/>
      </c>
      <c r="P55" s="130" t="str">
        <f t="shared" si="39"/>
        <v/>
      </c>
      <c r="Q55" s="130" t="str">
        <f t="shared" si="39"/>
        <v/>
      </c>
      <c r="R55" s="130" t="str">
        <f t="shared" si="39"/>
        <v/>
      </c>
      <c r="S55" s="130" t="str">
        <f t="shared" si="39"/>
        <v/>
      </c>
      <c r="T55" s="130" t="str">
        <f t="shared" si="39"/>
        <v/>
      </c>
      <c r="U55" s="130" t="str">
        <f t="shared" si="39"/>
        <v/>
      </c>
      <c r="V55" s="130" t="str">
        <f t="shared" si="39"/>
        <v/>
      </c>
      <c r="W55" s="130" t="str">
        <f t="shared" si="39"/>
        <v/>
      </c>
      <c r="X55" s="130" t="str">
        <f t="shared" si="39"/>
        <v/>
      </c>
      <c r="Y55" s="130" t="str">
        <f t="shared" si="39"/>
        <v/>
      </c>
      <c r="Z55" s="130" t="str">
        <f t="shared" si="39"/>
        <v/>
      </c>
      <c r="AA55" s="130" t="str">
        <f t="shared" si="39"/>
        <v/>
      </c>
      <c r="AB55" s="130" t="str">
        <f t="shared" si="39"/>
        <v/>
      </c>
      <c r="AC55" s="130" t="str">
        <f t="shared" si="39"/>
        <v/>
      </c>
      <c r="AD55" s="130" t="str">
        <f t="shared" si="39"/>
        <v/>
      </c>
      <c r="AE55" s="130" t="str">
        <f t="shared" si="39"/>
        <v/>
      </c>
      <c r="AF55" s="130" t="str">
        <f t="shared" si="39"/>
        <v/>
      </c>
      <c r="AG55" s="130" t="str">
        <f t="shared" si="39"/>
        <v/>
      </c>
      <c r="AH55" s="130" t="str">
        <f t="shared" si="39"/>
        <v/>
      </c>
      <c r="AI55" s="130" t="str">
        <f t="shared" si="39"/>
        <v/>
      </c>
      <c r="AJ55" s="130" t="str">
        <f t="shared" si="39"/>
        <v/>
      </c>
      <c r="AK55" s="130" t="str">
        <f t="shared" si="39"/>
        <v/>
      </c>
      <c r="AL55" s="130" t="str">
        <f t="shared" si="39"/>
        <v/>
      </c>
      <c r="AM55" s="130" t="str">
        <f t="shared" si="39"/>
        <v/>
      </c>
      <c r="AN55" s="130" t="str">
        <f t="shared" si="39"/>
        <v/>
      </c>
      <c r="AO55" s="130" t="str">
        <f t="shared" si="39"/>
        <v/>
      </c>
      <c r="AP55" s="130" t="str">
        <f t="shared" si="39"/>
        <v/>
      </c>
      <c r="AQ55" s="130" t="str">
        <f t="shared" si="39"/>
        <v/>
      </c>
      <c r="AR55" s="130" t="str">
        <f t="shared" si="39"/>
        <v/>
      </c>
      <c r="AS55" s="130" t="str">
        <f t="shared" si="39"/>
        <v/>
      </c>
      <c r="AT55" s="130" t="str">
        <f t="shared" si="39"/>
        <v/>
      </c>
      <c r="AU55" s="130" t="str">
        <f t="shared" si="39"/>
        <v/>
      </c>
      <c r="AV55" s="130" t="str">
        <f t="shared" si="39"/>
        <v/>
      </c>
      <c r="AW55" s="130" t="str">
        <f t="shared" si="39"/>
        <v/>
      </c>
      <c r="AX55" s="130" t="str">
        <f t="shared" si="39"/>
        <v/>
      </c>
      <c r="AY55" s="130" t="str">
        <f t="shared" si="39"/>
        <v/>
      </c>
      <c r="AZ55" s="130" t="str">
        <f t="shared" si="39"/>
        <v/>
      </c>
      <c r="BA55" s="130" t="str">
        <f t="shared" si="39"/>
        <v/>
      </c>
      <c r="BB55" s="130" t="str">
        <f t="shared" si="39"/>
        <v/>
      </c>
      <c r="BC55" s="130" t="str">
        <f t="shared" si="39"/>
        <v/>
      </c>
      <c r="BD55" s="130" t="str">
        <f t="shared" si="39"/>
        <v/>
      </c>
      <c r="BE55" s="130" t="str">
        <f t="shared" si="39"/>
        <v/>
      </c>
      <c r="BF55" s="130" t="str">
        <f t="shared" si="39"/>
        <v/>
      </c>
      <c r="BG55" s="130" t="str">
        <f t="shared" si="39"/>
        <v/>
      </c>
      <c r="BH55" s="130" t="str">
        <f t="shared" si="39"/>
        <v/>
      </c>
      <c r="BI55" s="130" t="str">
        <f t="shared" si="39"/>
        <v/>
      </c>
      <c r="BJ55" s="130" t="str">
        <f t="shared" si="39"/>
        <v/>
      </c>
      <c r="BK55" s="130" t="str">
        <f t="shared" si="39"/>
        <v/>
      </c>
      <c r="BL55" s="130" t="str">
        <f t="shared" si="39"/>
        <v/>
      </c>
      <c r="BM55" s="130" t="str">
        <f t="shared" si="39"/>
        <v/>
      </c>
      <c r="BN55" s="130" t="str">
        <f t="shared" si="39"/>
        <v/>
      </c>
      <c r="BO55" s="130" t="str">
        <f t="shared" si="39"/>
        <v/>
      </c>
      <c r="BP55" s="130" t="str">
        <f t="shared" si="39"/>
        <v/>
      </c>
      <c r="BQ55" s="130" t="str">
        <f t="shared" si="39"/>
        <v/>
      </c>
      <c r="BR55" s="130" t="str">
        <f t="shared" ref="BR55:EC55" si="40">IF(SUM(BR23:BR53)=0,"",SUM(BR23:BR53))</f>
        <v/>
      </c>
      <c r="BS55" s="130" t="str">
        <f t="shared" si="40"/>
        <v/>
      </c>
      <c r="BT55" s="130" t="str">
        <f t="shared" si="40"/>
        <v/>
      </c>
      <c r="BU55" s="130" t="str">
        <f t="shared" si="40"/>
        <v/>
      </c>
      <c r="BV55" s="130" t="str">
        <f t="shared" si="40"/>
        <v/>
      </c>
      <c r="BW55" s="130" t="str">
        <f t="shared" si="40"/>
        <v/>
      </c>
      <c r="BX55" s="130" t="str">
        <f t="shared" si="40"/>
        <v/>
      </c>
      <c r="BY55" s="130" t="str">
        <f t="shared" si="40"/>
        <v/>
      </c>
      <c r="BZ55" s="130" t="str">
        <f t="shared" si="40"/>
        <v/>
      </c>
      <c r="CA55" s="130" t="str">
        <f t="shared" si="40"/>
        <v/>
      </c>
      <c r="CB55" s="130" t="str">
        <f t="shared" si="40"/>
        <v/>
      </c>
      <c r="CC55" s="130" t="str">
        <f t="shared" si="40"/>
        <v/>
      </c>
      <c r="CD55" s="130" t="str">
        <f t="shared" si="40"/>
        <v/>
      </c>
      <c r="CE55" s="130" t="str">
        <f t="shared" si="40"/>
        <v/>
      </c>
      <c r="CF55" s="130" t="str">
        <f t="shared" si="40"/>
        <v/>
      </c>
      <c r="CG55" s="130" t="str">
        <f t="shared" si="40"/>
        <v/>
      </c>
      <c r="CH55" s="130" t="str">
        <f t="shared" si="40"/>
        <v/>
      </c>
      <c r="CI55" s="130" t="str">
        <f t="shared" si="40"/>
        <v/>
      </c>
      <c r="CJ55" s="130" t="str">
        <f t="shared" si="40"/>
        <v/>
      </c>
      <c r="CK55" s="130" t="str">
        <f t="shared" si="40"/>
        <v/>
      </c>
      <c r="CL55" s="130" t="str">
        <f t="shared" si="40"/>
        <v/>
      </c>
      <c r="CM55" s="130" t="str">
        <f t="shared" si="40"/>
        <v/>
      </c>
      <c r="CN55" s="130" t="str">
        <f t="shared" si="40"/>
        <v/>
      </c>
      <c r="CO55" s="130" t="str">
        <f t="shared" si="40"/>
        <v/>
      </c>
      <c r="CP55" s="130" t="str">
        <f t="shared" si="40"/>
        <v/>
      </c>
      <c r="CQ55" s="130" t="str">
        <f t="shared" si="40"/>
        <v/>
      </c>
      <c r="CR55" s="130" t="str">
        <f t="shared" si="40"/>
        <v/>
      </c>
      <c r="CS55" s="130" t="str">
        <f t="shared" si="40"/>
        <v/>
      </c>
      <c r="CT55" s="130" t="str">
        <f t="shared" si="40"/>
        <v/>
      </c>
      <c r="CU55" s="130" t="str">
        <f t="shared" si="40"/>
        <v/>
      </c>
      <c r="CV55" s="130" t="str">
        <f t="shared" si="40"/>
        <v/>
      </c>
      <c r="CW55" s="130" t="str">
        <f t="shared" si="40"/>
        <v/>
      </c>
      <c r="CX55" s="130" t="str">
        <f t="shared" si="40"/>
        <v/>
      </c>
      <c r="CY55" s="130" t="str">
        <f t="shared" si="40"/>
        <v/>
      </c>
      <c r="CZ55" s="130" t="str">
        <f t="shared" si="40"/>
        <v/>
      </c>
      <c r="DA55" s="130" t="str">
        <f t="shared" si="40"/>
        <v/>
      </c>
      <c r="DB55" s="130" t="str">
        <f t="shared" si="40"/>
        <v/>
      </c>
      <c r="DC55" s="130" t="str">
        <f t="shared" si="40"/>
        <v/>
      </c>
      <c r="DD55" s="130" t="str">
        <f t="shared" si="40"/>
        <v/>
      </c>
      <c r="DE55" s="130" t="str">
        <f t="shared" si="40"/>
        <v/>
      </c>
      <c r="DF55" s="130" t="str">
        <f t="shared" si="40"/>
        <v/>
      </c>
      <c r="DG55" s="130" t="str">
        <f t="shared" si="40"/>
        <v/>
      </c>
      <c r="DH55" s="130" t="str">
        <f t="shared" si="40"/>
        <v/>
      </c>
      <c r="DI55" s="130" t="str">
        <f t="shared" si="40"/>
        <v/>
      </c>
      <c r="DJ55" s="130" t="str">
        <f t="shared" si="40"/>
        <v/>
      </c>
      <c r="DK55" s="130" t="str">
        <f t="shared" si="40"/>
        <v/>
      </c>
      <c r="DL55" s="130" t="str">
        <f t="shared" si="40"/>
        <v/>
      </c>
      <c r="DM55" s="130" t="str">
        <f t="shared" si="40"/>
        <v/>
      </c>
      <c r="DN55" s="130" t="str">
        <f t="shared" si="40"/>
        <v/>
      </c>
      <c r="DO55" s="130" t="str">
        <f t="shared" si="40"/>
        <v/>
      </c>
      <c r="DP55" s="130" t="str">
        <f t="shared" si="40"/>
        <v/>
      </c>
      <c r="DQ55" s="130" t="str">
        <f t="shared" si="40"/>
        <v/>
      </c>
      <c r="DR55" s="130" t="str">
        <f t="shared" si="40"/>
        <v/>
      </c>
      <c r="DS55" s="130" t="str">
        <f t="shared" si="40"/>
        <v/>
      </c>
      <c r="DT55" s="130" t="str">
        <f t="shared" si="40"/>
        <v/>
      </c>
      <c r="DU55" s="130" t="str">
        <f t="shared" si="40"/>
        <v/>
      </c>
      <c r="DV55" s="130" t="str">
        <f t="shared" si="40"/>
        <v/>
      </c>
      <c r="DW55" s="130" t="str">
        <f t="shared" si="40"/>
        <v/>
      </c>
      <c r="DX55" s="130" t="str">
        <f t="shared" si="40"/>
        <v/>
      </c>
      <c r="DY55" s="130" t="str">
        <f t="shared" si="40"/>
        <v/>
      </c>
      <c r="DZ55" s="130" t="str">
        <f t="shared" si="40"/>
        <v/>
      </c>
      <c r="EA55" s="130" t="str">
        <f t="shared" si="40"/>
        <v/>
      </c>
      <c r="EB55" s="130" t="str">
        <f t="shared" si="40"/>
        <v/>
      </c>
      <c r="EC55" s="130" t="str">
        <f t="shared" si="40"/>
        <v/>
      </c>
      <c r="ED55" s="130" t="str">
        <f t="shared" ref="ED55:GO55" si="41">IF(SUM(ED23:ED53)=0,"",SUM(ED23:ED53))</f>
        <v/>
      </c>
      <c r="EE55" s="130" t="str">
        <f t="shared" si="41"/>
        <v/>
      </c>
      <c r="EF55" s="130" t="str">
        <f t="shared" si="41"/>
        <v/>
      </c>
      <c r="EG55" s="130" t="str">
        <f t="shared" si="41"/>
        <v/>
      </c>
      <c r="EH55" s="130" t="str">
        <f t="shared" si="41"/>
        <v/>
      </c>
      <c r="EI55" s="130" t="str">
        <f t="shared" si="41"/>
        <v/>
      </c>
      <c r="EJ55" s="130" t="str">
        <f t="shared" si="41"/>
        <v/>
      </c>
      <c r="EK55" s="130" t="str">
        <f t="shared" si="41"/>
        <v/>
      </c>
      <c r="EL55" s="130" t="str">
        <f t="shared" si="41"/>
        <v/>
      </c>
      <c r="EM55" s="130" t="str">
        <f t="shared" si="41"/>
        <v/>
      </c>
      <c r="EN55" s="130" t="str">
        <f t="shared" si="41"/>
        <v/>
      </c>
      <c r="EO55" s="130" t="str">
        <f t="shared" si="41"/>
        <v/>
      </c>
      <c r="EP55" s="130" t="str">
        <f t="shared" si="41"/>
        <v/>
      </c>
      <c r="EQ55" s="130" t="str">
        <f t="shared" si="41"/>
        <v/>
      </c>
      <c r="ER55" s="130" t="str">
        <f t="shared" si="41"/>
        <v/>
      </c>
      <c r="ES55" s="130" t="str">
        <f t="shared" si="41"/>
        <v/>
      </c>
      <c r="ET55" s="130" t="str">
        <f t="shared" si="41"/>
        <v/>
      </c>
      <c r="EU55" s="130" t="str">
        <f t="shared" si="41"/>
        <v/>
      </c>
      <c r="EV55" s="130" t="str">
        <f t="shared" si="41"/>
        <v/>
      </c>
      <c r="EW55" s="130" t="str">
        <f t="shared" si="41"/>
        <v/>
      </c>
      <c r="EX55" s="130" t="str">
        <f t="shared" si="41"/>
        <v/>
      </c>
      <c r="EY55" s="130" t="str">
        <f t="shared" si="41"/>
        <v/>
      </c>
      <c r="EZ55" s="130" t="str">
        <f t="shared" si="41"/>
        <v/>
      </c>
      <c r="FA55" s="130" t="str">
        <f t="shared" si="41"/>
        <v/>
      </c>
      <c r="FB55" s="130" t="str">
        <f t="shared" si="41"/>
        <v/>
      </c>
      <c r="FC55" s="130" t="str">
        <f t="shared" si="41"/>
        <v/>
      </c>
      <c r="FD55" s="130" t="str">
        <f t="shared" si="41"/>
        <v/>
      </c>
      <c r="FE55" s="130" t="str">
        <f t="shared" si="41"/>
        <v/>
      </c>
      <c r="FF55" s="130" t="str">
        <f t="shared" si="41"/>
        <v/>
      </c>
      <c r="FG55" s="130" t="str">
        <f t="shared" si="41"/>
        <v/>
      </c>
      <c r="FH55" s="130" t="str">
        <f t="shared" si="41"/>
        <v/>
      </c>
      <c r="FI55" s="130" t="str">
        <f t="shared" si="41"/>
        <v/>
      </c>
      <c r="FJ55" s="130" t="str">
        <f t="shared" si="41"/>
        <v/>
      </c>
      <c r="FK55" s="130" t="str">
        <f t="shared" si="41"/>
        <v/>
      </c>
      <c r="FL55" s="130" t="str">
        <f t="shared" si="41"/>
        <v/>
      </c>
      <c r="FM55" s="130" t="str">
        <f t="shared" si="41"/>
        <v/>
      </c>
      <c r="FN55" s="130" t="str">
        <f t="shared" si="41"/>
        <v/>
      </c>
      <c r="FO55" s="130" t="str">
        <f t="shared" si="41"/>
        <v/>
      </c>
      <c r="FP55" s="130" t="str">
        <f t="shared" si="41"/>
        <v/>
      </c>
      <c r="FQ55" s="130" t="str">
        <f t="shared" si="41"/>
        <v/>
      </c>
      <c r="FR55" s="130" t="str">
        <f t="shared" si="41"/>
        <v/>
      </c>
      <c r="FS55" s="130" t="str">
        <f t="shared" si="41"/>
        <v/>
      </c>
      <c r="FT55" s="130" t="str">
        <f t="shared" si="41"/>
        <v/>
      </c>
      <c r="FU55" s="130" t="str">
        <f t="shared" si="41"/>
        <v/>
      </c>
      <c r="FV55" s="130" t="str">
        <f t="shared" si="41"/>
        <v/>
      </c>
      <c r="FW55" s="130" t="str">
        <f t="shared" si="41"/>
        <v/>
      </c>
      <c r="FX55" s="130" t="str">
        <f t="shared" si="41"/>
        <v/>
      </c>
      <c r="FY55" s="130" t="str">
        <f t="shared" si="41"/>
        <v/>
      </c>
      <c r="FZ55" s="130" t="str">
        <f t="shared" si="41"/>
        <v/>
      </c>
      <c r="GA55" s="130" t="str">
        <f t="shared" si="41"/>
        <v/>
      </c>
      <c r="GB55" s="130" t="str">
        <f t="shared" si="41"/>
        <v/>
      </c>
      <c r="GC55" s="130" t="str">
        <f t="shared" si="41"/>
        <v/>
      </c>
      <c r="GD55" s="130" t="str">
        <f t="shared" si="41"/>
        <v/>
      </c>
      <c r="GE55" s="130" t="str">
        <f t="shared" si="41"/>
        <v/>
      </c>
      <c r="GF55" s="130" t="str">
        <f t="shared" si="41"/>
        <v/>
      </c>
      <c r="GG55" s="130" t="str">
        <f t="shared" si="41"/>
        <v/>
      </c>
      <c r="GH55" s="130" t="str">
        <f t="shared" si="41"/>
        <v/>
      </c>
      <c r="GI55" s="130" t="str">
        <f t="shared" si="41"/>
        <v/>
      </c>
      <c r="GJ55" s="130" t="str">
        <f t="shared" si="41"/>
        <v/>
      </c>
      <c r="GK55" s="130" t="str">
        <f t="shared" si="41"/>
        <v/>
      </c>
      <c r="GL55" s="130" t="str">
        <f t="shared" si="41"/>
        <v/>
      </c>
      <c r="GM55" s="130" t="str">
        <f t="shared" si="41"/>
        <v/>
      </c>
      <c r="GN55" s="130" t="str">
        <f t="shared" si="41"/>
        <v/>
      </c>
      <c r="GO55" s="130" t="str">
        <f t="shared" si="41"/>
        <v/>
      </c>
      <c r="GP55" s="130" t="str">
        <f t="shared" ref="GP55:JA55" si="42">IF(SUM(GP23:GP53)=0,"",SUM(GP23:GP53))</f>
        <v/>
      </c>
      <c r="GQ55" s="130" t="str">
        <f t="shared" si="42"/>
        <v/>
      </c>
      <c r="GR55" s="130" t="str">
        <f t="shared" si="42"/>
        <v/>
      </c>
      <c r="GS55" s="130" t="str">
        <f t="shared" si="42"/>
        <v/>
      </c>
      <c r="GT55" s="130" t="str">
        <f t="shared" si="42"/>
        <v/>
      </c>
      <c r="GU55" s="130" t="str">
        <f t="shared" si="42"/>
        <v/>
      </c>
      <c r="GV55" s="130" t="str">
        <f t="shared" si="42"/>
        <v/>
      </c>
      <c r="GW55" s="130" t="str">
        <f t="shared" si="42"/>
        <v/>
      </c>
      <c r="GX55" s="130" t="str">
        <f t="shared" si="42"/>
        <v/>
      </c>
      <c r="GY55" s="130" t="str">
        <f t="shared" si="42"/>
        <v/>
      </c>
      <c r="GZ55" s="130" t="str">
        <f t="shared" si="42"/>
        <v/>
      </c>
      <c r="HA55" s="130" t="str">
        <f t="shared" si="42"/>
        <v/>
      </c>
      <c r="HB55" s="130" t="str">
        <f t="shared" si="42"/>
        <v/>
      </c>
      <c r="HC55" s="130" t="str">
        <f t="shared" si="42"/>
        <v/>
      </c>
      <c r="HD55" s="130" t="str">
        <f t="shared" si="42"/>
        <v/>
      </c>
      <c r="HE55" s="130" t="str">
        <f t="shared" si="42"/>
        <v/>
      </c>
      <c r="HF55" s="130" t="str">
        <f t="shared" si="42"/>
        <v/>
      </c>
      <c r="HG55" s="130" t="str">
        <f t="shared" si="42"/>
        <v/>
      </c>
      <c r="HH55" s="130" t="str">
        <f t="shared" si="42"/>
        <v/>
      </c>
      <c r="HI55" s="130" t="str">
        <f t="shared" si="42"/>
        <v/>
      </c>
      <c r="HJ55" s="130" t="str">
        <f t="shared" si="42"/>
        <v/>
      </c>
      <c r="HK55" s="130" t="str">
        <f t="shared" si="42"/>
        <v/>
      </c>
      <c r="HL55" s="130" t="str">
        <f t="shared" si="42"/>
        <v/>
      </c>
      <c r="HM55" s="130" t="str">
        <f t="shared" si="42"/>
        <v/>
      </c>
      <c r="HN55" s="130" t="str">
        <f t="shared" si="42"/>
        <v/>
      </c>
      <c r="HO55" s="130" t="str">
        <f t="shared" si="42"/>
        <v/>
      </c>
      <c r="HP55" s="130" t="str">
        <f t="shared" si="42"/>
        <v/>
      </c>
      <c r="HQ55" s="130" t="str">
        <f t="shared" si="42"/>
        <v/>
      </c>
      <c r="HR55" s="130" t="str">
        <f t="shared" si="42"/>
        <v/>
      </c>
      <c r="HS55" s="130" t="str">
        <f t="shared" si="42"/>
        <v/>
      </c>
      <c r="HT55" s="130" t="str">
        <f t="shared" si="42"/>
        <v/>
      </c>
      <c r="HU55" s="130" t="str">
        <f t="shared" si="42"/>
        <v/>
      </c>
      <c r="HV55" s="130" t="str">
        <f t="shared" si="42"/>
        <v/>
      </c>
      <c r="HW55" s="130" t="str">
        <f t="shared" si="42"/>
        <v/>
      </c>
      <c r="HX55" s="130" t="str">
        <f t="shared" si="42"/>
        <v/>
      </c>
      <c r="HY55" s="130" t="str">
        <f t="shared" si="42"/>
        <v/>
      </c>
      <c r="HZ55" s="130" t="str">
        <f t="shared" si="42"/>
        <v/>
      </c>
      <c r="IA55" s="130" t="str">
        <f t="shared" si="42"/>
        <v/>
      </c>
      <c r="IB55" s="130" t="str">
        <f t="shared" si="42"/>
        <v/>
      </c>
      <c r="IC55" s="130" t="str">
        <f t="shared" si="42"/>
        <v/>
      </c>
      <c r="ID55" s="130" t="str">
        <f t="shared" si="42"/>
        <v/>
      </c>
      <c r="IE55" s="130" t="str">
        <f t="shared" si="42"/>
        <v/>
      </c>
      <c r="IF55" s="130" t="str">
        <f t="shared" si="42"/>
        <v/>
      </c>
      <c r="IG55" s="130" t="str">
        <f t="shared" si="42"/>
        <v/>
      </c>
      <c r="IH55" s="130" t="str">
        <f t="shared" si="42"/>
        <v/>
      </c>
      <c r="II55" s="130" t="str">
        <f t="shared" si="42"/>
        <v/>
      </c>
      <c r="IJ55" s="130" t="str">
        <f t="shared" si="42"/>
        <v/>
      </c>
      <c r="IK55" s="130" t="str">
        <f t="shared" si="42"/>
        <v/>
      </c>
      <c r="IL55" s="130" t="str">
        <f t="shared" si="42"/>
        <v/>
      </c>
      <c r="IM55" s="130" t="str">
        <f t="shared" si="42"/>
        <v/>
      </c>
      <c r="IN55" s="130" t="str">
        <f t="shared" si="42"/>
        <v/>
      </c>
      <c r="IO55" s="130" t="str">
        <f t="shared" si="42"/>
        <v/>
      </c>
      <c r="IP55" s="130" t="str">
        <f t="shared" si="42"/>
        <v/>
      </c>
      <c r="IQ55" s="130" t="str">
        <f t="shared" si="42"/>
        <v/>
      </c>
      <c r="IR55" s="130" t="str">
        <f t="shared" si="42"/>
        <v/>
      </c>
      <c r="IS55" s="130" t="str">
        <f t="shared" si="42"/>
        <v/>
      </c>
      <c r="IT55" s="130" t="str">
        <f t="shared" si="42"/>
        <v/>
      </c>
      <c r="IU55" s="130" t="str">
        <f t="shared" si="42"/>
        <v/>
      </c>
      <c r="IV55" s="130" t="str">
        <f t="shared" si="42"/>
        <v/>
      </c>
      <c r="IW55" s="130" t="str">
        <f t="shared" si="42"/>
        <v/>
      </c>
      <c r="IX55" s="130" t="str">
        <f t="shared" si="42"/>
        <v/>
      </c>
      <c r="IY55" s="130" t="str">
        <f t="shared" si="42"/>
        <v/>
      </c>
      <c r="IZ55" s="130" t="str">
        <f t="shared" si="42"/>
        <v/>
      </c>
      <c r="JA55" s="130" t="str">
        <f t="shared" si="42"/>
        <v/>
      </c>
      <c r="JB55" s="130" t="str">
        <f t="shared" ref="JB55:LM55" si="43">IF(SUM(JB23:JB53)=0,"",SUM(JB23:JB53))</f>
        <v/>
      </c>
      <c r="JC55" s="130" t="str">
        <f t="shared" si="43"/>
        <v/>
      </c>
      <c r="JD55" s="130" t="str">
        <f t="shared" si="43"/>
        <v/>
      </c>
      <c r="JE55" s="130" t="str">
        <f t="shared" si="43"/>
        <v/>
      </c>
      <c r="JF55" s="130" t="str">
        <f t="shared" si="43"/>
        <v/>
      </c>
      <c r="JG55" s="130" t="str">
        <f t="shared" si="43"/>
        <v/>
      </c>
      <c r="JH55" s="130" t="str">
        <f t="shared" si="43"/>
        <v/>
      </c>
      <c r="JI55" s="130" t="str">
        <f t="shared" si="43"/>
        <v/>
      </c>
      <c r="JJ55" s="130" t="str">
        <f t="shared" si="43"/>
        <v/>
      </c>
      <c r="JK55" s="130" t="str">
        <f t="shared" si="43"/>
        <v/>
      </c>
      <c r="JL55" s="130" t="str">
        <f t="shared" si="43"/>
        <v/>
      </c>
      <c r="JM55" s="130" t="str">
        <f t="shared" si="43"/>
        <v/>
      </c>
      <c r="JN55" s="130" t="str">
        <f t="shared" si="43"/>
        <v/>
      </c>
      <c r="JO55" s="130" t="str">
        <f t="shared" si="43"/>
        <v/>
      </c>
      <c r="JP55" s="130" t="str">
        <f t="shared" si="43"/>
        <v/>
      </c>
      <c r="JQ55" s="130" t="str">
        <f t="shared" si="43"/>
        <v/>
      </c>
      <c r="JR55" s="130" t="str">
        <f t="shared" si="43"/>
        <v/>
      </c>
      <c r="JS55" s="130" t="str">
        <f t="shared" si="43"/>
        <v/>
      </c>
      <c r="JT55" s="130" t="str">
        <f t="shared" si="43"/>
        <v/>
      </c>
      <c r="JU55" s="130" t="str">
        <f t="shared" si="43"/>
        <v/>
      </c>
      <c r="JV55" s="130" t="str">
        <f t="shared" si="43"/>
        <v/>
      </c>
      <c r="JW55" s="130" t="str">
        <f t="shared" si="43"/>
        <v/>
      </c>
      <c r="JX55" s="130" t="str">
        <f t="shared" si="43"/>
        <v/>
      </c>
      <c r="JY55" s="130" t="str">
        <f t="shared" si="43"/>
        <v/>
      </c>
      <c r="JZ55" s="130" t="str">
        <f t="shared" si="43"/>
        <v/>
      </c>
      <c r="KA55" s="130" t="str">
        <f t="shared" si="43"/>
        <v/>
      </c>
      <c r="KB55" s="130" t="str">
        <f t="shared" si="43"/>
        <v/>
      </c>
      <c r="KC55" s="130" t="str">
        <f t="shared" si="43"/>
        <v/>
      </c>
      <c r="KD55" s="130" t="str">
        <f t="shared" si="43"/>
        <v/>
      </c>
      <c r="KE55" s="130" t="str">
        <f t="shared" si="43"/>
        <v/>
      </c>
      <c r="KF55" s="130" t="str">
        <f t="shared" si="43"/>
        <v/>
      </c>
      <c r="KG55" s="130" t="str">
        <f t="shared" si="43"/>
        <v/>
      </c>
      <c r="KH55" s="130" t="str">
        <f t="shared" si="43"/>
        <v/>
      </c>
      <c r="KI55" s="130" t="str">
        <f t="shared" si="43"/>
        <v/>
      </c>
      <c r="KJ55" s="130" t="str">
        <f t="shared" si="43"/>
        <v/>
      </c>
      <c r="KK55" s="130" t="str">
        <f t="shared" si="43"/>
        <v/>
      </c>
      <c r="KL55" s="130" t="str">
        <f t="shared" si="43"/>
        <v/>
      </c>
      <c r="KM55" s="130" t="str">
        <f t="shared" si="43"/>
        <v/>
      </c>
      <c r="KN55" s="130" t="str">
        <f t="shared" si="43"/>
        <v/>
      </c>
      <c r="KO55" s="130" t="str">
        <f t="shared" si="43"/>
        <v/>
      </c>
      <c r="KP55" s="130" t="str">
        <f t="shared" si="43"/>
        <v/>
      </c>
      <c r="KQ55" s="130" t="str">
        <f t="shared" si="43"/>
        <v/>
      </c>
      <c r="KR55" s="130" t="str">
        <f t="shared" si="43"/>
        <v/>
      </c>
      <c r="KS55" s="130" t="str">
        <f t="shared" si="43"/>
        <v/>
      </c>
      <c r="KT55" s="130" t="str">
        <f t="shared" si="43"/>
        <v/>
      </c>
      <c r="KU55" s="130" t="str">
        <f t="shared" si="43"/>
        <v/>
      </c>
      <c r="KV55" s="130" t="str">
        <f t="shared" si="43"/>
        <v/>
      </c>
      <c r="KW55" s="130" t="str">
        <f t="shared" si="43"/>
        <v/>
      </c>
      <c r="KX55" s="130" t="str">
        <f t="shared" si="43"/>
        <v/>
      </c>
      <c r="KY55" s="130" t="str">
        <f t="shared" si="43"/>
        <v/>
      </c>
      <c r="KZ55" s="130" t="str">
        <f t="shared" si="43"/>
        <v/>
      </c>
      <c r="LA55" s="130" t="str">
        <f t="shared" si="43"/>
        <v/>
      </c>
      <c r="LB55" s="130" t="str">
        <f t="shared" si="43"/>
        <v/>
      </c>
      <c r="LC55" s="130" t="str">
        <f t="shared" si="43"/>
        <v/>
      </c>
      <c r="LD55" s="130" t="str">
        <f t="shared" si="43"/>
        <v/>
      </c>
      <c r="LE55" s="130" t="str">
        <f t="shared" si="43"/>
        <v/>
      </c>
      <c r="LF55" s="130" t="str">
        <f t="shared" si="43"/>
        <v/>
      </c>
      <c r="LG55" s="130" t="str">
        <f t="shared" si="43"/>
        <v/>
      </c>
      <c r="LH55" s="130" t="str">
        <f t="shared" si="43"/>
        <v/>
      </c>
      <c r="LI55" s="130" t="str">
        <f t="shared" si="43"/>
        <v/>
      </c>
      <c r="LJ55" s="130" t="str">
        <f t="shared" si="43"/>
        <v/>
      </c>
      <c r="LK55" s="130" t="str">
        <f t="shared" si="43"/>
        <v/>
      </c>
      <c r="LL55" s="130" t="str">
        <f t="shared" si="43"/>
        <v/>
      </c>
      <c r="LM55" s="130" t="str">
        <f t="shared" si="43"/>
        <v/>
      </c>
      <c r="LN55" s="130" t="str">
        <f t="shared" ref="LN55:NY55" si="44">IF(SUM(LN23:LN53)=0,"",SUM(LN23:LN53))</f>
        <v/>
      </c>
      <c r="LO55" s="130" t="str">
        <f t="shared" si="44"/>
        <v/>
      </c>
      <c r="LP55" s="130" t="str">
        <f t="shared" si="44"/>
        <v/>
      </c>
      <c r="LQ55" s="130" t="str">
        <f t="shared" si="44"/>
        <v/>
      </c>
      <c r="LR55" s="130" t="str">
        <f t="shared" si="44"/>
        <v/>
      </c>
      <c r="LS55" s="130" t="str">
        <f t="shared" si="44"/>
        <v/>
      </c>
      <c r="LT55" s="130" t="str">
        <f t="shared" si="44"/>
        <v/>
      </c>
      <c r="LU55" s="130" t="str">
        <f t="shared" si="44"/>
        <v/>
      </c>
      <c r="LV55" s="130" t="str">
        <f t="shared" si="44"/>
        <v/>
      </c>
      <c r="LW55" s="130" t="str">
        <f t="shared" si="44"/>
        <v/>
      </c>
      <c r="LX55" s="130" t="str">
        <f t="shared" si="44"/>
        <v/>
      </c>
      <c r="LY55" s="130" t="str">
        <f t="shared" si="44"/>
        <v/>
      </c>
      <c r="LZ55" s="130" t="str">
        <f t="shared" si="44"/>
        <v/>
      </c>
      <c r="MA55" s="130" t="str">
        <f t="shared" si="44"/>
        <v/>
      </c>
      <c r="MB55" s="130" t="str">
        <f t="shared" si="44"/>
        <v/>
      </c>
      <c r="MC55" s="130" t="str">
        <f t="shared" si="44"/>
        <v/>
      </c>
      <c r="MD55" s="130" t="str">
        <f t="shared" si="44"/>
        <v/>
      </c>
      <c r="ME55" s="130" t="str">
        <f t="shared" si="44"/>
        <v/>
      </c>
      <c r="MF55" s="130" t="str">
        <f t="shared" si="44"/>
        <v/>
      </c>
      <c r="MG55" s="130" t="str">
        <f t="shared" si="44"/>
        <v/>
      </c>
      <c r="MH55" s="130" t="str">
        <f t="shared" si="44"/>
        <v/>
      </c>
      <c r="MI55" s="130" t="str">
        <f t="shared" si="44"/>
        <v/>
      </c>
      <c r="MJ55" s="130" t="str">
        <f t="shared" si="44"/>
        <v/>
      </c>
      <c r="MK55" s="130" t="str">
        <f t="shared" si="44"/>
        <v/>
      </c>
      <c r="ML55" s="130" t="str">
        <f t="shared" si="44"/>
        <v/>
      </c>
      <c r="MM55" s="130" t="str">
        <f t="shared" si="44"/>
        <v/>
      </c>
      <c r="MN55" s="130" t="str">
        <f t="shared" si="44"/>
        <v/>
      </c>
      <c r="MO55" s="130" t="str">
        <f t="shared" si="44"/>
        <v/>
      </c>
      <c r="MP55" s="130" t="str">
        <f t="shared" si="44"/>
        <v/>
      </c>
      <c r="MQ55" s="130" t="str">
        <f t="shared" si="44"/>
        <v/>
      </c>
      <c r="MR55" s="130" t="str">
        <f t="shared" si="44"/>
        <v/>
      </c>
      <c r="MS55" s="130" t="str">
        <f t="shared" si="44"/>
        <v/>
      </c>
      <c r="MT55" s="130" t="str">
        <f t="shared" si="44"/>
        <v/>
      </c>
      <c r="MU55" s="130" t="str">
        <f t="shared" si="44"/>
        <v/>
      </c>
      <c r="MV55" s="130" t="str">
        <f t="shared" si="44"/>
        <v/>
      </c>
      <c r="MW55" s="130" t="str">
        <f t="shared" si="44"/>
        <v/>
      </c>
      <c r="MX55" s="130" t="str">
        <f t="shared" si="44"/>
        <v/>
      </c>
      <c r="MY55" s="130" t="str">
        <f t="shared" si="44"/>
        <v/>
      </c>
      <c r="MZ55" s="130" t="str">
        <f t="shared" si="44"/>
        <v/>
      </c>
      <c r="NA55" s="130" t="str">
        <f t="shared" si="44"/>
        <v/>
      </c>
      <c r="NB55" s="130" t="str">
        <f t="shared" si="44"/>
        <v/>
      </c>
      <c r="NC55" s="130" t="str">
        <f t="shared" si="44"/>
        <v/>
      </c>
      <c r="ND55" s="130" t="str">
        <f t="shared" si="44"/>
        <v/>
      </c>
      <c r="NE55" s="130" t="str">
        <f t="shared" si="44"/>
        <v/>
      </c>
      <c r="NF55" s="130" t="str">
        <f t="shared" si="44"/>
        <v/>
      </c>
      <c r="NG55" s="130" t="str">
        <f t="shared" si="44"/>
        <v/>
      </c>
      <c r="NH55" s="130" t="str">
        <f t="shared" si="44"/>
        <v/>
      </c>
      <c r="NI55" s="130" t="str">
        <f t="shared" si="44"/>
        <v/>
      </c>
      <c r="NJ55" s="130" t="str">
        <f t="shared" si="44"/>
        <v/>
      </c>
      <c r="NK55" s="130" t="str">
        <f t="shared" si="44"/>
        <v/>
      </c>
      <c r="NL55" s="130" t="str">
        <f t="shared" si="44"/>
        <v/>
      </c>
      <c r="NM55" s="130" t="str">
        <f t="shared" si="44"/>
        <v/>
      </c>
      <c r="NN55" s="130" t="str">
        <f t="shared" si="44"/>
        <v/>
      </c>
      <c r="NO55" s="130" t="str">
        <f t="shared" si="44"/>
        <v/>
      </c>
      <c r="NP55" s="130" t="str">
        <f t="shared" si="44"/>
        <v/>
      </c>
      <c r="NQ55" s="130" t="str">
        <f t="shared" si="44"/>
        <v/>
      </c>
      <c r="NR55" s="130" t="str">
        <f t="shared" si="44"/>
        <v/>
      </c>
      <c r="NS55" s="130" t="str">
        <f t="shared" si="44"/>
        <v/>
      </c>
      <c r="NT55" s="130" t="str">
        <f t="shared" si="44"/>
        <v/>
      </c>
      <c r="NU55" s="130" t="str">
        <f t="shared" si="44"/>
        <v/>
      </c>
      <c r="NV55" s="130" t="str">
        <f t="shared" si="44"/>
        <v/>
      </c>
      <c r="NW55" s="130" t="str">
        <f t="shared" si="44"/>
        <v/>
      </c>
      <c r="NX55" s="130" t="str">
        <f t="shared" si="44"/>
        <v/>
      </c>
      <c r="NY55" s="130" t="str">
        <f t="shared" si="44"/>
        <v/>
      </c>
      <c r="NZ55" s="130" t="str">
        <f t="shared" ref="NZ55:QK55" si="45">IF(SUM(NZ23:NZ53)=0,"",SUM(NZ23:NZ53))</f>
        <v/>
      </c>
      <c r="OA55" s="130" t="str">
        <f t="shared" si="45"/>
        <v/>
      </c>
      <c r="OB55" s="130" t="str">
        <f t="shared" si="45"/>
        <v/>
      </c>
      <c r="OC55" s="130" t="str">
        <f t="shared" si="45"/>
        <v/>
      </c>
      <c r="OD55" s="130" t="str">
        <f t="shared" si="45"/>
        <v/>
      </c>
      <c r="OE55" s="130" t="str">
        <f t="shared" si="45"/>
        <v/>
      </c>
      <c r="OF55" s="130" t="str">
        <f t="shared" si="45"/>
        <v/>
      </c>
      <c r="OG55" s="130" t="str">
        <f t="shared" si="45"/>
        <v/>
      </c>
      <c r="OH55" s="130" t="str">
        <f t="shared" si="45"/>
        <v/>
      </c>
      <c r="OI55" s="130" t="str">
        <f t="shared" si="45"/>
        <v/>
      </c>
      <c r="OJ55" s="130" t="str">
        <f t="shared" si="45"/>
        <v/>
      </c>
      <c r="OK55" s="130" t="str">
        <f t="shared" si="45"/>
        <v/>
      </c>
      <c r="OL55" s="130" t="str">
        <f t="shared" si="45"/>
        <v/>
      </c>
      <c r="OM55" s="130" t="str">
        <f t="shared" si="45"/>
        <v/>
      </c>
      <c r="ON55" s="130" t="str">
        <f t="shared" si="45"/>
        <v/>
      </c>
      <c r="OO55" s="130" t="str">
        <f t="shared" si="45"/>
        <v/>
      </c>
      <c r="OP55" s="130" t="str">
        <f t="shared" si="45"/>
        <v/>
      </c>
      <c r="OQ55" s="130" t="str">
        <f t="shared" si="45"/>
        <v/>
      </c>
      <c r="OR55" s="130" t="str">
        <f t="shared" si="45"/>
        <v/>
      </c>
      <c r="OS55" s="130" t="str">
        <f t="shared" si="45"/>
        <v/>
      </c>
      <c r="OT55" s="130" t="str">
        <f t="shared" si="45"/>
        <v/>
      </c>
      <c r="OU55" s="130" t="str">
        <f t="shared" si="45"/>
        <v/>
      </c>
      <c r="OV55" s="130" t="str">
        <f t="shared" si="45"/>
        <v/>
      </c>
      <c r="OW55" s="130" t="str">
        <f t="shared" si="45"/>
        <v/>
      </c>
      <c r="OX55" s="130" t="str">
        <f t="shared" si="45"/>
        <v/>
      </c>
      <c r="OY55" s="130" t="str">
        <f t="shared" si="45"/>
        <v/>
      </c>
      <c r="OZ55" s="130" t="str">
        <f t="shared" si="45"/>
        <v/>
      </c>
      <c r="PA55" s="130" t="str">
        <f t="shared" si="45"/>
        <v/>
      </c>
      <c r="PB55" s="130" t="str">
        <f t="shared" si="45"/>
        <v/>
      </c>
      <c r="PC55" s="130" t="str">
        <f t="shared" si="45"/>
        <v/>
      </c>
      <c r="PD55" s="130" t="str">
        <f t="shared" si="45"/>
        <v/>
      </c>
      <c r="PE55" s="130" t="str">
        <f t="shared" si="45"/>
        <v/>
      </c>
      <c r="PF55" s="130" t="str">
        <f t="shared" si="45"/>
        <v/>
      </c>
      <c r="PG55" s="130" t="str">
        <f t="shared" si="45"/>
        <v/>
      </c>
      <c r="PH55" s="130" t="str">
        <f t="shared" si="45"/>
        <v/>
      </c>
      <c r="PI55" s="130" t="str">
        <f t="shared" si="45"/>
        <v/>
      </c>
      <c r="PJ55" s="130" t="str">
        <f t="shared" si="45"/>
        <v/>
      </c>
      <c r="PK55" s="130" t="str">
        <f t="shared" si="45"/>
        <v/>
      </c>
      <c r="PL55" s="130" t="str">
        <f t="shared" si="45"/>
        <v/>
      </c>
      <c r="PM55" s="130" t="str">
        <f t="shared" si="45"/>
        <v/>
      </c>
      <c r="PN55" s="130" t="str">
        <f t="shared" si="45"/>
        <v/>
      </c>
      <c r="PO55" s="130" t="str">
        <f t="shared" si="45"/>
        <v/>
      </c>
      <c r="PP55" s="130" t="str">
        <f t="shared" si="45"/>
        <v/>
      </c>
      <c r="PQ55" s="130" t="str">
        <f t="shared" si="45"/>
        <v/>
      </c>
      <c r="PR55" s="130" t="str">
        <f t="shared" si="45"/>
        <v/>
      </c>
      <c r="PS55" s="130" t="str">
        <f t="shared" si="45"/>
        <v/>
      </c>
      <c r="PT55" s="130" t="str">
        <f t="shared" si="45"/>
        <v/>
      </c>
      <c r="PU55" s="130" t="str">
        <f t="shared" si="45"/>
        <v/>
      </c>
      <c r="PV55" s="130" t="str">
        <f t="shared" si="45"/>
        <v/>
      </c>
      <c r="PW55" s="130" t="str">
        <f t="shared" si="45"/>
        <v/>
      </c>
      <c r="PX55" s="130" t="str">
        <f t="shared" si="45"/>
        <v/>
      </c>
      <c r="PY55" s="130" t="str">
        <f t="shared" si="45"/>
        <v/>
      </c>
      <c r="PZ55" s="130" t="str">
        <f t="shared" si="45"/>
        <v/>
      </c>
      <c r="QA55" s="130" t="str">
        <f t="shared" si="45"/>
        <v/>
      </c>
      <c r="QB55" s="130" t="str">
        <f t="shared" si="45"/>
        <v/>
      </c>
      <c r="QC55" s="130" t="str">
        <f t="shared" si="45"/>
        <v/>
      </c>
      <c r="QD55" s="130" t="str">
        <f t="shared" si="45"/>
        <v/>
      </c>
      <c r="QE55" s="130" t="str">
        <f t="shared" si="45"/>
        <v/>
      </c>
      <c r="QF55" s="130" t="str">
        <f t="shared" si="45"/>
        <v/>
      </c>
      <c r="QG55" s="130" t="str">
        <f t="shared" si="45"/>
        <v/>
      </c>
      <c r="QH55" s="130" t="str">
        <f t="shared" si="45"/>
        <v/>
      </c>
      <c r="QI55" s="130" t="str">
        <f t="shared" si="45"/>
        <v/>
      </c>
      <c r="QJ55" s="130" t="str">
        <f t="shared" si="45"/>
        <v/>
      </c>
      <c r="QK55" s="130" t="str">
        <f t="shared" si="45"/>
        <v/>
      </c>
      <c r="QL55" s="130" t="str">
        <f t="shared" ref="QL55:SW55" si="46">IF(SUM(QL23:QL53)=0,"",SUM(QL23:QL53))</f>
        <v/>
      </c>
      <c r="QM55" s="130" t="str">
        <f t="shared" si="46"/>
        <v/>
      </c>
      <c r="QN55" s="130" t="str">
        <f t="shared" si="46"/>
        <v/>
      </c>
      <c r="QO55" s="130" t="str">
        <f t="shared" si="46"/>
        <v/>
      </c>
      <c r="QP55" s="130" t="str">
        <f t="shared" si="46"/>
        <v/>
      </c>
      <c r="QQ55" s="130" t="str">
        <f t="shared" si="46"/>
        <v/>
      </c>
      <c r="QR55" s="130" t="str">
        <f t="shared" si="46"/>
        <v/>
      </c>
      <c r="QS55" s="130" t="str">
        <f t="shared" si="46"/>
        <v/>
      </c>
      <c r="QT55" s="130" t="str">
        <f t="shared" si="46"/>
        <v/>
      </c>
      <c r="QU55" s="130" t="str">
        <f t="shared" si="46"/>
        <v/>
      </c>
      <c r="QV55" s="130" t="str">
        <f t="shared" si="46"/>
        <v/>
      </c>
      <c r="QW55" s="130" t="str">
        <f t="shared" si="46"/>
        <v/>
      </c>
      <c r="QX55" s="130" t="str">
        <f t="shared" si="46"/>
        <v/>
      </c>
      <c r="QY55" s="130" t="str">
        <f t="shared" si="46"/>
        <v/>
      </c>
      <c r="QZ55" s="130" t="str">
        <f t="shared" si="46"/>
        <v/>
      </c>
      <c r="RA55" s="130" t="str">
        <f t="shared" si="46"/>
        <v/>
      </c>
      <c r="RB55" s="130" t="str">
        <f t="shared" si="46"/>
        <v/>
      </c>
      <c r="RC55" s="130" t="str">
        <f t="shared" si="46"/>
        <v/>
      </c>
      <c r="RD55" s="130" t="str">
        <f t="shared" si="46"/>
        <v/>
      </c>
      <c r="RE55" s="130" t="str">
        <f t="shared" si="46"/>
        <v/>
      </c>
      <c r="RF55" s="130" t="str">
        <f t="shared" si="46"/>
        <v/>
      </c>
      <c r="RG55" s="130" t="str">
        <f t="shared" si="46"/>
        <v/>
      </c>
      <c r="RH55" s="130" t="str">
        <f t="shared" si="46"/>
        <v/>
      </c>
      <c r="RI55" s="130" t="str">
        <f t="shared" si="46"/>
        <v/>
      </c>
      <c r="RJ55" s="130" t="str">
        <f t="shared" si="46"/>
        <v/>
      </c>
      <c r="RK55" s="130" t="str">
        <f t="shared" si="46"/>
        <v/>
      </c>
      <c r="RL55" s="130" t="str">
        <f t="shared" si="46"/>
        <v/>
      </c>
      <c r="RM55" s="130" t="str">
        <f t="shared" si="46"/>
        <v/>
      </c>
      <c r="RN55" s="130" t="str">
        <f t="shared" si="46"/>
        <v/>
      </c>
      <c r="RO55" s="130" t="str">
        <f t="shared" si="46"/>
        <v/>
      </c>
      <c r="RP55" s="130" t="str">
        <f t="shared" si="46"/>
        <v/>
      </c>
      <c r="RQ55" s="130" t="str">
        <f t="shared" si="46"/>
        <v/>
      </c>
      <c r="RR55" s="130" t="str">
        <f t="shared" si="46"/>
        <v/>
      </c>
      <c r="RS55" s="130" t="str">
        <f t="shared" si="46"/>
        <v/>
      </c>
      <c r="RT55" s="130" t="str">
        <f t="shared" si="46"/>
        <v/>
      </c>
      <c r="RU55" s="130" t="str">
        <f t="shared" si="46"/>
        <v/>
      </c>
      <c r="RV55" s="130" t="str">
        <f t="shared" si="46"/>
        <v/>
      </c>
      <c r="RW55" s="130" t="str">
        <f t="shared" si="46"/>
        <v/>
      </c>
      <c r="RX55" s="130" t="str">
        <f t="shared" si="46"/>
        <v/>
      </c>
      <c r="RY55" s="130" t="str">
        <f t="shared" si="46"/>
        <v/>
      </c>
      <c r="RZ55" s="130" t="str">
        <f t="shared" si="46"/>
        <v/>
      </c>
      <c r="SA55" s="130" t="str">
        <f t="shared" si="46"/>
        <v/>
      </c>
      <c r="SB55" s="130" t="str">
        <f t="shared" si="46"/>
        <v/>
      </c>
      <c r="SC55" s="130" t="str">
        <f t="shared" si="46"/>
        <v/>
      </c>
      <c r="SD55" s="130" t="str">
        <f t="shared" si="46"/>
        <v/>
      </c>
      <c r="SE55" s="130" t="str">
        <f t="shared" si="46"/>
        <v/>
      </c>
      <c r="SF55" s="130" t="str">
        <f t="shared" si="46"/>
        <v/>
      </c>
      <c r="SG55" s="130" t="str">
        <f t="shared" si="46"/>
        <v/>
      </c>
      <c r="SH55" s="130" t="str">
        <f t="shared" si="46"/>
        <v/>
      </c>
      <c r="SI55" s="130" t="str">
        <f t="shared" si="46"/>
        <v/>
      </c>
      <c r="SJ55" s="130" t="str">
        <f t="shared" si="46"/>
        <v/>
      </c>
      <c r="SK55" s="130" t="str">
        <f t="shared" si="46"/>
        <v/>
      </c>
      <c r="SL55" s="130" t="str">
        <f t="shared" si="46"/>
        <v/>
      </c>
      <c r="SM55" s="130" t="str">
        <f t="shared" si="46"/>
        <v/>
      </c>
      <c r="SN55" s="130" t="str">
        <f t="shared" si="46"/>
        <v/>
      </c>
      <c r="SO55" s="130" t="str">
        <f t="shared" si="46"/>
        <v/>
      </c>
      <c r="SP55" s="130" t="str">
        <f t="shared" si="46"/>
        <v/>
      </c>
      <c r="SQ55" s="130" t="str">
        <f t="shared" si="46"/>
        <v/>
      </c>
      <c r="SR55" s="130" t="str">
        <f t="shared" si="46"/>
        <v/>
      </c>
      <c r="SS55" s="130" t="str">
        <f t="shared" si="46"/>
        <v/>
      </c>
      <c r="ST55" s="130" t="str">
        <f t="shared" si="46"/>
        <v/>
      </c>
      <c r="SU55" s="130" t="str">
        <f t="shared" si="46"/>
        <v/>
      </c>
      <c r="SV55" s="130" t="str">
        <f t="shared" si="46"/>
        <v/>
      </c>
      <c r="SW55" s="130" t="str">
        <f t="shared" si="46"/>
        <v/>
      </c>
      <c r="SX55" s="130" t="str">
        <f t="shared" ref="SX55:US55" si="47">IF(SUM(SX23:SX53)=0,"",SUM(SX23:SX53))</f>
        <v/>
      </c>
      <c r="SY55" s="130" t="str">
        <f t="shared" si="47"/>
        <v/>
      </c>
      <c r="SZ55" s="130" t="str">
        <f t="shared" si="47"/>
        <v/>
      </c>
      <c r="TA55" s="130" t="str">
        <f t="shared" si="47"/>
        <v/>
      </c>
      <c r="TB55" s="130" t="str">
        <f t="shared" si="47"/>
        <v/>
      </c>
      <c r="TC55" s="130" t="str">
        <f t="shared" si="47"/>
        <v/>
      </c>
      <c r="TD55" s="130" t="str">
        <f t="shared" si="47"/>
        <v/>
      </c>
      <c r="TE55" s="130" t="str">
        <f t="shared" si="47"/>
        <v/>
      </c>
      <c r="TF55" s="130" t="str">
        <f t="shared" si="47"/>
        <v/>
      </c>
      <c r="TG55" s="130" t="str">
        <f t="shared" si="47"/>
        <v/>
      </c>
      <c r="TH55" s="130" t="str">
        <f t="shared" si="47"/>
        <v/>
      </c>
      <c r="TI55" s="130" t="str">
        <f t="shared" si="47"/>
        <v/>
      </c>
      <c r="TJ55" s="130" t="str">
        <f t="shared" si="47"/>
        <v/>
      </c>
      <c r="TK55" s="130" t="str">
        <f t="shared" si="47"/>
        <v/>
      </c>
      <c r="TL55" s="130" t="str">
        <f t="shared" si="47"/>
        <v/>
      </c>
      <c r="TM55" s="130" t="str">
        <f t="shared" si="47"/>
        <v/>
      </c>
      <c r="TN55" s="130" t="str">
        <f t="shared" si="47"/>
        <v/>
      </c>
      <c r="TO55" s="130" t="str">
        <f t="shared" si="47"/>
        <v/>
      </c>
      <c r="TP55" s="130" t="str">
        <f t="shared" si="47"/>
        <v/>
      </c>
      <c r="TQ55" s="130" t="str">
        <f t="shared" si="47"/>
        <v/>
      </c>
      <c r="TR55" s="130" t="str">
        <f t="shared" si="47"/>
        <v/>
      </c>
      <c r="TS55" s="130" t="str">
        <f t="shared" si="47"/>
        <v/>
      </c>
      <c r="TT55" s="130" t="str">
        <f t="shared" si="47"/>
        <v/>
      </c>
      <c r="TU55" s="130" t="str">
        <f t="shared" si="47"/>
        <v/>
      </c>
      <c r="TV55" s="130" t="str">
        <f t="shared" si="47"/>
        <v/>
      </c>
      <c r="TW55" s="130" t="str">
        <f t="shared" si="47"/>
        <v/>
      </c>
      <c r="TX55" s="130" t="str">
        <f t="shared" si="47"/>
        <v/>
      </c>
      <c r="TY55" s="130" t="str">
        <f t="shared" si="47"/>
        <v/>
      </c>
      <c r="TZ55" s="130" t="str">
        <f t="shared" si="47"/>
        <v/>
      </c>
      <c r="UA55" s="130" t="str">
        <f t="shared" si="47"/>
        <v/>
      </c>
      <c r="UB55" s="130" t="str">
        <f t="shared" si="47"/>
        <v/>
      </c>
      <c r="UC55" s="130" t="str">
        <f t="shared" si="47"/>
        <v/>
      </c>
      <c r="UD55" s="130" t="str">
        <f t="shared" si="47"/>
        <v/>
      </c>
      <c r="UE55" s="130" t="str">
        <f t="shared" si="47"/>
        <v/>
      </c>
      <c r="UF55" s="130" t="str">
        <f t="shared" si="47"/>
        <v/>
      </c>
      <c r="UG55" s="130" t="str">
        <f t="shared" si="47"/>
        <v/>
      </c>
      <c r="UH55" s="130" t="str">
        <f t="shared" si="47"/>
        <v/>
      </c>
      <c r="UI55" s="130" t="str">
        <f t="shared" si="47"/>
        <v/>
      </c>
      <c r="UJ55" s="130" t="str">
        <f t="shared" si="47"/>
        <v/>
      </c>
      <c r="UK55" s="130" t="str">
        <f t="shared" si="47"/>
        <v/>
      </c>
      <c r="UL55" s="130" t="str">
        <f t="shared" si="47"/>
        <v/>
      </c>
      <c r="UM55" s="130" t="str">
        <f t="shared" si="47"/>
        <v/>
      </c>
      <c r="UN55" s="130" t="str">
        <f t="shared" si="47"/>
        <v/>
      </c>
      <c r="UO55" s="130" t="str">
        <f t="shared" si="47"/>
        <v/>
      </c>
      <c r="UP55" s="130" t="str">
        <f t="shared" si="47"/>
        <v/>
      </c>
      <c r="UQ55" s="130" t="str">
        <f t="shared" si="47"/>
        <v/>
      </c>
      <c r="UR55" s="130" t="str">
        <f t="shared" si="47"/>
        <v/>
      </c>
      <c r="US55" s="130" t="str">
        <f t="shared" si="47"/>
        <v/>
      </c>
      <c r="UT55" s="194"/>
    </row>
    <row r="56" spans="2:572" ht="18" customHeight="1" thickBot="1" x14ac:dyDescent="0.35">
      <c r="B56" s="131" t="s">
        <v>38</v>
      </c>
      <c r="C56" s="132" t="s">
        <v>116</v>
      </c>
      <c r="D56" s="133">
        <f>SUM(D54:D55)</f>
        <v>0</v>
      </c>
      <c r="E56" s="134" t="e">
        <f>AVERAGE(F56:US56)</f>
        <v>#DIV/0!</v>
      </c>
      <c r="F56" s="137" t="str">
        <f t="shared" ref="F56:BQ56" si="48">IF(SUM(F54:F55)=0,"",SUM(F54:F55))</f>
        <v/>
      </c>
      <c r="G56" s="137" t="str">
        <f t="shared" si="48"/>
        <v/>
      </c>
      <c r="H56" s="137" t="str">
        <f t="shared" si="48"/>
        <v/>
      </c>
      <c r="I56" s="137" t="str">
        <f t="shared" si="48"/>
        <v/>
      </c>
      <c r="J56" s="137" t="str">
        <f t="shared" si="48"/>
        <v/>
      </c>
      <c r="K56" s="137" t="str">
        <f t="shared" si="48"/>
        <v/>
      </c>
      <c r="L56" s="137" t="str">
        <f t="shared" si="48"/>
        <v/>
      </c>
      <c r="M56" s="137" t="str">
        <f t="shared" si="48"/>
        <v/>
      </c>
      <c r="N56" s="137" t="str">
        <f t="shared" si="48"/>
        <v/>
      </c>
      <c r="O56" s="137" t="str">
        <f t="shared" si="48"/>
        <v/>
      </c>
      <c r="P56" s="137" t="str">
        <f t="shared" si="48"/>
        <v/>
      </c>
      <c r="Q56" s="137" t="str">
        <f t="shared" si="48"/>
        <v/>
      </c>
      <c r="R56" s="137" t="str">
        <f t="shared" si="48"/>
        <v/>
      </c>
      <c r="S56" s="137" t="str">
        <f t="shared" si="48"/>
        <v/>
      </c>
      <c r="T56" s="137" t="str">
        <f t="shared" si="48"/>
        <v/>
      </c>
      <c r="U56" s="137" t="str">
        <f t="shared" si="48"/>
        <v/>
      </c>
      <c r="V56" s="137" t="str">
        <f t="shared" si="48"/>
        <v/>
      </c>
      <c r="W56" s="137" t="str">
        <f t="shared" si="48"/>
        <v/>
      </c>
      <c r="X56" s="137" t="str">
        <f t="shared" si="48"/>
        <v/>
      </c>
      <c r="Y56" s="137" t="str">
        <f t="shared" si="48"/>
        <v/>
      </c>
      <c r="Z56" s="137" t="str">
        <f t="shared" si="48"/>
        <v/>
      </c>
      <c r="AA56" s="137" t="str">
        <f t="shared" si="48"/>
        <v/>
      </c>
      <c r="AB56" s="137" t="str">
        <f t="shared" si="48"/>
        <v/>
      </c>
      <c r="AC56" s="137" t="str">
        <f t="shared" si="48"/>
        <v/>
      </c>
      <c r="AD56" s="137" t="str">
        <f t="shared" si="48"/>
        <v/>
      </c>
      <c r="AE56" s="137" t="str">
        <f t="shared" si="48"/>
        <v/>
      </c>
      <c r="AF56" s="137" t="str">
        <f t="shared" si="48"/>
        <v/>
      </c>
      <c r="AG56" s="137" t="str">
        <f t="shared" si="48"/>
        <v/>
      </c>
      <c r="AH56" s="137" t="str">
        <f t="shared" si="48"/>
        <v/>
      </c>
      <c r="AI56" s="137" t="str">
        <f t="shared" si="48"/>
        <v/>
      </c>
      <c r="AJ56" s="137" t="str">
        <f t="shared" si="48"/>
        <v/>
      </c>
      <c r="AK56" s="137" t="str">
        <f t="shared" si="48"/>
        <v/>
      </c>
      <c r="AL56" s="137" t="str">
        <f t="shared" si="48"/>
        <v/>
      </c>
      <c r="AM56" s="137" t="str">
        <f t="shared" si="48"/>
        <v/>
      </c>
      <c r="AN56" s="137" t="str">
        <f t="shared" si="48"/>
        <v/>
      </c>
      <c r="AO56" s="137" t="str">
        <f t="shared" si="48"/>
        <v/>
      </c>
      <c r="AP56" s="137" t="str">
        <f t="shared" si="48"/>
        <v/>
      </c>
      <c r="AQ56" s="137" t="str">
        <f t="shared" si="48"/>
        <v/>
      </c>
      <c r="AR56" s="137" t="str">
        <f t="shared" si="48"/>
        <v/>
      </c>
      <c r="AS56" s="137" t="str">
        <f t="shared" si="48"/>
        <v/>
      </c>
      <c r="AT56" s="137" t="str">
        <f t="shared" si="48"/>
        <v/>
      </c>
      <c r="AU56" s="137" t="str">
        <f t="shared" si="48"/>
        <v/>
      </c>
      <c r="AV56" s="137" t="str">
        <f t="shared" si="48"/>
        <v/>
      </c>
      <c r="AW56" s="137" t="str">
        <f t="shared" si="48"/>
        <v/>
      </c>
      <c r="AX56" s="137" t="str">
        <f t="shared" si="48"/>
        <v/>
      </c>
      <c r="AY56" s="137" t="str">
        <f t="shared" si="48"/>
        <v/>
      </c>
      <c r="AZ56" s="137" t="str">
        <f t="shared" si="48"/>
        <v/>
      </c>
      <c r="BA56" s="137" t="str">
        <f t="shared" si="48"/>
        <v/>
      </c>
      <c r="BB56" s="137" t="str">
        <f t="shared" si="48"/>
        <v/>
      </c>
      <c r="BC56" s="137" t="str">
        <f t="shared" si="48"/>
        <v/>
      </c>
      <c r="BD56" s="137" t="str">
        <f t="shared" si="48"/>
        <v/>
      </c>
      <c r="BE56" s="137" t="str">
        <f t="shared" si="48"/>
        <v/>
      </c>
      <c r="BF56" s="137" t="str">
        <f t="shared" si="48"/>
        <v/>
      </c>
      <c r="BG56" s="137" t="str">
        <f t="shared" si="48"/>
        <v/>
      </c>
      <c r="BH56" s="137" t="str">
        <f t="shared" si="48"/>
        <v/>
      </c>
      <c r="BI56" s="137" t="str">
        <f t="shared" si="48"/>
        <v/>
      </c>
      <c r="BJ56" s="137" t="str">
        <f t="shared" si="48"/>
        <v/>
      </c>
      <c r="BK56" s="137" t="str">
        <f t="shared" si="48"/>
        <v/>
      </c>
      <c r="BL56" s="137" t="str">
        <f t="shared" si="48"/>
        <v/>
      </c>
      <c r="BM56" s="137" t="str">
        <f t="shared" si="48"/>
        <v/>
      </c>
      <c r="BN56" s="137" t="str">
        <f t="shared" si="48"/>
        <v/>
      </c>
      <c r="BO56" s="137" t="str">
        <f t="shared" si="48"/>
        <v/>
      </c>
      <c r="BP56" s="137" t="str">
        <f t="shared" si="48"/>
        <v/>
      </c>
      <c r="BQ56" s="137" t="str">
        <f t="shared" si="48"/>
        <v/>
      </c>
      <c r="BR56" s="137" t="str">
        <f t="shared" ref="BR56:EC56" si="49">IF(SUM(BR54:BR55)=0,"",SUM(BR54:BR55))</f>
        <v/>
      </c>
      <c r="BS56" s="137" t="str">
        <f t="shared" si="49"/>
        <v/>
      </c>
      <c r="BT56" s="137" t="str">
        <f t="shared" si="49"/>
        <v/>
      </c>
      <c r="BU56" s="137" t="str">
        <f t="shared" si="49"/>
        <v/>
      </c>
      <c r="BV56" s="137" t="str">
        <f t="shared" si="49"/>
        <v/>
      </c>
      <c r="BW56" s="137" t="str">
        <f t="shared" si="49"/>
        <v/>
      </c>
      <c r="BX56" s="137" t="str">
        <f t="shared" si="49"/>
        <v/>
      </c>
      <c r="BY56" s="137" t="str">
        <f t="shared" si="49"/>
        <v/>
      </c>
      <c r="BZ56" s="137" t="str">
        <f t="shared" si="49"/>
        <v/>
      </c>
      <c r="CA56" s="137" t="str">
        <f t="shared" si="49"/>
        <v/>
      </c>
      <c r="CB56" s="137" t="str">
        <f t="shared" si="49"/>
        <v/>
      </c>
      <c r="CC56" s="137" t="str">
        <f t="shared" si="49"/>
        <v/>
      </c>
      <c r="CD56" s="137" t="str">
        <f t="shared" si="49"/>
        <v/>
      </c>
      <c r="CE56" s="137" t="str">
        <f t="shared" si="49"/>
        <v/>
      </c>
      <c r="CF56" s="137" t="str">
        <f t="shared" si="49"/>
        <v/>
      </c>
      <c r="CG56" s="137" t="str">
        <f t="shared" si="49"/>
        <v/>
      </c>
      <c r="CH56" s="137" t="str">
        <f t="shared" si="49"/>
        <v/>
      </c>
      <c r="CI56" s="137" t="str">
        <f t="shared" si="49"/>
        <v/>
      </c>
      <c r="CJ56" s="137" t="str">
        <f t="shared" si="49"/>
        <v/>
      </c>
      <c r="CK56" s="137" t="str">
        <f t="shared" si="49"/>
        <v/>
      </c>
      <c r="CL56" s="137" t="str">
        <f t="shared" si="49"/>
        <v/>
      </c>
      <c r="CM56" s="137" t="str">
        <f t="shared" si="49"/>
        <v/>
      </c>
      <c r="CN56" s="137" t="str">
        <f t="shared" si="49"/>
        <v/>
      </c>
      <c r="CO56" s="137" t="str">
        <f t="shared" si="49"/>
        <v/>
      </c>
      <c r="CP56" s="137" t="str">
        <f t="shared" si="49"/>
        <v/>
      </c>
      <c r="CQ56" s="137" t="str">
        <f t="shared" si="49"/>
        <v/>
      </c>
      <c r="CR56" s="137" t="str">
        <f t="shared" si="49"/>
        <v/>
      </c>
      <c r="CS56" s="137" t="str">
        <f t="shared" si="49"/>
        <v/>
      </c>
      <c r="CT56" s="137" t="str">
        <f t="shared" si="49"/>
        <v/>
      </c>
      <c r="CU56" s="137" t="str">
        <f t="shared" si="49"/>
        <v/>
      </c>
      <c r="CV56" s="137" t="str">
        <f t="shared" si="49"/>
        <v/>
      </c>
      <c r="CW56" s="137" t="str">
        <f t="shared" si="49"/>
        <v/>
      </c>
      <c r="CX56" s="137" t="str">
        <f t="shared" si="49"/>
        <v/>
      </c>
      <c r="CY56" s="137" t="str">
        <f t="shared" si="49"/>
        <v/>
      </c>
      <c r="CZ56" s="137" t="str">
        <f t="shared" si="49"/>
        <v/>
      </c>
      <c r="DA56" s="137" t="str">
        <f t="shared" si="49"/>
        <v/>
      </c>
      <c r="DB56" s="137" t="str">
        <f t="shared" si="49"/>
        <v/>
      </c>
      <c r="DC56" s="137" t="str">
        <f t="shared" si="49"/>
        <v/>
      </c>
      <c r="DD56" s="137" t="str">
        <f t="shared" si="49"/>
        <v/>
      </c>
      <c r="DE56" s="137" t="str">
        <f t="shared" si="49"/>
        <v/>
      </c>
      <c r="DF56" s="137" t="str">
        <f t="shared" si="49"/>
        <v/>
      </c>
      <c r="DG56" s="137" t="str">
        <f t="shared" si="49"/>
        <v/>
      </c>
      <c r="DH56" s="137" t="str">
        <f t="shared" si="49"/>
        <v/>
      </c>
      <c r="DI56" s="137" t="str">
        <f t="shared" si="49"/>
        <v/>
      </c>
      <c r="DJ56" s="137" t="str">
        <f t="shared" si="49"/>
        <v/>
      </c>
      <c r="DK56" s="137" t="str">
        <f t="shared" si="49"/>
        <v/>
      </c>
      <c r="DL56" s="137" t="str">
        <f t="shared" si="49"/>
        <v/>
      </c>
      <c r="DM56" s="137" t="str">
        <f t="shared" si="49"/>
        <v/>
      </c>
      <c r="DN56" s="137" t="str">
        <f t="shared" si="49"/>
        <v/>
      </c>
      <c r="DO56" s="137" t="str">
        <f t="shared" si="49"/>
        <v/>
      </c>
      <c r="DP56" s="137" t="str">
        <f t="shared" si="49"/>
        <v/>
      </c>
      <c r="DQ56" s="137" t="str">
        <f t="shared" si="49"/>
        <v/>
      </c>
      <c r="DR56" s="137" t="str">
        <f t="shared" si="49"/>
        <v/>
      </c>
      <c r="DS56" s="137" t="str">
        <f t="shared" si="49"/>
        <v/>
      </c>
      <c r="DT56" s="137" t="str">
        <f t="shared" si="49"/>
        <v/>
      </c>
      <c r="DU56" s="137" t="str">
        <f t="shared" si="49"/>
        <v/>
      </c>
      <c r="DV56" s="137" t="str">
        <f t="shared" si="49"/>
        <v/>
      </c>
      <c r="DW56" s="137" t="str">
        <f t="shared" si="49"/>
        <v/>
      </c>
      <c r="DX56" s="137" t="str">
        <f t="shared" si="49"/>
        <v/>
      </c>
      <c r="DY56" s="137" t="str">
        <f t="shared" si="49"/>
        <v/>
      </c>
      <c r="DZ56" s="137" t="str">
        <f t="shared" si="49"/>
        <v/>
      </c>
      <c r="EA56" s="137" t="str">
        <f t="shared" si="49"/>
        <v/>
      </c>
      <c r="EB56" s="137" t="str">
        <f t="shared" si="49"/>
        <v/>
      </c>
      <c r="EC56" s="137" t="str">
        <f t="shared" si="49"/>
        <v/>
      </c>
      <c r="ED56" s="137" t="str">
        <f t="shared" ref="ED56:GO56" si="50">IF(SUM(ED54:ED55)=0,"",SUM(ED54:ED55))</f>
        <v/>
      </c>
      <c r="EE56" s="137" t="str">
        <f t="shared" si="50"/>
        <v/>
      </c>
      <c r="EF56" s="137" t="str">
        <f t="shared" si="50"/>
        <v/>
      </c>
      <c r="EG56" s="137" t="str">
        <f t="shared" si="50"/>
        <v/>
      </c>
      <c r="EH56" s="137" t="str">
        <f t="shared" si="50"/>
        <v/>
      </c>
      <c r="EI56" s="137" t="str">
        <f t="shared" si="50"/>
        <v/>
      </c>
      <c r="EJ56" s="137" t="str">
        <f t="shared" si="50"/>
        <v/>
      </c>
      <c r="EK56" s="137" t="str">
        <f t="shared" si="50"/>
        <v/>
      </c>
      <c r="EL56" s="137" t="str">
        <f t="shared" si="50"/>
        <v/>
      </c>
      <c r="EM56" s="137" t="str">
        <f t="shared" si="50"/>
        <v/>
      </c>
      <c r="EN56" s="137" t="str">
        <f t="shared" si="50"/>
        <v/>
      </c>
      <c r="EO56" s="137" t="str">
        <f t="shared" si="50"/>
        <v/>
      </c>
      <c r="EP56" s="137" t="str">
        <f t="shared" si="50"/>
        <v/>
      </c>
      <c r="EQ56" s="137" t="str">
        <f t="shared" si="50"/>
        <v/>
      </c>
      <c r="ER56" s="137" t="str">
        <f t="shared" si="50"/>
        <v/>
      </c>
      <c r="ES56" s="137" t="str">
        <f t="shared" si="50"/>
        <v/>
      </c>
      <c r="ET56" s="137" t="str">
        <f t="shared" si="50"/>
        <v/>
      </c>
      <c r="EU56" s="137" t="str">
        <f t="shared" si="50"/>
        <v/>
      </c>
      <c r="EV56" s="137" t="str">
        <f t="shared" si="50"/>
        <v/>
      </c>
      <c r="EW56" s="137" t="str">
        <f t="shared" si="50"/>
        <v/>
      </c>
      <c r="EX56" s="137" t="str">
        <f t="shared" si="50"/>
        <v/>
      </c>
      <c r="EY56" s="137" t="str">
        <f t="shared" si="50"/>
        <v/>
      </c>
      <c r="EZ56" s="137" t="str">
        <f t="shared" si="50"/>
        <v/>
      </c>
      <c r="FA56" s="137" t="str">
        <f t="shared" si="50"/>
        <v/>
      </c>
      <c r="FB56" s="137" t="str">
        <f t="shared" si="50"/>
        <v/>
      </c>
      <c r="FC56" s="137" t="str">
        <f t="shared" si="50"/>
        <v/>
      </c>
      <c r="FD56" s="137" t="str">
        <f t="shared" si="50"/>
        <v/>
      </c>
      <c r="FE56" s="137" t="str">
        <f t="shared" si="50"/>
        <v/>
      </c>
      <c r="FF56" s="137" t="str">
        <f t="shared" si="50"/>
        <v/>
      </c>
      <c r="FG56" s="137" t="str">
        <f t="shared" si="50"/>
        <v/>
      </c>
      <c r="FH56" s="137" t="str">
        <f t="shared" si="50"/>
        <v/>
      </c>
      <c r="FI56" s="137" t="str">
        <f t="shared" si="50"/>
        <v/>
      </c>
      <c r="FJ56" s="137" t="str">
        <f t="shared" si="50"/>
        <v/>
      </c>
      <c r="FK56" s="137" t="str">
        <f t="shared" si="50"/>
        <v/>
      </c>
      <c r="FL56" s="137" t="str">
        <f t="shared" si="50"/>
        <v/>
      </c>
      <c r="FM56" s="137" t="str">
        <f t="shared" si="50"/>
        <v/>
      </c>
      <c r="FN56" s="137" t="str">
        <f t="shared" si="50"/>
        <v/>
      </c>
      <c r="FO56" s="137" t="str">
        <f t="shared" si="50"/>
        <v/>
      </c>
      <c r="FP56" s="137" t="str">
        <f t="shared" si="50"/>
        <v/>
      </c>
      <c r="FQ56" s="137" t="str">
        <f t="shared" si="50"/>
        <v/>
      </c>
      <c r="FR56" s="137" t="str">
        <f t="shared" si="50"/>
        <v/>
      </c>
      <c r="FS56" s="137" t="str">
        <f t="shared" si="50"/>
        <v/>
      </c>
      <c r="FT56" s="137" t="str">
        <f t="shared" si="50"/>
        <v/>
      </c>
      <c r="FU56" s="137" t="str">
        <f t="shared" si="50"/>
        <v/>
      </c>
      <c r="FV56" s="137" t="str">
        <f t="shared" si="50"/>
        <v/>
      </c>
      <c r="FW56" s="137" t="str">
        <f t="shared" si="50"/>
        <v/>
      </c>
      <c r="FX56" s="137" t="str">
        <f t="shared" si="50"/>
        <v/>
      </c>
      <c r="FY56" s="137" t="str">
        <f t="shared" si="50"/>
        <v/>
      </c>
      <c r="FZ56" s="137" t="str">
        <f t="shared" si="50"/>
        <v/>
      </c>
      <c r="GA56" s="137" t="str">
        <f t="shared" si="50"/>
        <v/>
      </c>
      <c r="GB56" s="137" t="str">
        <f t="shared" si="50"/>
        <v/>
      </c>
      <c r="GC56" s="137" t="str">
        <f t="shared" si="50"/>
        <v/>
      </c>
      <c r="GD56" s="137" t="str">
        <f t="shared" si="50"/>
        <v/>
      </c>
      <c r="GE56" s="137" t="str">
        <f t="shared" si="50"/>
        <v/>
      </c>
      <c r="GF56" s="137" t="str">
        <f t="shared" si="50"/>
        <v/>
      </c>
      <c r="GG56" s="137" t="str">
        <f t="shared" si="50"/>
        <v/>
      </c>
      <c r="GH56" s="137" t="str">
        <f t="shared" si="50"/>
        <v/>
      </c>
      <c r="GI56" s="137" t="str">
        <f t="shared" si="50"/>
        <v/>
      </c>
      <c r="GJ56" s="137" t="str">
        <f t="shared" si="50"/>
        <v/>
      </c>
      <c r="GK56" s="137" t="str">
        <f t="shared" si="50"/>
        <v/>
      </c>
      <c r="GL56" s="137" t="str">
        <f t="shared" si="50"/>
        <v/>
      </c>
      <c r="GM56" s="137" t="str">
        <f t="shared" si="50"/>
        <v/>
      </c>
      <c r="GN56" s="137" t="str">
        <f t="shared" si="50"/>
        <v/>
      </c>
      <c r="GO56" s="137" t="str">
        <f t="shared" si="50"/>
        <v/>
      </c>
      <c r="GP56" s="137" t="str">
        <f t="shared" ref="GP56:JA56" si="51">IF(SUM(GP54:GP55)=0,"",SUM(GP54:GP55))</f>
        <v/>
      </c>
      <c r="GQ56" s="137" t="str">
        <f t="shared" si="51"/>
        <v/>
      </c>
      <c r="GR56" s="137" t="str">
        <f t="shared" si="51"/>
        <v/>
      </c>
      <c r="GS56" s="137" t="str">
        <f t="shared" si="51"/>
        <v/>
      </c>
      <c r="GT56" s="137" t="str">
        <f t="shared" si="51"/>
        <v/>
      </c>
      <c r="GU56" s="137" t="str">
        <f t="shared" si="51"/>
        <v/>
      </c>
      <c r="GV56" s="137" t="str">
        <f t="shared" si="51"/>
        <v/>
      </c>
      <c r="GW56" s="137" t="str">
        <f t="shared" si="51"/>
        <v/>
      </c>
      <c r="GX56" s="137" t="str">
        <f t="shared" si="51"/>
        <v/>
      </c>
      <c r="GY56" s="137" t="str">
        <f t="shared" si="51"/>
        <v/>
      </c>
      <c r="GZ56" s="137" t="str">
        <f t="shared" si="51"/>
        <v/>
      </c>
      <c r="HA56" s="137" t="str">
        <f t="shared" si="51"/>
        <v/>
      </c>
      <c r="HB56" s="137" t="str">
        <f t="shared" si="51"/>
        <v/>
      </c>
      <c r="HC56" s="137" t="str">
        <f t="shared" si="51"/>
        <v/>
      </c>
      <c r="HD56" s="137" t="str">
        <f t="shared" si="51"/>
        <v/>
      </c>
      <c r="HE56" s="137" t="str">
        <f t="shared" si="51"/>
        <v/>
      </c>
      <c r="HF56" s="137" t="str">
        <f t="shared" si="51"/>
        <v/>
      </c>
      <c r="HG56" s="137" t="str">
        <f t="shared" si="51"/>
        <v/>
      </c>
      <c r="HH56" s="137" t="str">
        <f t="shared" si="51"/>
        <v/>
      </c>
      <c r="HI56" s="137" t="str">
        <f t="shared" si="51"/>
        <v/>
      </c>
      <c r="HJ56" s="137" t="str">
        <f t="shared" si="51"/>
        <v/>
      </c>
      <c r="HK56" s="137" t="str">
        <f t="shared" si="51"/>
        <v/>
      </c>
      <c r="HL56" s="137" t="str">
        <f t="shared" si="51"/>
        <v/>
      </c>
      <c r="HM56" s="137" t="str">
        <f t="shared" si="51"/>
        <v/>
      </c>
      <c r="HN56" s="137" t="str">
        <f t="shared" si="51"/>
        <v/>
      </c>
      <c r="HO56" s="137" t="str">
        <f t="shared" si="51"/>
        <v/>
      </c>
      <c r="HP56" s="137" t="str">
        <f t="shared" si="51"/>
        <v/>
      </c>
      <c r="HQ56" s="137" t="str">
        <f t="shared" si="51"/>
        <v/>
      </c>
      <c r="HR56" s="137" t="str">
        <f t="shared" si="51"/>
        <v/>
      </c>
      <c r="HS56" s="137" t="str">
        <f t="shared" si="51"/>
        <v/>
      </c>
      <c r="HT56" s="137" t="str">
        <f t="shared" si="51"/>
        <v/>
      </c>
      <c r="HU56" s="137" t="str">
        <f t="shared" si="51"/>
        <v/>
      </c>
      <c r="HV56" s="137" t="str">
        <f t="shared" si="51"/>
        <v/>
      </c>
      <c r="HW56" s="137" t="str">
        <f t="shared" si="51"/>
        <v/>
      </c>
      <c r="HX56" s="137" t="str">
        <f t="shared" si="51"/>
        <v/>
      </c>
      <c r="HY56" s="137" t="str">
        <f t="shared" si="51"/>
        <v/>
      </c>
      <c r="HZ56" s="137" t="str">
        <f t="shared" si="51"/>
        <v/>
      </c>
      <c r="IA56" s="137" t="str">
        <f t="shared" si="51"/>
        <v/>
      </c>
      <c r="IB56" s="137" t="str">
        <f t="shared" si="51"/>
        <v/>
      </c>
      <c r="IC56" s="137" t="str">
        <f t="shared" si="51"/>
        <v/>
      </c>
      <c r="ID56" s="137" t="str">
        <f t="shared" si="51"/>
        <v/>
      </c>
      <c r="IE56" s="137" t="str">
        <f t="shared" si="51"/>
        <v/>
      </c>
      <c r="IF56" s="137" t="str">
        <f t="shared" si="51"/>
        <v/>
      </c>
      <c r="IG56" s="137" t="str">
        <f t="shared" si="51"/>
        <v/>
      </c>
      <c r="IH56" s="137" t="str">
        <f t="shared" si="51"/>
        <v/>
      </c>
      <c r="II56" s="137" t="str">
        <f t="shared" si="51"/>
        <v/>
      </c>
      <c r="IJ56" s="137" t="str">
        <f t="shared" si="51"/>
        <v/>
      </c>
      <c r="IK56" s="137" t="str">
        <f t="shared" si="51"/>
        <v/>
      </c>
      <c r="IL56" s="137" t="str">
        <f t="shared" si="51"/>
        <v/>
      </c>
      <c r="IM56" s="137" t="str">
        <f t="shared" si="51"/>
        <v/>
      </c>
      <c r="IN56" s="137" t="str">
        <f t="shared" si="51"/>
        <v/>
      </c>
      <c r="IO56" s="137" t="str">
        <f t="shared" si="51"/>
        <v/>
      </c>
      <c r="IP56" s="137" t="str">
        <f t="shared" si="51"/>
        <v/>
      </c>
      <c r="IQ56" s="137" t="str">
        <f t="shared" si="51"/>
        <v/>
      </c>
      <c r="IR56" s="137" t="str">
        <f t="shared" si="51"/>
        <v/>
      </c>
      <c r="IS56" s="137" t="str">
        <f t="shared" si="51"/>
        <v/>
      </c>
      <c r="IT56" s="137" t="str">
        <f t="shared" si="51"/>
        <v/>
      </c>
      <c r="IU56" s="137" t="str">
        <f t="shared" si="51"/>
        <v/>
      </c>
      <c r="IV56" s="137" t="str">
        <f t="shared" si="51"/>
        <v/>
      </c>
      <c r="IW56" s="137" t="str">
        <f t="shared" si="51"/>
        <v/>
      </c>
      <c r="IX56" s="137" t="str">
        <f t="shared" si="51"/>
        <v/>
      </c>
      <c r="IY56" s="137" t="str">
        <f t="shared" si="51"/>
        <v/>
      </c>
      <c r="IZ56" s="137" t="str">
        <f t="shared" si="51"/>
        <v/>
      </c>
      <c r="JA56" s="137" t="str">
        <f t="shared" si="51"/>
        <v/>
      </c>
      <c r="JB56" s="137" t="str">
        <f t="shared" ref="JB56:LM56" si="52">IF(SUM(JB54:JB55)=0,"",SUM(JB54:JB55))</f>
        <v/>
      </c>
      <c r="JC56" s="137" t="str">
        <f t="shared" si="52"/>
        <v/>
      </c>
      <c r="JD56" s="137" t="str">
        <f t="shared" si="52"/>
        <v/>
      </c>
      <c r="JE56" s="137" t="str">
        <f t="shared" si="52"/>
        <v/>
      </c>
      <c r="JF56" s="137" t="str">
        <f t="shared" si="52"/>
        <v/>
      </c>
      <c r="JG56" s="137" t="str">
        <f t="shared" si="52"/>
        <v/>
      </c>
      <c r="JH56" s="137" t="str">
        <f t="shared" si="52"/>
        <v/>
      </c>
      <c r="JI56" s="137" t="str">
        <f t="shared" si="52"/>
        <v/>
      </c>
      <c r="JJ56" s="137" t="str">
        <f t="shared" si="52"/>
        <v/>
      </c>
      <c r="JK56" s="137" t="str">
        <f t="shared" si="52"/>
        <v/>
      </c>
      <c r="JL56" s="137" t="str">
        <f t="shared" si="52"/>
        <v/>
      </c>
      <c r="JM56" s="137" t="str">
        <f t="shared" si="52"/>
        <v/>
      </c>
      <c r="JN56" s="137" t="str">
        <f t="shared" si="52"/>
        <v/>
      </c>
      <c r="JO56" s="137" t="str">
        <f t="shared" si="52"/>
        <v/>
      </c>
      <c r="JP56" s="137" t="str">
        <f t="shared" si="52"/>
        <v/>
      </c>
      <c r="JQ56" s="137" t="str">
        <f t="shared" si="52"/>
        <v/>
      </c>
      <c r="JR56" s="137" t="str">
        <f t="shared" si="52"/>
        <v/>
      </c>
      <c r="JS56" s="137" t="str">
        <f t="shared" si="52"/>
        <v/>
      </c>
      <c r="JT56" s="137" t="str">
        <f t="shared" si="52"/>
        <v/>
      </c>
      <c r="JU56" s="137" t="str">
        <f t="shared" si="52"/>
        <v/>
      </c>
      <c r="JV56" s="137" t="str">
        <f t="shared" si="52"/>
        <v/>
      </c>
      <c r="JW56" s="137" t="str">
        <f t="shared" si="52"/>
        <v/>
      </c>
      <c r="JX56" s="137" t="str">
        <f t="shared" si="52"/>
        <v/>
      </c>
      <c r="JY56" s="137" t="str">
        <f t="shared" si="52"/>
        <v/>
      </c>
      <c r="JZ56" s="137" t="str">
        <f t="shared" si="52"/>
        <v/>
      </c>
      <c r="KA56" s="137" t="str">
        <f t="shared" si="52"/>
        <v/>
      </c>
      <c r="KB56" s="137" t="str">
        <f t="shared" si="52"/>
        <v/>
      </c>
      <c r="KC56" s="137" t="str">
        <f t="shared" si="52"/>
        <v/>
      </c>
      <c r="KD56" s="137" t="str">
        <f t="shared" si="52"/>
        <v/>
      </c>
      <c r="KE56" s="137" t="str">
        <f t="shared" si="52"/>
        <v/>
      </c>
      <c r="KF56" s="137" t="str">
        <f t="shared" si="52"/>
        <v/>
      </c>
      <c r="KG56" s="137" t="str">
        <f t="shared" si="52"/>
        <v/>
      </c>
      <c r="KH56" s="137" t="str">
        <f t="shared" si="52"/>
        <v/>
      </c>
      <c r="KI56" s="137" t="str">
        <f t="shared" si="52"/>
        <v/>
      </c>
      <c r="KJ56" s="137" t="str">
        <f t="shared" si="52"/>
        <v/>
      </c>
      <c r="KK56" s="137" t="str">
        <f t="shared" si="52"/>
        <v/>
      </c>
      <c r="KL56" s="137" t="str">
        <f t="shared" si="52"/>
        <v/>
      </c>
      <c r="KM56" s="137" t="str">
        <f t="shared" si="52"/>
        <v/>
      </c>
      <c r="KN56" s="137" t="str">
        <f t="shared" si="52"/>
        <v/>
      </c>
      <c r="KO56" s="137" t="str">
        <f t="shared" si="52"/>
        <v/>
      </c>
      <c r="KP56" s="137" t="str">
        <f t="shared" si="52"/>
        <v/>
      </c>
      <c r="KQ56" s="137" t="str">
        <f t="shared" si="52"/>
        <v/>
      </c>
      <c r="KR56" s="137" t="str">
        <f t="shared" si="52"/>
        <v/>
      </c>
      <c r="KS56" s="137" t="str">
        <f t="shared" si="52"/>
        <v/>
      </c>
      <c r="KT56" s="137" t="str">
        <f t="shared" si="52"/>
        <v/>
      </c>
      <c r="KU56" s="137" t="str">
        <f t="shared" si="52"/>
        <v/>
      </c>
      <c r="KV56" s="137" t="str">
        <f t="shared" si="52"/>
        <v/>
      </c>
      <c r="KW56" s="137" t="str">
        <f t="shared" si="52"/>
        <v/>
      </c>
      <c r="KX56" s="137" t="str">
        <f t="shared" si="52"/>
        <v/>
      </c>
      <c r="KY56" s="137" t="str">
        <f t="shared" si="52"/>
        <v/>
      </c>
      <c r="KZ56" s="137" t="str">
        <f t="shared" si="52"/>
        <v/>
      </c>
      <c r="LA56" s="137" t="str">
        <f t="shared" si="52"/>
        <v/>
      </c>
      <c r="LB56" s="137" t="str">
        <f t="shared" si="52"/>
        <v/>
      </c>
      <c r="LC56" s="137" t="str">
        <f t="shared" si="52"/>
        <v/>
      </c>
      <c r="LD56" s="137" t="str">
        <f t="shared" si="52"/>
        <v/>
      </c>
      <c r="LE56" s="137" t="str">
        <f t="shared" si="52"/>
        <v/>
      </c>
      <c r="LF56" s="137" t="str">
        <f t="shared" si="52"/>
        <v/>
      </c>
      <c r="LG56" s="137" t="str">
        <f t="shared" si="52"/>
        <v/>
      </c>
      <c r="LH56" s="137" t="str">
        <f t="shared" si="52"/>
        <v/>
      </c>
      <c r="LI56" s="137" t="str">
        <f t="shared" si="52"/>
        <v/>
      </c>
      <c r="LJ56" s="137" t="str">
        <f t="shared" si="52"/>
        <v/>
      </c>
      <c r="LK56" s="137" t="str">
        <f t="shared" si="52"/>
        <v/>
      </c>
      <c r="LL56" s="137" t="str">
        <f t="shared" si="52"/>
        <v/>
      </c>
      <c r="LM56" s="137" t="str">
        <f t="shared" si="52"/>
        <v/>
      </c>
      <c r="LN56" s="137" t="str">
        <f t="shared" ref="LN56:NY56" si="53">IF(SUM(LN54:LN55)=0,"",SUM(LN54:LN55))</f>
        <v/>
      </c>
      <c r="LO56" s="137" t="str">
        <f t="shared" si="53"/>
        <v/>
      </c>
      <c r="LP56" s="137" t="str">
        <f t="shared" si="53"/>
        <v/>
      </c>
      <c r="LQ56" s="137" t="str">
        <f t="shared" si="53"/>
        <v/>
      </c>
      <c r="LR56" s="137" t="str">
        <f t="shared" si="53"/>
        <v/>
      </c>
      <c r="LS56" s="137" t="str">
        <f t="shared" si="53"/>
        <v/>
      </c>
      <c r="LT56" s="137" t="str">
        <f t="shared" si="53"/>
        <v/>
      </c>
      <c r="LU56" s="137" t="str">
        <f t="shared" si="53"/>
        <v/>
      </c>
      <c r="LV56" s="137" t="str">
        <f t="shared" si="53"/>
        <v/>
      </c>
      <c r="LW56" s="137" t="str">
        <f t="shared" si="53"/>
        <v/>
      </c>
      <c r="LX56" s="137" t="str">
        <f t="shared" si="53"/>
        <v/>
      </c>
      <c r="LY56" s="137" t="str">
        <f t="shared" si="53"/>
        <v/>
      </c>
      <c r="LZ56" s="137" t="str">
        <f t="shared" si="53"/>
        <v/>
      </c>
      <c r="MA56" s="137" t="str">
        <f t="shared" si="53"/>
        <v/>
      </c>
      <c r="MB56" s="137" t="str">
        <f t="shared" si="53"/>
        <v/>
      </c>
      <c r="MC56" s="137" t="str">
        <f t="shared" si="53"/>
        <v/>
      </c>
      <c r="MD56" s="137" t="str">
        <f t="shared" si="53"/>
        <v/>
      </c>
      <c r="ME56" s="137" t="str">
        <f t="shared" si="53"/>
        <v/>
      </c>
      <c r="MF56" s="137" t="str">
        <f t="shared" si="53"/>
        <v/>
      </c>
      <c r="MG56" s="137" t="str">
        <f t="shared" si="53"/>
        <v/>
      </c>
      <c r="MH56" s="137" t="str">
        <f t="shared" si="53"/>
        <v/>
      </c>
      <c r="MI56" s="137" t="str">
        <f t="shared" si="53"/>
        <v/>
      </c>
      <c r="MJ56" s="137" t="str">
        <f t="shared" si="53"/>
        <v/>
      </c>
      <c r="MK56" s="137" t="str">
        <f t="shared" si="53"/>
        <v/>
      </c>
      <c r="ML56" s="137" t="str">
        <f t="shared" si="53"/>
        <v/>
      </c>
      <c r="MM56" s="137" t="str">
        <f t="shared" si="53"/>
        <v/>
      </c>
      <c r="MN56" s="137" t="str">
        <f t="shared" si="53"/>
        <v/>
      </c>
      <c r="MO56" s="137" t="str">
        <f t="shared" si="53"/>
        <v/>
      </c>
      <c r="MP56" s="137" t="str">
        <f t="shared" si="53"/>
        <v/>
      </c>
      <c r="MQ56" s="137" t="str">
        <f t="shared" si="53"/>
        <v/>
      </c>
      <c r="MR56" s="137" t="str">
        <f t="shared" si="53"/>
        <v/>
      </c>
      <c r="MS56" s="137" t="str">
        <f t="shared" si="53"/>
        <v/>
      </c>
      <c r="MT56" s="137" t="str">
        <f t="shared" si="53"/>
        <v/>
      </c>
      <c r="MU56" s="137" t="str">
        <f t="shared" si="53"/>
        <v/>
      </c>
      <c r="MV56" s="137" t="str">
        <f t="shared" si="53"/>
        <v/>
      </c>
      <c r="MW56" s="137" t="str">
        <f t="shared" si="53"/>
        <v/>
      </c>
      <c r="MX56" s="137" t="str">
        <f t="shared" si="53"/>
        <v/>
      </c>
      <c r="MY56" s="137" t="str">
        <f t="shared" si="53"/>
        <v/>
      </c>
      <c r="MZ56" s="137" t="str">
        <f t="shared" si="53"/>
        <v/>
      </c>
      <c r="NA56" s="137" t="str">
        <f t="shared" si="53"/>
        <v/>
      </c>
      <c r="NB56" s="137" t="str">
        <f t="shared" si="53"/>
        <v/>
      </c>
      <c r="NC56" s="137" t="str">
        <f t="shared" si="53"/>
        <v/>
      </c>
      <c r="ND56" s="137" t="str">
        <f t="shared" si="53"/>
        <v/>
      </c>
      <c r="NE56" s="137" t="str">
        <f t="shared" si="53"/>
        <v/>
      </c>
      <c r="NF56" s="137" t="str">
        <f t="shared" si="53"/>
        <v/>
      </c>
      <c r="NG56" s="137" t="str">
        <f t="shared" si="53"/>
        <v/>
      </c>
      <c r="NH56" s="137" t="str">
        <f t="shared" si="53"/>
        <v/>
      </c>
      <c r="NI56" s="137" t="str">
        <f t="shared" si="53"/>
        <v/>
      </c>
      <c r="NJ56" s="137" t="str">
        <f t="shared" si="53"/>
        <v/>
      </c>
      <c r="NK56" s="137" t="str">
        <f t="shared" si="53"/>
        <v/>
      </c>
      <c r="NL56" s="137" t="str">
        <f t="shared" si="53"/>
        <v/>
      </c>
      <c r="NM56" s="137" t="str">
        <f t="shared" si="53"/>
        <v/>
      </c>
      <c r="NN56" s="137" t="str">
        <f t="shared" si="53"/>
        <v/>
      </c>
      <c r="NO56" s="137" t="str">
        <f t="shared" si="53"/>
        <v/>
      </c>
      <c r="NP56" s="137" t="str">
        <f t="shared" si="53"/>
        <v/>
      </c>
      <c r="NQ56" s="137" t="str">
        <f t="shared" si="53"/>
        <v/>
      </c>
      <c r="NR56" s="137" t="str">
        <f t="shared" si="53"/>
        <v/>
      </c>
      <c r="NS56" s="137" t="str">
        <f t="shared" si="53"/>
        <v/>
      </c>
      <c r="NT56" s="137" t="str">
        <f t="shared" si="53"/>
        <v/>
      </c>
      <c r="NU56" s="137" t="str">
        <f t="shared" si="53"/>
        <v/>
      </c>
      <c r="NV56" s="137" t="str">
        <f t="shared" si="53"/>
        <v/>
      </c>
      <c r="NW56" s="137" t="str">
        <f t="shared" si="53"/>
        <v/>
      </c>
      <c r="NX56" s="137" t="str">
        <f t="shared" si="53"/>
        <v/>
      </c>
      <c r="NY56" s="137" t="str">
        <f t="shared" si="53"/>
        <v/>
      </c>
      <c r="NZ56" s="137" t="str">
        <f t="shared" ref="NZ56:QK56" si="54">IF(SUM(NZ54:NZ55)=0,"",SUM(NZ54:NZ55))</f>
        <v/>
      </c>
      <c r="OA56" s="137" t="str">
        <f t="shared" si="54"/>
        <v/>
      </c>
      <c r="OB56" s="137" t="str">
        <f t="shared" si="54"/>
        <v/>
      </c>
      <c r="OC56" s="137" t="str">
        <f t="shared" si="54"/>
        <v/>
      </c>
      <c r="OD56" s="137" t="str">
        <f t="shared" si="54"/>
        <v/>
      </c>
      <c r="OE56" s="137" t="str">
        <f t="shared" si="54"/>
        <v/>
      </c>
      <c r="OF56" s="137" t="str">
        <f t="shared" si="54"/>
        <v/>
      </c>
      <c r="OG56" s="137" t="str">
        <f t="shared" si="54"/>
        <v/>
      </c>
      <c r="OH56" s="137" t="str">
        <f t="shared" si="54"/>
        <v/>
      </c>
      <c r="OI56" s="137" t="str">
        <f t="shared" si="54"/>
        <v/>
      </c>
      <c r="OJ56" s="137" t="str">
        <f t="shared" si="54"/>
        <v/>
      </c>
      <c r="OK56" s="137" t="str">
        <f t="shared" si="54"/>
        <v/>
      </c>
      <c r="OL56" s="137" t="str">
        <f t="shared" si="54"/>
        <v/>
      </c>
      <c r="OM56" s="137" t="str">
        <f t="shared" si="54"/>
        <v/>
      </c>
      <c r="ON56" s="137" t="str">
        <f t="shared" si="54"/>
        <v/>
      </c>
      <c r="OO56" s="137" t="str">
        <f t="shared" si="54"/>
        <v/>
      </c>
      <c r="OP56" s="137" t="str">
        <f t="shared" si="54"/>
        <v/>
      </c>
      <c r="OQ56" s="137" t="str">
        <f t="shared" si="54"/>
        <v/>
      </c>
      <c r="OR56" s="137" t="str">
        <f t="shared" si="54"/>
        <v/>
      </c>
      <c r="OS56" s="137" t="str">
        <f t="shared" si="54"/>
        <v/>
      </c>
      <c r="OT56" s="137" t="str">
        <f t="shared" si="54"/>
        <v/>
      </c>
      <c r="OU56" s="137" t="str">
        <f t="shared" si="54"/>
        <v/>
      </c>
      <c r="OV56" s="137" t="str">
        <f t="shared" si="54"/>
        <v/>
      </c>
      <c r="OW56" s="137" t="str">
        <f t="shared" si="54"/>
        <v/>
      </c>
      <c r="OX56" s="137" t="str">
        <f t="shared" si="54"/>
        <v/>
      </c>
      <c r="OY56" s="137" t="str">
        <f t="shared" si="54"/>
        <v/>
      </c>
      <c r="OZ56" s="137" t="str">
        <f t="shared" si="54"/>
        <v/>
      </c>
      <c r="PA56" s="137" t="str">
        <f t="shared" si="54"/>
        <v/>
      </c>
      <c r="PB56" s="137" t="str">
        <f t="shared" si="54"/>
        <v/>
      </c>
      <c r="PC56" s="137" t="str">
        <f t="shared" si="54"/>
        <v/>
      </c>
      <c r="PD56" s="137" t="str">
        <f t="shared" si="54"/>
        <v/>
      </c>
      <c r="PE56" s="137" t="str">
        <f t="shared" si="54"/>
        <v/>
      </c>
      <c r="PF56" s="137" t="str">
        <f t="shared" si="54"/>
        <v/>
      </c>
      <c r="PG56" s="137" t="str">
        <f t="shared" si="54"/>
        <v/>
      </c>
      <c r="PH56" s="137" t="str">
        <f t="shared" si="54"/>
        <v/>
      </c>
      <c r="PI56" s="137" t="str">
        <f t="shared" si="54"/>
        <v/>
      </c>
      <c r="PJ56" s="137" t="str">
        <f t="shared" si="54"/>
        <v/>
      </c>
      <c r="PK56" s="137" t="str">
        <f t="shared" si="54"/>
        <v/>
      </c>
      <c r="PL56" s="137" t="str">
        <f t="shared" si="54"/>
        <v/>
      </c>
      <c r="PM56" s="137" t="str">
        <f t="shared" si="54"/>
        <v/>
      </c>
      <c r="PN56" s="137" t="str">
        <f t="shared" si="54"/>
        <v/>
      </c>
      <c r="PO56" s="137" t="str">
        <f t="shared" si="54"/>
        <v/>
      </c>
      <c r="PP56" s="137" t="str">
        <f t="shared" si="54"/>
        <v/>
      </c>
      <c r="PQ56" s="137" t="str">
        <f t="shared" si="54"/>
        <v/>
      </c>
      <c r="PR56" s="137" t="str">
        <f t="shared" si="54"/>
        <v/>
      </c>
      <c r="PS56" s="137" t="str">
        <f t="shared" si="54"/>
        <v/>
      </c>
      <c r="PT56" s="137" t="str">
        <f t="shared" si="54"/>
        <v/>
      </c>
      <c r="PU56" s="137" t="str">
        <f t="shared" si="54"/>
        <v/>
      </c>
      <c r="PV56" s="137" t="str">
        <f t="shared" si="54"/>
        <v/>
      </c>
      <c r="PW56" s="137" t="str">
        <f t="shared" si="54"/>
        <v/>
      </c>
      <c r="PX56" s="137" t="str">
        <f t="shared" si="54"/>
        <v/>
      </c>
      <c r="PY56" s="137" t="str">
        <f t="shared" si="54"/>
        <v/>
      </c>
      <c r="PZ56" s="137" t="str">
        <f t="shared" si="54"/>
        <v/>
      </c>
      <c r="QA56" s="137" t="str">
        <f t="shared" si="54"/>
        <v/>
      </c>
      <c r="QB56" s="137" t="str">
        <f t="shared" si="54"/>
        <v/>
      </c>
      <c r="QC56" s="137" t="str">
        <f t="shared" si="54"/>
        <v/>
      </c>
      <c r="QD56" s="137" t="str">
        <f t="shared" si="54"/>
        <v/>
      </c>
      <c r="QE56" s="137" t="str">
        <f t="shared" si="54"/>
        <v/>
      </c>
      <c r="QF56" s="137" t="str">
        <f t="shared" si="54"/>
        <v/>
      </c>
      <c r="QG56" s="137" t="str">
        <f t="shared" si="54"/>
        <v/>
      </c>
      <c r="QH56" s="137" t="str">
        <f t="shared" si="54"/>
        <v/>
      </c>
      <c r="QI56" s="137" t="str">
        <f t="shared" si="54"/>
        <v/>
      </c>
      <c r="QJ56" s="137" t="str">
        <f t="shared" si="54"/>
        <v/>
      </c>
      <c r="QK56" s="137" t="str">
        <f t="shared" si="54"/>
        <v/>
      </c>
      <c r="QL56" s="137" t="str">
        <f t="shared" ref="QL56:SW56" si="55">IF(SUM(QL54:QL55)=0,"",SUM(QL54:QL55))</f>
        <v/>
      </c>
      <c r="QM56" s="137" t="str">
        <f t="shared" si="55"/>
        <v/>
      </c>
      <c r="QN56" s="137" t="str">
        <f t="shared" si="55"/>
        <v/>
      </c>
      <c r="QO56" s="137" t="str">
        <f t="shared" si="55"/>
        <v/>
      </c>
      <c r="QP56" s="137" t="str">
        <f t="shared" si="55"/>
        <v/>
      </c>
      <c r="QQ56" s="137" t="str">
        <f t="shared" si="55"/>
        <v/>
      </c>
      <c r="QR56" s="137" t="str">
        <f t="shared" si="55"/>
        <v/>
      </c>
      <c r="QS56" s="137" t="str">
        <f t="shared" si="55"/>
        <v/>
      </c>
      <c r="QT56" s="137" t="str">
        <f t="shared" si="55"/>
        <v/>
      </c>
      <c r="QU56" s="137" t="str">
        <f t="shared" si="55"/>
        <v/>
      </c>
      <c r="QV56" s="137" t="str">
        <f t="shared" si="55"/>
        <v/>
      </c>
      <c r="QW56" s="137" t="str">
        <f t="shared" si="55"/>
        <v/>
      </c>
      <c r="QX56" s="137" t="str">
        <f t="shared" si="55"/>
        <v/>
      </c>
      <c r="QY56" s="137" t="str">
        <f t="shared" si="55"/>
        <v/>
      </c>
      <c r="QZ56" s="137" t="str">
        <f t="shared" si="55"/>
        <v/>
      </c>
      <c r="RA56" s="137" t="str">
        <f t="shared" si="55"/>
        <v/>
      </c>
      <c r="RB56" s="137" t="str">
        <f t="shared" si="55"/>
        <v/>
      </c>
      <c r="RC56" s="137" t="str">
        <f t="shared" si="55"/>
        <v/>
      </c>
      <c r="RD56" s="137" t="str">
        <f t="shared" si="55"/>
        <v/>
      </c>
      <c r="RE56" s="137" t="str">
        <f t="shared" si="55"/>
        <v/>
      </c>
      <c r="RF56" s="137" t="str">
        <f t="shared" si="55"/>
        <v/>
      </c>
      <c r="RG56" s="137" t="str">
        <f t="shared" si="55"/>
        <v/>
      </c>
      <c r="RH56" s="137" t="str">
        <f t="shared" si="55"/>
        <v/>
      </c>
      <c r="RI56" s="137" t="str">
        <f t="shared" si="55"/>
        <v/>
      </c>
      <c r="RJ56" s="137" t="str">
        <f t="shared" si="55"/>
        <v/>
      </c>
      <c r="RK56" s="137" t="str">
        <f t="shared" si="55"/>
        <v/>
      </c>
      <c r="RL56" s="137" t="str">
        <f t="shared" si="55"/>
        <v/>
      </c>
      <c r="RM56" s="137" t="str">
        <f t="shared" si="55"/>
        <v/>
      </c>
      <c r="RN56" s="137" t="str">
        <f t="shared" si="55"/>
        <v/>
      </c>
      <c r="RO56" s="137" t="str">
        <f t="shared" si="55"/>
        <v/>
      </c>
      <c r="RP56" s="137" t="str">
        <f t="shared" si="55"/>
        <v/>
      </c>
      <c r="RQ56" s="137" t="str">
        <f t="shared" si="55"/>
        <v/>
      </c>
      <c r="RR56" s="137" t="str">
        <f t="shared" si="55"/>
        <v/>
      </c>
      <c r="RS56" s="137" t="str">
        <f t="shared" si="55"/>
        <v/>
      </c>
      <c r="RT56" s="137" t="str">
        <f t="shared" si="55"/>
        <v/>
      </c>
      <c r="RU56" s="137" t="str">
        <f t="shared" si="55"/>
        <v/>
      </c>
      <c r="RV56" s="137" t="str">
        <f t="shared" si="55"/>
        <v/>
      </c>
      <c r="RW56" s="137" t="str">
        <f t="shared" si="55"/>
        <v/>
      </c>
      <c r="RX56" s="137" t="str">
        <f t="shared" si="55"/>
        <v/>
      </c>
      <c r="RY56" s="137" t="str">
        <f t="shared" si="55"/>
        <v/>
      </c>
      <c r="RZ56" s="137" t="str">
        <f t="shared" si="55"/>
        <v/>
      </c>
      <c r="SA56" s="137" t="str">
        <f t="shared" si="55"/>
        <v/>
      </c>
      <c r="SB56" s="137" t="str">
        <f t="shared" si="55"/>
        <v/>
      </c>
      <c r="SC56" s="137" t="str">
        <f t="shared" si="55"/>
        <v/>
      </c>
      <c r="SD56" s="137" t="str">
        <f t="shared" si="55"/>
        <v/>
      </c>
      <c r="SE56" s="137" t="str">
        <f t="shared" si="55"/>
        <v/>
      </c>
      <c r="SF56" s="137" t="str">
        <f t="shared" si="55"/>
        <v/>
      </c>
      <c r="SG56" s="137" t="str">
        <f t="shared" si="55"/>
        <v/>
      </c>
      <c r="SH56" s="137" t="str">
        <f t="shared" si="55"/>
        <v/>
      </c>
      <c r="SI56" s="137" t="str">
        <f t="shared" si="55"/>
        <v/>
      </c>
      <c r="SJ56" s="137" t="str">
        <f t="shared" si="55"/>
        <v/>
      </c>
      <c r="SK56" s="137" t="str">
        <f t="shared" si="55"/>
        <v/>
      </c>
      <c r="SL56" s="137" t="str">
        <f t="shared" si="55"/>
        <v/>
      </c>
      <c r="SM56" s="137" t="str">
        <f t="shared" si="55"/>
        <v/>
      </c>
      <c r="SN56" s="137" t="str">
        <f t="shared" si="55"/>
        <v/>
      </c>
      <c r="SO56" s="137" t="str">
        <f t="shared" si="55"/>
        <v/>
      </c>
      <c r="SP56" s="137" t="str">
        <f t="shared" si="55"/>
        <v/>
      </c>
      <c r="SQ56" s="137" t="str">
        <f t="shared" si="55"/>
        <v/>
      </c>
      <c r="SR56" s="137" t="str">
        <f t="shared" si="55"/>
        <v/>
      </c>
      <c r="SS56" s="137" t="str">
        <f t="shared" si="55"/>
        <v/>
      </c>
      <c r="ST56" s="137" t="str">
        <f t="shared" si="55"/>
        <v/>
      </c>
      <c r="SU56" s="137" t="str">
        <f t="shared" si="55"/>
        <v/>
      </c>
      <c r="SV56" s="137" t="str">
        <f t="shared" si="55"/>
        <v/>
      </c>
      <c r="SW56" s="137" t="str">
        <f t="shared" si="55"/>
        <v/>
      </c>
      <c r="SX56" s="137" t="str">
        <f t="shared" ref="SX56:US56" si="56">IF(SUM(SX54:SX55)=0,"",SUM(SX54:SX55))</f>
        <v/>
      </c>
      <c r="SY56" s="137" t="str">
        <f t="shared" si="56"/>
        <v/>
      </c>
      <c r="SZ56" s="137" t="str">
        <f t="shared" si="56"/>
        <v/>
      </c>
      <c r="TA56" s="137" t="str">
        <f t="shared" si="56"/>
        <v/>
      </c>
      <c r="TB56" s="137" t="str">
        <f t="shared" si="56"/>
        <v/>
      </c>
      <c r="TC56" s="137" t="str">
        <f t="shared" si="56"/>
        <v/>
      </c>
      <c r="TD56" s="137" t="str">
        <f t="shared" si="56"/>
        <v/>
      </c>
      <c r="TE56" s="137" t="str">
        <f t="shared" si="56"/>
        <v/>
      </c>
      <c r="TF56" s="137" t="str">
        <f t="shared" si="56"/>
        <v/>
      </c>
      <c r="TG56" s="137" t="str">
        <f t="shared" si="56"/>
        <v/>
      </c>
      <c r="TH56" s="137" t="str">
        <f t="shared" si="56"/>
        <v/>
      </c>
      <c r="TI56" s="137" t="str">
        <f t="shared" si="56"/>
        <v/>
      </c>
      <c r="TJ56" s="137" t="str">
        <f t="shared" si="56"/>
        <v/>
      </c>
      <c r="TK56" s="137" t="str">
        <f t="shared" si="56"/>
        <v/>
      </c>
      <c r="TL56" s="137" t="str">
        <f t="shared" si="56"/>
        <v/>
      </c>
      <c r="TM56" s="137" t="str">
        <f t="shared" si="56"/>
        <v/>
      </c>
      <c r="TN56" s="137" t="str">
        <f t="shared" si="56"/>
        <v/>
      </c>
      <c r="TO56" s="137" t="str">
        <f t="shared" si="56"/>
        <v/>
      </c>
      <c r="TP56" s="137" t="str">
        <f t="shared" si="56"/>
        <v/>
      </c>
      <c r="TQ56" s="137" t="str">
        <f t="shared" si="56"/>
        <v/>
      </c>
      <c r="TR56" s="137" t="str">
        <f t="shared" si="56"/>
        <v/>
      </c>
      <c r="TS56" s="137" t="str">
        <f t="shared" si="56"/>
        <v/>
      </c>
      <c r="TT56" s="137" t="str">
        <f t="shared" si="56"/>
        <v/>
      </c>
      <c r="TU56" s="137" t="str">
        <f t="shared" si="56"/>
        <v/>
      </c>
      <c r="TV56" s="137" t="str">
        <f t="shared" si="56"/>
        <v/>
      </c>
      <c r="TW56" s="137" t="str">
        <f t="shared" si="56"/>
        <v/>
      </c>
      <c r="TX56" s="137" t="str">
        <f t="shared" si="56"/>
        <v/>
      </c>
      <c r="TY56" s="137" t="str">
        <f t="shared" si="56"/>
        <v/>
      </c>
      <c r="TZ56" s="137" t="str">
        <f t="shared" si="56"/>
        <v/>
      </c>
      <c r="UA56" s="137" t="str">
        <f t="shared" si="56"/>
        <v/>
      </c>
      <c r="UB56" s="137" t="str">
        <f t="shared" si="56"/>
        <v/>
      </c>
      <c r="UC56" s="137" t="str">
        <f t="shared" si="56"/>
        <v/>
      </c>
      <c r="UD56" s="137" t="str">
        <f t="shared" si="56"/>
        <v/>
      </c>
      <c r="UE56" s="137" t="str">
        <f t="shared" si="56"/>
        <v/>
      </c>
      <c r="UF56" s="137" t="str">
        <f t="shared" si="56"/>
        <v/>
      </c>
      <c r="UG56" s="137" t="str">
        <f t="shared" si="56"/>
        <v/>
      </c>
      <c r="UH56" s="137" t="str">
        <f t="shared" si="56"/>
        <v/>
      </c>
      <c r="UI56" s="137" t="str">
        <f t="shared" si="56"/>
        <v/>
      </c>
      <c r="UJ56" s="137" t="str">
        <f t="shared" si="56"/>
        <v/>
      </c>
      <c r="UK56" s="137" t="str">
        <f t="shared" si="56"/>
        <v/>
      </c>
      <c r="UL56" s="137" t="str">
        <f t="shared" si="56"/>
        <v/>
      </c>
      <c r="UM56" s="137" t="str">
        <f t="shared" si="56"/>
        <v/>
      </c>
      <c r="UN56" s="137" t="str">
        <f t="shared" si="56"/>
        <v/>
      </c>
      <c r="UO56" s="137" t="str">
        <f t="shared" si="56"/>
        <v/>
      </c>
      <c r="UP56" s="137" t="str">
        <f t="shared" si="56"/>
        <v/>
      </c>
      <c r="UQ56" s="137" t="str">
        <f t="shared" si="56"/>
        <v/>
      </c>
      <c r="UR56" s="137" t="str">
        <f t="shared" si="56"/>
        <v/>
      </c>
      <c r="US56" s="137" t="str">
        <f t="shared" si="56"/>
        <v/>
      </c>
      <c r="UT56" s="194"/>
    </row>
    <row r="57" spans="2:572" s="90" customFormat="1" x14ac:dyDescent="0.3">
      <c r="B57" s="140"/>
      <c r="E57" s="141">
        <v>20</v>
      </c>
      <c r="F57" s="141" t="e">
        <f>F55/$E$57</f>
        <v>#VALUE!</v>
      </c>
      <c r="G57" s="141" t="e">
        <f>G55/$E$57</f>
        <v>#VALUE!</v>
      </c>
      <c r="H57" s="141"/>
      <c r="I57" s="141"/>
      <c r="J57" s="141"/>
      <c r="K57" s="141" t="e">
        <f t="shared" ref="K57:BV57" si="57">K55/$E$57</f>
        <v>#VALUE!</v>
      </c>
      <c r="L57" s="141" t="e">
        <f t="shared" si="57"/>
        <v>#VALUE!</v>
      </c>
      <c r="M57" s="141" t="e">
        <f t="shared" si="57"/>
        <v>#VALUE!</v>
      </c>
      <c r="N57" s="141" t="e">
        <f t="shared" si="57"/>
        <v>#VALUE!</v>
      </c>
      <c r="O57" s="141" t="e">
        <f t="shared" si="57"/>
        <v>#VALUE!</v>
      </c>
      <c r="P57" s="141" t="e">
        <f t="shared" si="57"/>
        <v>#VALUE!</v>
      </c>
      <c r="Q57" s="141" t="e">
        <f t="shared" si="57"/>
        <v>#VALUE!</v>
      </c>
      <c r="R57" s="141" t="e">
        <f t="shared" si="57"/>
        <v>#VALUE!</v>
      </c>
      <c r="S57" s="141" t="e">
        <f t="shared" si="57"/>
        <v>#VALUE!</v>
      </c>
      <c r="T57" s="141" t="e">
        <f t="shared" si="57"/>
        <v>#VALUE!</v>
      </c>
      <c r="U57" s="141" t="e">
        <f t="shared" si="57"/>
        <v>#VALUE!</v>
      </c>
      <c r="V57" s="141" t="e">
        <f t="shared" si="57"/>
        <v>#VALUE!</v>
      </c>
      <c r="W57" s="141" t="e">
        <f t="shared" si="57"/>
        <v>#VALUE!</v>
      </c>
      <c r="X57" s="141" t="e">
        <f t="shared" si="57"/>
        <v>#VALUE!</v>
      </c>
      <c r="Y57" s="141" t="e">
        <f t="shared" si="57"/>
        <v>#VALUE!</v>
      </c>
      <c r="Z57" s="141" t="e">
        <f t="shared" si="57"/>
        <v>#VALUE!</v>
      </c>
      <c r="AA57" s="141" t="e">
        <f t="shared" si="57"/>
        <v>#VALUE!</v>
      </c>
      <c r="AB57" s="141" t="e">
        <f t="shared" si="57"/>
        <v>#VALUE!</v>
      </c>
      <c r="AC57" s="141" t="e">
        <f t="shared" si="57"/>
        <v>#VALUE!</v>
      </c>
      <c r="AD57" s="141" t="e">
        <f t="shared" si="57"/>
        <v>#VALUE!</v>
      </c>
      <c r="AE57" s="141" t="e">
        <f t="shared" si="57"/>
        <v>#VALUE!</v>
      </c>
      <c r="AF57" s="141" t="e">
        <f t="shared" si="57"/>
        <v>#VALUE!</v>
      </c>
      <c r="AG57" s="141" t="e">
        <f t="shared" si="57"/>
        <v>#VALUE!</v>
      </c>
      <c r="AH57" s="141" t="e">
        <f t="shared" si="57"/>
        <v>#VALUE!</v>
      </c>
      <c r="AI57" s="141" t="e">
        <f t="shared" si="57"/>
        <v>#VALUE!</v>
      </c>
      <c r="AJ57" s="141" t="e">
        <f t="shared" si="57"/>
        <v>#VALUE!</v>
      </c>
      <c r="AK57" s="141" t="e">
        <f t="shared" si="57"/>
        <v>#VALUE!</v>
      </c>
      <c r="AL57" s="141" t="e">
        <f t="shared" si="57"/>
        <v>#VALUE!</v>
      </c>
      <c r="AM57" s="141" t="e">
        <f t="shared" si="57"/>
        <v>#VALUE!</v>
      </c>
      <c r="AN57" s="141" t="e">
        <f t="shared" si="57"/>
        <v>#VALUE!</v>
      </c>
      <c r="AO57" s="141" t="e">
        <f t="shared" si="57"/>
        <v>#VALUE!</v>
      </c>
      <c r="AP57" s="141" t="e">
        <f t="shared" si="57"/>
        <v>#VALUE!</v>
      </c>
      <c r="AQ57" s="141" t="e">
        <f t="shared" si="57"/>
        <v>#VALUE!</v>
      </c>
      <c r="AR57" s="141" t="e">
        <f t="shared" si="57"/>
        <v>#VALUE!</v>
      </c>
      <c r="AS57" s="141" t="e">
        <f t="shared" si="57"/>
        <v>#VALUE!</v>
      </c>
      <c r="AT57" s="141" t="e">
        <f t="shared" si="57"/>
        <v>#VALUE!</v>
      </c>
      <c r="AU57" s="141" t="e">
        <f t="shared" si="57"/>
        <v>#VALUE!</v>
      </c>
      <c r="AV57" s="141" t="e">
        <f t="shared" si="57"/>
        <v>#VALUE!</v>
      </c>
      <c r="AW57" s="141" t="e">
        <f t="shared" si="57"/>
        <v>#VALUE!</v>
      </c>
      <c r="AX57" s="141" t="e">
        <f t="shared" si="57"/>
        <v>#VALUE!</v>
      </c>
      <c r="AY57" s="141" t="e">
        <f t="shared" si="57"/>
        <v>#VALUE!</v>
      </c>
      <c r="AZ57" s="141" t="e">
        <f t="shared" si="57"/>
        <v>#VALUE!</v>
      </c>
      <c r="BA57" s="141" t="e">
        <f t="shared" si="57"/>
        <v>#VALUE!</v>
      </c>
      <c r="BB57" s="141" t="e">
        <f t="shared" si="57"/>
        <v>#VALUE!</v>
      </c>
      <c r="BC57" s="141" t="e">
        <f t="shared" si="57"/>
        <v>#VALUE!</v>
      </c>
      <c r="BD57" s="141" t="e">
        <f t="shared" si="57"/>
        <v>#VALUE!</v>
      </c>
      <c r="BE57" s="141" t="e">
        <f t="shared" si="57"/>
        <v>#VALUE!</v>
      </c>
      <c r="BF57" s="141" t="e">
        <f t="shared" si="57"/>
        <v>#VALUE!</v>
      </c>
      <c r="BG57" s="141" t="e">
        <f t="shared" si="57"/>
        <v>#VALUE!</v>
      </c>
      <c r="BH57" s="141" t="e">
        <f t="shared" si="57"/>
        <v>#VALUE!</v>
      </c>
      <c r="BI57" s="141" t="e">
        <f t="shared" si="57"/>
        <v>#VALUE!</v>
      </c>
      <c r="BJ57" s="141" t="e">
        <f t="shared" si="57"/>
        <v>#VALUE!</v>
      </c>
      <c r="BK57" s="141" t="e">
        <f t="shared" si="57"/>
        <v>#VALUE!</v>
      </c>
      <c r="BL57" s="141" t="e">
        <f t="shared" si="57"/>
        <v>#VALUE!</v>
      </c>
      <c r="BM57" s="141" t="e">
        <f t="shared" si="57"/>
        <v>#VALUE!</v>
      </c>
      <c r="BN57" s="141" t="e">
        <f t="shared" si="57"/>
        <v>#VALUE!</v>
      </c>
      <c r="BO57" s="141" t="e">
        <f t="shared" si="57"/>
        <v>#VALUE!</v>
      </c>
      <c r="BP57" s="141" t="e">
        <f t="shared" si="57"/>
        <v>#VALUE!</v>
      </c>
      <c r="BQ57" s="141" t="e">
        <f t="shared" si="57"/>
        <v>#VALUE!</v>
      </c>
      <c r="BR57" s="141" t="e">
        <f t="shared" si="57"/>
        <v>#VALUE!</v>
      </c>
      <c r="BS57" s="141" t="e">
        <f t="shared" si="57"/>
        <v>#VALUE!</v>
      </c>
      <c r="BT57" s="141" t="e">
        <f t="shared" si="57"/>
        <v>#VALUE!</v>
      </c>
      <c r="BU57" s="141" t="e">
        <f t="shared" si="57"/>
        <v>#VALUE!</v>
      </c>
      <c r="BV57" s="141" t="e">
        <f t="shared" si="57"/>
        <v>#VALUE!</v>
      </c>
      <c r="BW57" s="141" t="e">
        <f t="shared" ref="BW57:EH57" si="58">BW55/$E$57</f>
        <v>#VALUE!</v>
      </c>
      <c r="BX57" s="141" t="e">
        <f t="shared" si="58"/>
        <v>#VALUE!</v>
      </c>
      <c r="BY57" s="141" t="e">
        <f t="shared" si="58"/>
        <v>#VALUE!</v>
      </c>
      <c r="BZ57" s="141" t="e">
        <f t="shared" si="58"/>
        <v>#VALUE!</v>
      </c>
      <c r="CA57" s="141" t="e">
        <f t="shared" si="58"/>
        <v>#VALUE!</v>
      </c>
      <c r="CB57" s="141" t="e">
        <f t="shared" si="58"/>
        <v>#VALUE!</v>
      </c>
      <c r="CC57" s="141" t="e">
        <f t="shared" si="58"/>
        <v>#VALUE!</v>
      </c>
      <c r="CD57" s="141" t="e">
        <f t="shared" si="58"/>
        <v>#VALUE!</v>
      </c>
      <c r="CE57" s="141" t="e">
        <f t="shared" si="58"/>
        <v>#VALUE!</v>
      </c>
      <c r="CF57" s="141" t="e">
        <f t="shared" si="58"/>
        <v>#VALUE!</v>
      </c>
      <c r="CG57" s="141" t="e">
        <f t="shared" si="58"/>
        <v>#VALUE!</v>
      </c>
      <c r="CH57" s="141" t="e">
        <f t="shared" si="58"/>
        <v>#VALUE!</v>
      </c>
      <c r="CI57" s="141" t="e">
        <f t="shared" si="58"/>
        <v>#VALUE!</v>
      </c>
      <c r="CJ57" s="141" t="e">
        <f t="shared" si="58"/>
        <v>#VALUE!</v>
      </c>
      <c r="CK57" s="141" t="e">
        <f t="shared" si="58"/>
        <v>#VALUE!</v>
      </c>
      <c r="CL57" s="141" t="e">
        <f t="shared" si="58"/>
        <v>#VALUE!</v>
      </c>
      <c r="CM57" s="141" t="e">
        <f t="shared" si="58"/>
        <v>#VALUE!</v>
      </c>
      <c r="CN57" s="141" t="e">
        <f t="shared" si="58"/>
        <v>#VALUE!</v>
      </c>
      <c r="CO57" s="141" t="e">
        <f t="shared" si="58"/>
        <v>#VALUE!</v>
      </c>
      <c r="CP57" s="141" t="e">
        <f t="shared" si="58"/>
        <v>#VALUE!</v>
      </c>
      <c r="CQ57" s="141" t="e">
        <f t="shared" si="58"/>
        <v>#VALUE!</v>
      </c>
      <c r="CR57" s="141" t="e">
        <f t="shared" si="58"/>
        <v>#VALUE!</v>
      </c>
      <c r="CS57" s="141" t="e">
        <f t="shared" si="58"/>
        <v>#VALUE!</v>
      </c>
      <c r="CT57" s="141" t="e">
        <f t="shared" si="58"/>
        <v>#VALUE!</v>
      </c>
      <c r="CU57" s="141" t="e">
        <f t="shared" si="58"/>
        <v>#VALUE!</v>
      </c>
      <c r="CV57" s="141" t="e">
        <f t="shared" si="58"/>
        <v>#VALUE!</v>
      </c>
      <c r="CW57" s="141" t="e">
        <f t="shared" si="58"/>
        <v>#VALUE!</v>
      </c>
      <c r="CX57" s="141" t="e">
        <f t="shared" si="58"/>
        <v>#VALUE!</v>
      </c>
      <c r="CY57" s="141" t="e">
        <f t="shared" si="58"/>
        <v>#VALUE!</v>
      </c>
      <c r="CZ57" s="141" t="e">
        <f t="shared" si="58"/>
        <v>#VALUE!</v>
      </c>
      <c r="DA57" s="141" t="e">
        <f t="shared" si="58"/>
        <v>#VALUE!</v>
      </c>
      <c r="DB57" s="141" t="e">
        <f t="shared" si="58"/>
        <v>#VALUE!</v>
      </c>
      <c r="DC57" s="141" t="e">
        <f t="shared" si="58"/>
        <v>#VALUE!</v>
      </c>
      <c r="DD57" s="141" t="e">
        <f t="shared" si="58"/>
        <v>#VALUE!</v>
      </c>
      <c r="DE57" s="141" t="e">
        <f t="shared" si="58"/>
        <v>#VALUE!</v>
      </c>
      <c r="DF57" s="141" t="e">
        <f t="shared" si="58"/>
        <v>#VALUE!</v>
      </c>
      <c r="DG57" s="141" t="e">
        <f t="shared" si="58"/>
        <v>#VALUE!</v>
      </c>
      <c r="DH57" s="141" t="e">
        <f t="shared" si="58"/>
        <v>#VALUE!</v>
      </c>
      <c r="DI57" s="141" t="e">
        <f t="shared" si="58"/>
        <v>#VALUE!</v>
      </c>
      <c r="DJ57" s="141" t="e">
        <f t="shared" si="58"/>
        <v>#VALUE!</v>
      </c>
      <c r="DK57" s="141" t="e">
        <f t="shared" si="58"/>
        <v>#VALUE!</v>
      </c>
      <c r="DL57" s="141" t="e">
        <f t="shared" si="58"/>
        <v>#VALUE!</v>
      </c>
      <c r="DM57" s="141" t="e">
        <f t="shared" si="58"/>
        <v>#VALUE!</v>
      </c>
      <c r="DN57" s="141" t="e">
        <f t="shared" si="58"/>
        <v>#VALUE!</v>
      </c>
      <c r="DO57" s="141" t="e">
        <f t="shared" si="58"/>
        <v>#VALUE!</v>
      </c>
      <c r="DP57" s="141" t="e">
        <f t="shared" si="58"/>
        <v>#VALUE!</v>
      </c>
      <c r="DQ57" s="141" t="e">
        <f t="shared" si="58"/>
        <v>#VALUE!</v>
      </c>
      <c r="DR57" s="141" t="e">
        <f t="shared" si="58"/>
        <v>#VALUE!</v>
      </c>
      <c r="DS57" s="141" t="e">
        <f t="shared" si="58"/>
        <v>#VALUE!</v>
      </c>
      <c r="DT57" s="141" t="e">
        <f t="shared" si="58"/>
        <v>#VALUE!</v>
      </c>
      <c r="DU57" s="141" t="e">
        <f t="shared" si="58"/>
        <v>#VALUE!</v>
      </c>
      <c r="DV57" s="141" t="e">
        <f t="shared" si="58"/>
        <v>#VALUE!</v>
      </c>
      <c r="DW57" s="141" t="e">
        <f t="shared" si="58"/>
        <v>#VALUE!</v>
      </c>
      <c r="DX57" s="141" t="e">
        <f t="shared" si="58"/>
        <v>#VALUE!</v>
      </c>
      <c r="DY57" s="141" t="e">
        <f t="shared" si="58"/>
        <v>#VALUE!</v>
      </c>
      <c r="DZ57" s="141" t="e">
        <f t="shared" si="58"/>
        <v>#VALUE!</v>
      </c>
      <c r="EA57" s="141" t="e">
        <f t="shared" si="58"/>
        <v>#VALUE!</v>
      </c>
      <c r="EB57" s="141" t="e">
        <f t="shared" si="58"/>
        <v>#VALUE!</v>
      </c>
      <c r="EC57" s="141" t="e">
        <f t="shared" si="58"/>
        <v>#VALUE!</v>
      </c>
      <c r="ED57" s="141" t="e">
        <f t="shared" si="58"/>
        <v>#VALUE!</v>
      </c>
      <c r="EE57" s="141" t="e">
        <f t="shared" si="58"/>
        <v>#VALUE!</v>
      </c>
      <c r="EF57" s="141" t="e">
        <f t="shared" si="58"/>
        <v>#VALUE!</v>
      </c>
      <c r="EG57" s="141" t="e">
        <f t="shared" si="58"/>
        <v>#VALUE!</v>
      </c>
      <c r="EH57" s="141" t="e">
        <f t="shared" si="58"/>
        <v>#VALUE!</v>
      </c>
      <c r="EI57" s="141" t="e">
        <f t="shared" ref="EI57:GT57" si="59">EI55/$E$57</f>
        <v>#VALUE!</v>
      </c>
      <c r="EJ57" s="141" t="e">
        <f t="shared" si="59"/>
        <v>#VALUE!</v>
      </c>
      <c r="EK57" s="141" t="e">
        <f t="shared" si="59"/>
        <v>#VALUE!</v>
      </c>
      <c r="EL57" s="141" t="e">
        <f t="shared" si="59"/>
        <v>#VALUE!</v>
      </c>
      <c r="EM57" s="141" t="e">
        <f t="shared" si="59"/>
        <v>#VALUE!</v>
      </c>
      <c r="EN57" s="141" t="e">
        <f t="shared" si="59"/>
        <v>#VALUE!</v>
      </c>
      <c r="EO57" s="141" t="e">
        <f t="shared" si="59"/>
        <v>#VALUE!</v>
      </c>
      <c r="EP57" s="141" t="e">
        <f t="shared" si="59"/>
        <v>#VALUE!</v>
      </c>
      <c r="EQ57" s="141" t="e">
        <f t="shared" si="59"/>
        <v>#VALUE!</v>
      </c>
      <c r="ER57" s="141" t="e">
        <f t="shared" si="59"/>
        <v>#VALUE!</v>
      </c>
      <c r="ES57" s="141" t="e">
        <f t="shared" si="59"/>
        <v>#VALUE!</v>
      </c>
      <c r="ET57" s="141" t="e">
        <f t="shared" si="59"/>
        <v>#VALUE!</v>
      </c>
      <c r="EU57" s="141" t="e">
        <f t="shared" si="59"/>
        <v>#VALUE!</v>
      </c>
      <c r="EV57" s="141" t="e">
        <f t="shared" si="59"/>
        <v>#VALUE!</v>
      </c>
      <c r="EW57" s="141" t="e">
        <f t="shared" si="59"/>
        <v>#VALUE!</v>
      </c>
      <c r="EX57" s="141" t="e">
        <f t="shared" si="59"/>
        <v>#VALUE!</v>
      </c>
      <c r="EY57" s="141" t="e">
        <f t="shared" si="59"/>
        <v>#VALUE!</v>
      </c>
      <c r="EZ57" s="141" t="e">
        <f t="shared" si="59"/>
        <v>#VALUE!</v>
      </c>
      <c r="FA57" s="141" t="e">
        <f t="shared" si="59"/>
        <v>#VALUE!</v>
      </c>
      <c r="FB57" s="141" t="e">
        <f t="shared" si="59"/>
        <v>#VALUE!</v>
      </c>
      <c r="FC57" s="141" t="e">
        <f t="shared" si="59"/>
        <v>#VALUE!</v>
      </c>
      <c r="FD57" s="141" t="e">
        <f t="shared" si="59"/>
        <v>#VALUE!</v>
      </c>
      <c r="FE57" s="141" t="e">
        <f t="shared" si="59"/>
        <v>#VALUE!</v>
      </c>
      <c r="FF57" s="141" t="e">
        <f t="shared" si="59"/>
        <v>#VALUE!</v>
      </c>
      <c r="FG57" s="141" t="e">
        <f t="shared" si="59"/>
        <v>#VALUE!</v>
      </c>
      <c r="FH57" s="141" t="e">
        <f t="shared" si="59"/>
        <v>#VALUE!</v>
      </c>
      <c r="FI57" s="141" t="e">
        <f t="shared" si="59"/>
        <v>#VALUE!</v>
      </c>
      <c r="FJ57" s="141" t="e">
        <f t="shared" si="59"/>
        <v>#VALUE!</v>
      </c>
      <c r="FK57" s="141" t="e">
        <f t="shared" si="59"/>
        <v>#VALUE!</v>
      </c>
      <c r="FL57" s="141" t="e">
        <f t="shared" si="59"/>
        <v>#VALUE!</v>
      </c>
      <c r="FM57" s="141" t="e">
        <f t="shared" si="59"/>
        <v>#VALUE!</v>
      </c>
      <c r="FN57" s="141" t="e">
        <f t="shared" si="59"/>
        <v>#VALUE!</v>
      </c>
      <c r="FO57" s="141" t="e">
        <f t="shared" si="59"/>
        <v>#VALUE!</v>
      </c>
      <c r="FP57" s="141" t="e">
        <f t="shared" si="59"/>
        <v>#VALUE!</v>
      </c>
      <c r="FQ57" s="141" t="e">
        <f t="shared" si="59"/>
        <v>#VALUE!</v>
      </c>
      <c r="FR57" s="141" t="e">
        <f t="shared" si="59"/>
        <v>#VALUE!</v>
      </c>
      <c r="FS57" s="141" t="e">
        <f t="shared" si="59"/>
        <v>#VALUE!</v>
      </c>
      <c r="FT57" s="141" t="e">
        <f t="shared" si="59"/>
        <v>#VALUE!</v>
      </c>
      <c r="FU57" s="141" t="e">
        <f t="shared" si="59"/>
        <v>#VALUE!</v>
      </c>
      <c r="FV57" s="141" t="e">
        <f t="shared" si="59"/>
        <v>#VALUE!</v>
      </c>
      <c r="FW57" s="141" t="e">
        <f t="shared" si="59"/>
        <v>#VALUE!</v>
      </c>
      <c r="FX57" s="141" t="e">
        <f t="shared" si="59"/>
        <v>#VALUE!</v>
      </c>
      <c r="FY57" s="141" t="e">
        <f t="shared" si="59"/>
        <v>#VALUE!</v>
      </c>
      <c r="FZ57" s="141" t="e">
        <f t="shared" si="59"/>
        <v>#VALUE!</v>
      </c>
      <c r="GA57" s="141" t="e">
        <f t="shared" si="59"/>
        <v>#VALUE!</v>
      </c>
      <c r="GB57" s="141" t="e">
        <f t="shared" si="59"/>
        <v>#VALUE!</v>
      </c>
      <c r="GC57" s="141" t="e">
        <f t="shared" si="59"/>
        <v>#VALUE!</v>
      </c>
      <c r="GD57" s="141" t="e">
        <f t="shared" si="59"/>
        <v>#VALUE!</v>
      </c>
      <c r="GE57" s="141" t="e">
        <f t="shared" si="59"/>
        <v>#VALUE!</v>
      </c>
      <c r="GF57" s="141" t="e">
        <f t="shared" si="59"/>
        <v>#VALUE!</v>
      </c>
      <c r="GG57" s="141" t="e">
        <f t="shared" si="59"/>
        <v>#VALUE!</v>
      </c>
      <c r="GH57" s="141" t="e">
        <f t="shared" si="59"/>
        <v>#VALUE!</v>
      </c>
      <c r="GI57" s="141" t="e">
        <f t="shared" si="59"/>
        <v>#VALUE!</v>
      </c>
      <c r="GJ57" s="141" t="e">
        <f t="shared" si="59"/>
        <v>#VALUE!</v>
      </c>
      <c r="GK57" s="141" t="e">
        <f t="shared" si="59"/>
        <v>#VALUE!</v>
      </c>
      <c r="GL57" s="141" t="e">
        <f t="shared" si="59"/>
        <v>#VALUE!</v>
      </c>
      <c r="GM57" s="141" t="e">
        <f t="shared" si="59"/>
        <v>#VALUE!</v>
      </c>
      <c r="GN57" s="141" t="e">
        <f t="shared" si="59"/>
        <v>#VALUE!</v>
      </c>
      <c r="GO57" s="141" t="e">
        <f t="shared" si="59"/>
        <v>#VALUE!</v>
      </c>
      <c r="GP57" s="141" t="e">
        <f t="shared" si="59"/>
        <v>#VALUE!</v>
      </c>
      <c r="GQ57" s="141" t="e">
        <f t="shared" si="59"/>
        <v>#VALUE!</v>
      </c>
      <c r="GR57" s="141" t="e">
        <f t="shared" si="59"/>
        <v>#VALUE!</v>
      </c>
      <c r="GS57" s="141" t="e">
        <f t="shared" si="59"/>
        <v>#VALUE!</v>
      </c>
      <c r="GT57" s="141" t="e">
        <f t="shared" si="59"/>
        <v>#VALUE!</v>
      </c>
      <c r="GU57" s="141" t="e">
        <f t="shared" ref="GU57:JF57" si="60">GU55/$E$57</f>
        <v>#VALUE!</v>
      </c>
      <c r="GV57" s="141" t="e">
        <f t="shared" si="60"/>
        <v>#VALUE!</v>
      </c>
      <c r="GW57" s="141" t="e">
        <f t="shared" si="60"/>
        <v>#VALUE!</v>
      </c>
      <c r="GX57" s="141" t="e">
        <f t="shared" si="60"/>
        <v>#VALUE!</v>
      </c>
      <c r="GY57" s="141" t="e">
        <f t="shared" si="60"/>
        <v>#VALUE!</v>
      </c>
      <c r="GZ57" s="141" t="e">
        <f t="shared" si="60"/>
        <v>#VALUE!</v>
      </c>
      <c r="HA57" s="141" t="e">
        <f t="shared" si="60"/>
        <v>#VALUE!</v>
      </c>
      <c r="HB57" s="141" t="e">
        <f t="shared" si="60"/>
        <v>#VALUE!</v>
      </c>
      <c r="HC57" s="141" t="e">
        <f t="shared" si="60"/>
        <v>#VALUE!</v>
      </c>
      <c r="HD57" s="141" t="e">
        <f t="shared" si="60"/>
        <v>#VALUE!</v>
      </c>
      <c r="HE57" s="141" t="e">
        <f t="shared" si="60"/>
        <v>#VALUE!</v>
      </c>
      <c r="HF57" s="141" t="e">
        <f t="shared" si="60"/>
        <v>#VALUE!</v>
      </c>
      <c r="HG57" s="141" t="e">
        <f t="shared" si="60"/>
        <v>#VALUE!</v>
      </c>
      <c r="HH57" s="141" t="e">
        <f t="shared" si="60"/>
        <v>#VALUE!</v>
      </c>
      <c r="HI57" s="141" t="e">
        <f t="shared" si="60"/>
        <v>#VALUE!</v>
      </c>
      <c r="HJ57" s="141" t="e">
        <f t="shared" si="60"/>
        <v>#VALUE!</v>
      </c>
      <c r="HK57" s="141" t="e">
        <f t="shared" si="60"/>
        <v>#VALUE!</v>
      </c>
      <c r="HL57" s="141" t="e">
        <f t="shared" si="60"/>
        <v>#VALUE!</v>
      </c>
      <c r="HM57" s="141" t="e">
        <f t="shared" si="60"/>
        <v>#VALUE!</v>
      </c>
      <c r="HN57" s="141" t="e">
        <f t="shared" si="60"/>
        <v>#VALUE!</v>
      </c>
      <c r="HO57" s="141" t="e">
        <f t="shared" si="60"/>
        <v>#VALUE!</v>
      </c>
      <c r="HP57" s="141" t="e">
        <f t="shared" si="60"/>
        <v>#VALUE!</v>
      </c>
      <c r="HQ57" s="141" t="e">
        <f t="shared" si="60"/>
        <v>#VALUE!</v>
      </c>
      <c r="HR57" s="141" t="e">
        <f t="shared" si="60"/>
        <v>#VALUE!</v>
      </c>
      <c r="HS57" s="141" t="e">
        <f t="shared" si="60"/>
        <v>#VALUE!</v>
      </c>
      <c r="HT57" s="141" t="e">
        <f t="shared" si="60"/>
        <v>#VALUE!</v>
      </c>
      <c r="HU57" s="141" t="e">
        <f t="shared" si="60"/>
        <v>#VALUE!</v>
      </c>
      <c r="HV57" s="141" t="e">
        <f t="shared" si="60"/>
        <v>#VALUE!</v>
      </c>
      <c r="HW57" s="141" t="e">
        <f t="shared" si="60"/>
        <v>#VALUE!</v>
      </c>
      <c r="HX57" s="141" t="e">
        <f t="shared" si="60"/>
        <v>#VALUE!</v>
      </c>
      <c r="HY57" s="141" t="e">
        <f t="shared" si="60"/>
        <v>#VALUE!</v>
      </c>
      <c r="HZ57" s="141" t="e">
        <f t="shared" si="60"/>
        <v>#VALUE!</v>
      </c>
      <c r="IA57" s="141" t="e">
        <f t="shared" si="60"/>
        <v>#VALUE!</v>
      </c>
      <c r="IB57" s="141" t="e">
        <f t="shared" si="60"/>
        <v>#VALUE!</v>
      </c>
      <c r="IC57" s="141" t="e">
        <f t="shared" si="60"/>
        <v>#VALUE!</v>
      </c>
      <c r="ID57" s="141" t="e">
        <f t="shared" si="60"/>
        <v>#VALUE!</v>
      </c>
      <c r="IE57" s="141" t="e">
        <f t="shared" si="60"/>
        <v>#VALUE!</v>
      </c>
      <c r="IF57" s="141" t="e">
        <f t="shared" si="60"/>
        <v>#VALUE!</v>
      </c>
      <c r="IG57" s="141" t="e">
        <f t="shared" si="60"/>
        <v>#VALUE!</v>
      </c>
      <c r="IH57" s="141" t="e">
        <f t="shared" si="60"/>
        <v>#VALUE!</v>
      </c>
      <c r="II57" s="141" t="e">
        <f t="shared" si="60"/>
        <v>#VALUE!</v>
      </c>
      <c r="IJ57" s="141" t="e">
        <f t="shared" si="60"/>
        <v>#VALUE!</v>
      </c>
      <c r="IK57" s="141" t="e">
        <f t="shared" si="60"/>
        <v>#VALUE!</v>
      </c>
      <c r="IL57" s="141" t="e">
        <f t="shared" si="60"/>
        <v>#VALUE!</v>
      </c>
      <c r="IM57" s="141" t="e">
        <f t="shared" si="60"/>
        <v>#VALUE!</v>
      </c>
      <c r="IN57" s="141" t="e">
        <f t="shared" si="60"/>
        <v>#VALUE!</v>
      </c>
      <c r="IO57" s="141" t="e">
        <f t="shared" si="60"/>
        <v>#VALUE!</v>
      </c>
      <c r="IP57" s="141" t="e">
        <f t="shared" si="60"/>
        <v>#VALUE!</v>
      </c>
      <c r="IQ57" s="141" t="e">
        <f t="shared" si="60"/>
        <v>#VALUE!</v>
      </c>
      <c r="IR57" s="141" t="e">
        <f t="shared" si="60"/>
        <v>#VALUE!</v>
      </c>
      <c r="IS57" s="141" t="e">
        <f t="shared" si="60"/>
        <v>#VALUE!</v>
      </c>
      <c r="IT57" s="141" t="e">
        <f t="shared" si="60"/>
        <v>#VALUE!</v>
      </c>
      <c r="IU57" s="141" t="e">
        <f t="shared" si="60"/>
        <v>#VALUE!</v>
      </c>
      <c r="IV57" s="141" t="e">
        <f t="shared" si="60"/>
        <v>#VALUE!</v>
      </c>
      <c r="IW57" s="141" t="e">
        <f t="shared" si="60"/>
        <v>#VALUE!</v>
      </c>
      <c r="IX57" s="141" t="e">
        <f t="shared" si="60"/>
        <v>#VALUE!</v>
      </c>
      <c r="IY57" s="141" t="e">
        <f t="shared" si="60"/>
        <v>#VALUE!</v>
      </c>
      <c r="IZ57" s="141" t="e">
        <f t="shared" si="60"/>
        <v>#VALUE!</v>
      </c>
      <c r="JA57" s="141" t="e">
        <f t="shared" si="60"/>
        <v>#VALUE!</v>
      </c>
      <c r="JB57" s="141" t="e">
        <f t="shared" si="60"/>
        <v>#VALUE!</v>
      </c>
      <c r="JC57" s="141" t="e">
        <f t="shared" si="60"/>
        <v>#VALUE!</v>
      </c>
      <c r="JD57" s="141" t="e">
        <f t="shared" si="60"/>
        <v>#VALUE!</v>
      </c>
      <c r="JE57" s="141" t="e">
        <f t="shared" si="60"/>
        <v>#VALUE!</v>
      </c>
      <c r="JF57" s="141" t="e">
        <f t="shared" si="60"/>
        <v>#VALUE!</v>
      </c>
      <c r="JG57" s="141" t="e">
        <f t="shared" ref="JG57:LR57" si="61">JG55/$E$57</f>
        <v>#VALUE!</v>
      </c>
      <c r="JH57" s="141" t="e">
        <f t="shared" si="61"/>
        <v>#VALUE!</v>
      </c>
      <c r="JI57" s="141" t="e">
        <f t="shared" si="61"/>
        <v>#VALUE!</v>
      </c>
      <c r="JJ57" s="141" t="e">
        <f t="shared" si="61"/>
        <v>#VALUE!</v>
      </c>
      <c r="JK57" s="141" t="e">
        <f t="shared" si="61"/>
        <v>#VALUE!</v>
      </c>
      <c r="JL57" s="141" t="e">
        <f t="shared" si="61"/>
        <v>#VALUE!</v>
      </c>
      <c r="JM57" s="141" t="e">
        <f t="shared" si="61"/>
        <v>#VALUE!</v>
      </c>
      <c r="JN57" s="141" t="e">
        <f t="shared" si="61"/>
        <v>#VALUE!</v>
      </c>
      <c r="JO57" s="141" t="e">
        <f t="shared" si="61"/>
        <v>#VALUE!</v>
      </c>
      <c r="JP57" s="141" t="e">
        <f t="shared" si="61"/>
        <v>#VALUE!</v>
      </c>
      <c r="JQ57" s="141" t="e">
        <f t="shared" si="61"/>
        <v>#VALUE!</v>
      </c>
      <c r="JR57" s="141" t="e">
        <f t="shared" si="61"/>
        <v>#VALUE!</v>
      </c>
      <c r="JS57" s="141" t="e">
        <f t="shared" si="61"/>
        <v>#VALUE!</v>
      </c>
      <c r="JT57" s="141" t="e">
        <f t="shared" si="61"/>
        <v>#VALUE!</v>
      </c>
      <c r="JU57" s="141" t="e">
        <f t="shared" si="61"/>
        <v>#VALUE!</v>
      </c>
      <c r="JV57" s="141" t="e">
        <f t="shared" si="61"/>
        <v>#VALUE!</v>
      </c>
      <c r="JW57" s="141" t="e">
        <f t="shared" si="61"/>
        <v>#VALUE!</v>
      </c>
      <c r="JX57" s="141" t="e">
        <f t="shared" si="61"/>
        <v>#VALUE!</v>
      </c>
      <c r="JY57" s="141" t="e">
        <f t="shared" si="61"/>
        <v>#VALUE!</v>
      </c>
      <c r="JZ57" s="141" t="e">
        <f t="shared" si="61"/>
        <v>#VALUE!</v>
      </c>
      <c r="KA57" s="141" t="e">
        <f t="shared" si="61"/>
        <v>#VALUE!</v>
      </c>
      <c r="KB57" s="141" t="e">
        <f t="shared" si="61"/>
        <v>#VALUE!</v>
      </c>
      <c r="KC57" s="141" t="e">
        <f t="shared" si="61"/>
        <v>#VALUE!</v>
      </c>
      <c r="KD57" s="141" t="e">
        <f t="shared" si="61"/>
        <v>#VALUE!</v>
      </c>
      <c r="KE57" s="141" t="e">
        <f t="shared" si="61"/>
        <v>#VALUE!</v>
      </c>
      <c r="KF57" s="141" t="e">
        <f t="shared" si="61"/>
        <v>#VALUE!</v>
      </c>
      <c r="KG57" s="141" t="e">
        <f t="shared" si="61"/>
        <v>#VALUE!</v>
      </c>
      <c r="KH57" s="141" t="e">
        <f t="shared" si="61"/>
        <v>#VALUE!</v>
      </c>
      <c r="KI57" s="141" t="e">
        <f t="shared" si="61"/>
        <v>#VALUE!</v>
      </c>
      <c r="KJ57" s="141" t="e">
        <f t="shared" si="61"/>
        <v>#VALUE!</v>
      </c>
      <c r="KK57" s="141" t="e">
        <f t="shared" si="61"/>
        <v>#VALUE!</v>
      </c>
      <c r="KL57" s="141" t="e">
        <f t="shared" si="61"/>
        <v>#VALUE!</v>
      </c>
      <c r="KM57" s="141" t="e">
        <f t="shared" si="61"/>
        <v>#VALUE!</v>
      </c>
      <c r="KN57" s="141" t="e">
        <f t="shared" si="61"/>
        <v>#VALUE!</v>
      </c>
      <c r="KO57" s="141" t="e">
        <f t="shared" si="61"/>
        <v>#VALUE!</v>
      </c>
      <c r="KP57" s="141" t="e">
        <f t="shared" si="61"/>
        <v>#VALUE!</v>
      </c>
      <c r="KQ57" s="141" t="e">
        <f t="shared" si="61"/>
        <v>#VALUE!</v>
      </c>
      <c r="KR57" s="141" t="e">
        <f t="shared" si="61"/>
        <v>#VALUE!</v>
      </c>
      <c r="KS57" s="141" t="e">
        <f t="shared" si="61"/>
        <v>#VALUE!</v>
      </c>
      <c r="KT57" s="141" t="e">
        <f t="shared" si="61"/>
        <v>#VALUE!</v>
      </c>
      <c r="KU57" s="141" t="e">
        <f t="shared" si="61"/>
        <v>#VALUE!</v>
      </c>
      <c r="KV57" s="141" t="e">
        <f t="shared" si="61"/>
        <v>#VALUE!</v>
      </c>
      <c r="KW57" s="141" t="e">
        <f t="shared" si="61"/>
        <v>#VALUE!</v>
      </c>
      <c r="KX57" s="141" t="e">
        <f t="shared" si="61"/>
        <v>#VALUE!</v>
      </c>
      <c r="KY57" s="141" t="e">
        <f t="shared" si="61"/>
        <v>#VALUE!</v>
      </c>
      <c r="KZ57" s="141" t="e">
        <f t="shared" si="61"/>
        <v>#VALUE!</v>
      </c>
      <c r="LA57" s="141" t="e">
        <f t="shared" si="61"/>
        <v>#VALUE!</v>
      </c>
      <c r="LB57" s="141" t="e">
        <f t="shared" si="61"/>
        <v>#VALUE!</v>
      </c>
      <c r="LC57" s="141" t="e">
        <f t="shared" si="61"/>
        <v>#VALUE!</v>
      </c>
      <c r="LD57" s="141" t="e">
        <f t="shared" si="61"/>
        <v>#VALUE!</v>
      </c>
      <c r="LE57" s="141" t="e">
        <f t="shared" si="61"/>
        <v>#VALUE!</v>
      </c>
      <c r="LF57" s="141" t="e">
        <f t="shared" si="61"/>
        <v>#VALUE!</v>
      </c>
      <c r="LG57" s="141" t="e">
        <f t="shared" si="61"/>
        <v>#VALUE!</v>
      </c>
      <c r="LH57" s="141" t="e">
        <f t="shared" si="61"/>
        <v>#VALUE!</v>
      </c>
      <c r="LI57" s="141" t="e">
        <f t="shared" si="61"/>
        <v>#VALUE!</v>
      </c>
      <c r="LJ57" s="141" t="e">
        <f t="shared" si="61"/>
        <v>#VALUE!</v>
      </c>
      <c r="LK57" s="141" t="e">
        <f t="shared" si="61"/>
        <v>#VALUE!</v>
      </c>
      <c r="LL57" s="141" t="e">
        <f t="shared" si="61"/>
        <v>#VALUE!</v>
      </c>
      <c r="LM57" s="141" t="e">
        <f t="shared" si="61"/>
        <v>#VALUE!</v>
      </c>
      <c r="LN57" s="141" t="e">
        <f t="shared" si="61"/>
        <v>#VALUE!</v>
      </c>
      <c r="LO57" s="141" t="e">
        <f t="shared" si="61"/>
        <v>#VALUE!</v>
      </c>
      <c r="LP57" s="141" t="e">
        <f t="shared" si="61"/>
        <v>#VALUE!</v>
      </c>
      <c r="LQ57" s="141" t="e">
        <f t="shared" si="61"/>
        <v>#VALUE!</v>
      </c>
      <c r="LR57" s="141" t="e">
        <f t="shared" si="61"/>
        <v>#VALUE!</v>
      </c>
      <c r="LS57" s="141" t="e">
        <f t="shared" ref="LS57:OD57" si="62">LS55/$E$57</f>
        <v>#VALUE!</v>
      </c>
      <c r="LT57" s="141" t="e">
        <f t="shared" si="62"/>
        <v>#VALUE!</v>
      </c>
      <c r="LU57" s="141" t="e">
        <f t="shared" si="62"/>
        <v>#VALUE!</v>
      </c>
      <c r="LV57" s="141" t="e">
        <f t="shared" si="62"/>
        <v>#VALUE!</v>
      </c>
      <c r="LW57" s="141" t="e">
        <f t="shared" si="62"/>
        <v>#VALUE!</v>
      </c>
      <c r="LX57" s="141" t="e">
        <f t="shared" si="62"/>
        <v>#VALUE!</v>
      </c>
      <c r="LY57" s="141" t="e">
        <f t="shared" si="62"/>
        <v>#VALUE!</v>
      </c>
      <c r="LZ57" s="141" t="e">
        <f t="shared" si="62"/>
        <v>#VALUE!</v>
      </c>
      <c r="MA57" s="141" t="e">
        <f t="shared" si="62"/>
        <v>#VALUE!</v>
      </c>
      <c r="MB57" s="141" t="e">
        <f t="shared" si="62"/>
        <v>#VALUE!</v>
      </c>
      <c r="MC57" s="141" t="e">
        <f t="shared" si="62"/>
        <v>#VALUE!</v>
      </c>
      <c r="MD57" s="141" t="e">
        <f t="shared" si="62"/>
        <v>#VALUE!</v>
      </c>
      <c r="ME57" s="141" t="e">
        <f t="shared" si="62"/>
        <v>#VALUE!</v>
      </c>
      <c r="MF57" s="141" t="e">
        <f t="shared" si="62"/>
        <v>#VALUE!</v>
      </c>
      <c r="MG57" s="141" t="e">
        <f t="shared" si="62"/>
        <v>#VALUE!</v>
      </c>
      <c r="MH57" s="141" t="e">
        <f t="shared" si="62"/>
        <v>#VALUE!</v>
      </c>
      <c r="MI57" s="141" t="e">
        <f t="shared" si="62"/>
        <v>#VALUE!</v>
      </c>
      <c r="MJ57" s="141" t="e">
        <f t="shared" si="62"/>
        <v>#VALUE!</v>
      </c>
      <c r="MK57" s="141" t="e">
        <f t="shared" si="62"/>
        <v>#VALUE!</v>
      </c>
      <c r="ML57" s="141" t="e">
        <f t="shared" si="62"/>
        <v>#VALUE!</v>
      </c>
      <c r="MM57" s="141" t="e">
        <f t="shared" si="62"/>
        <v>#VALUE!</v>
      </c>
      <c r="MN57" s="141" t="e">
        <f t="shared" si="62"/>
        <v>#VALUE!</v>
      </c>
      <c r="MO57" s="141" t="e">
        <f t="shared" si="62"/>
        <v>#VALUE!</v>
      </c>
      <c r="MP57" s="141" t="e">
        <f t="shared" si="62"/>
        <v>#VALUE!</v>
      </c>
      <c r="MQ57" s="141" t="e">
        <f t="shared" si="62"/>
        <v>#VALUE!</v>
      </c>
      <c r="MR57" s="141" t="e">
        <f t="shared" si="62"/>
        <v>#VALUE!</v>
      </c>
      <c r="MS57" s="141" t="e">
        <f t="shared" si="62"/>
        <v>#VALUE!</v>
      </c>
      <c r="MT57" s="141" t="e">
        <f t="shared" si="62"/>
        <v>#VALUE!</v>
      </c>
      <c r="MU57" s="141" t="e">
        <f t="shared" si="62"/>
        <v>#VALUE!</v>
      </c>
      <c r="MV57" s="141" t="e">
        <f t="shared" si="62"/>
        <v>#VALUE!</v>
      </c>
      <c r="MW57" s="141" t="e">
        <f t="shared" si="62"/>
        <v>#VALUE!</v>
      </c>
      <c r="MX57" s="141" t="e">
        <f t="shared" si="62"/>
        <v>#VALUE!</v>
      </c>
      <c r="MY57" s="141" t="e">
        <f t="shared" si="62"/>
        <v>#VALUE!</v>
      </c>
      <c r="MZ57" s="141" t="e">
        <f t="shared" si="62"/>
        <v>#VALUE!</v>
      </c>
      <c r="NA57" s="141" t="e">
        <f t="shared" si="62"/>
        <v>#VALUE!</v>
      </c>
      <c r="NB57" s="141" t="e">
        <f t="shared" si="62"/>
        <v>#VALUE!</v>
      </c>
      <c r="NC57" s="141" t="e">
        <f t="shared" si="62"/>
        <v>#VALUE!</v>
      </c>
      <c r="ND57" s="141" t="e">
        <f t="shared" si="62"/>
        <v>#VALUE!</v>
      </c>
      <c r="NE57" s="141" t="e">
        <f t="shared" si="62"/>
        <v>#VALUE!</v>
      </c>
      <c r="NF57" s="141" t="e">
        <f t="shared" si="62"/>
        <v>#VALUE!</v>
      </c>
      <c r="NG57" s="141" t="e">
        <f t="shared" si="62"/>
        <v>#VALUE!</v>
      </c>
      <c r="NH57" s="141" t="e">
        <f t="shared" si="62"/>
        <v>#VALUE!</v>
      </c>
      <c r="NI57" s="141" t="e">
        <f t="shared" si="62"/>
        <v>#VALUE!</v>
      </c>
      <c r="NJ57" s="141" t="e">
        <f t="shared" si="62"/>
        <v>#VALUE!</v>
      </c>
      <c r="NK57" s="141" t="e">
        <f t="shared" si="62"/>
        <v>#VALUE!</v>
      </c>
      <c r="NL57" s="141" t="e">
        <f t="shared" si="62"/>
        <v>#VALUE!</v>
      </c>
      <c r="NM57" s="141" t="e">
        <f t="shared" si="62"/>
        <v>#VALUE!</v>
      </c>
      <c r="NN57" s="141" t="e">
        <f t="shared" si="62"/>
        <v>#VALUE!</v>
      </c>
      <c r="NO57" s="141" t="e">
        <f t="shared" si="62"/>
        <v>#VALUE!</v>
      </c>
      <c r="NP57" s="141" t="e">
        <f t="shared" si="62"/>
        <v>#VALUE!</v>
      </c>
      <c r="NQ57" s="141" t="e">
        <f t="shared" si="62"/>
        <v>#VALUE!</v>
      </c>
      <c r="NR57" s="141" t="e">
        <f t="shared" si="62"/>
        <v>#VALUE!</v>
      </c>
      <c r="NS57" s="141" t="e">
        <f t="shared" si="62"/>
        <v>#VALUE!</v>
      </c>
      <c r="NT57" s="141" t="e">
        <f t="shared" si="62"/>
        <v>#VALUE!</v>
      </c>
      <c r="NU57" s="141" t="e">
        <f t="shared" si="62"/>
        <v>#VALUE!</v>
      </c>
      <c r="NV57" s="141" t="e">
        <f t="shared" si="62"/>
        <v>#VALUE!</v>
      </c>
      <c r="NW57" s="141" t="e">
        <f t="shared" si="62"/>
        <v>#VALUE!</v>
      </c>
      <c r="NX57" s="141" t="e">
        <f t="shared" si="62"/>
        <v>#VALUE!</v>
      </c>
      <c r="NY57" s="141" t="e">
        <f t="shared" si="62"/>
        <v>#VALUE!</v>
      </c>
      <c r="NZ57" s="141" t="e">
        <f t="shared" si="62"/>
        <v>#VALUE!</v>
      </c>
      <c r="OA57" s="141" t="e">
        <f t="shared" si="62"/>
        <v>#VALUE!</v>
      </c>
      <c r="OB57" s="141" t="e">
        <f t="shared" si="62"/>
        <v>#VALUE!</v>
      </c>
      <c r="OC57" s="141" t="e">
        <f t="shared" si="62"/>
        <v>#VALUE!</v>
      </c>
      <c r="OD57" s="141" t="e">
        <f t="shared" si="62"/>
        <v>#VALUE!</v>
      </c>
      <c r="OE57" s="141" t="e">
        <f t="shared" ref="OE57:QP57" si="63">OE55/$E$57</f>
        <v>#VALUE!</v>
      </c>
      <c r="OF57" s="141" t="e">
        <f t="shared" si="63"/>
        <v>#VALUE!</v>
      </c>
      <c r="OG57" s="141" t="e">
        <f t="shared" si="63"/>
        <v>#VALUE!</v>
      </c>
      <c r="OH57" s="141" t="e">
        <f t="shared" si="63"/>
        <v>#VALUE!</v>
      </c>
      <c r="OI57" s="141" t="e">
        <f t="shared" si="63"/>
        <v>#VALUE!</v>
      </c>
      <c r="OJ57" s="141" t="e">
        <f t="shared" si="63"/>
        <v>#VALUE!</v>
      </c>
      <c r="OK57" s="141" t="e">
        <f t="shared" si="63"/>
        <v>#VALUE!</v>
      </c>
      <c r="OL57" s="141" t="e">
        <f t="shared" si="63"/>
        <v>#VALUE!</v>
      </c>
      <c r="OM57" s="141" t="e">
        <f t="shared" si="63"/>
        <v>#VALUE!</v>
      </c>
      <c r="ON57" s="141" t="e">
        <f t="shared" si="63"/>
        <v>#VALUE!</v>
      </c>
      <c r="OO57" s="141" t="e">
        <f t="shared" si="63"/>
        <v>#VALUE!</v>
      </c>
      <c r="OP57" s="141" t="e">
        <f t="shared" si="63"/>
        <v>#VALUE!</v>
      </c>
      <c r="OQ57" s="141" t="e">
        <f t="shared" si="63"/>
        <v>#VALUE!</v>
      </c>
      <c r="OR57" s="141" t="e">
        <f t="shared" si="63"/>
        <v>#VALUE!</v>
      </c>
      <c r="OS57" s="141" t="e">
        <f t="shared" si="63"/>
        <v>#VALUE!</v>
      </c>
      <c r="OT57" s="141" t="e">
        <f t="shared" si="63"/>
        <v>#VALUE!</v>
      </c>
      <c r="OU57" s="141" t="e">
        <f t="shared" si="63"/>
        <v>#VALUE!</v>
      </c>
      <c r="OV57" s="141" t="e">
        <f t="shared" si="63"/>
        <v>#VALUE!</v>
      </c>
      <c r="OW57" s="141" t="e">
        <f t="shared" si="63"/>
        <v>#VALUE!</v>
      </c>
      <c r="OX57" s="141" t="e">
        <f t="shared" si="63"/>
        <v>#VALUE!</v>
      </c>
      <c r="OY57" s="141" t="e">
        <f t="shared" si="63"/>
        <v>#VALUE!</v>
      </c>
      <c r="OZ57" s="141" t="e">
        <f t="shared" si="63"/>
        <v>#VALUE!</v>
      </c>
      <c r="PA57" s="141" t="e">
        <f t="shared" si="63"/>
        <v>#VALUE!</v>
      </c>
      <c r="PB57" s="141" t="e">
        <f t="shared" si="63"/>
        <v>#VALUE!</v>
      </c>
      <c r="PC57" s="141" t="e">
        <f t="shared" si="63"/>
        <v>#VALUE!</v>
      </c>
      <c r="PD57" s="141" t="e">
        <f t="shared" si="63"/>
        <v>#VALUE!</v>
      </c>
      <c r="PE57" s="141" t="e">
        <f t="shared" si="63"/>
        <v>#VALUE!</v>
      </c>
      <c r="PF57" s="141" t="e">
        <f t="shared" si="63"/>
        <v>#VALUE!</v>
      </c>
      <c r="PG57" s="141" t="e">
        <f t="shared" si="63"/>
        <v>#VALUE!</v>
      </c>
      <c r="PH57" s="141" t="e">
        <f t="shared" si="63"/>
        <v>#VALUE!</v>
      </c>
      <c r="PI57" s="141" t="e">
        <f t="shared" si="63"/>
        <v>#VALUE!</v>
      </c>
      <c r="PJ57" s="141" t="e">
        <f t="shared" si="63"/>
        <v>#VALUE!</v>
      </c>
      <c r="PK57" s="141" t="e">
        <f t="shared" si="63"/>
        <v>#VALUE!</v>
      </c>
      <c r="PL57" s="141" t="e">
        <f t="shared" si="63"/>
        <v>#VALUE!</v>
      </c>
      <c r="PM57" s="141" t="e">
        <f t="shared" si="63"/>
        <v>#VALUE!</v>
      </c>
      <c r="PN57" s="141" t="e">
        <f t="shared" si="63"/>
        <v>#VALUE!</v>
      </c>
      <c r="PO57" s="141" t="e">
        <f t="shared" si="63"/>
        <v>#VALUE!</v>
      </c>
      <c r="PP57" s="141" t="e">
        <f t="shared" si="63"/>
        <v>#VALUE!</v>
      </c>
      <c r="PQ57" s="141" t="e">
        <f t="shared" si="63"/>
        <v>#VALUE!</v>
      </c>
      <c r="PR57" s="141" t="e">
        <f t="shared" si="63"/>
        <v>#VALUE!</v>
      </c>
      <c r="PS57" s="141" t="e">
        <f t="shared" si="63"/>
        <v>#VALUE!</v>
      </c>
      <c r="PT57" s="141" t="e">
        <f t="shared" si="63"/>
        <v>#VALUE!</v>
      </c>
      <c r="PU57" s="141" t="e">
        <f t="shared" si="63"/>
        <v>#VALUE!</v>
      </c>
      <c r="PV57" s="141" t="e">
        <f t="shared" si="63"/>
        <v>#VALUE!</v>
      </c>
      <c r="PW57" s="141" t="e">
        <f t="shared" si="63"/>
        <v>#VALUE!</v>
      </c>
      <c r="PX57" s="141" t="e">
        <f t="shared" si="63"/>
        <v>#VALUE!</v>
      </c>
      <c r="PY57" s="141" t="e">
        <f t="shared" si="63"/>
        <v>#VALUE!</v>
      </c>
      <c r="PZ57" s="141" t="e">
        <f t="shared" si="63"/>
        <v>#VALUE!</v>
      </c>
      <c r="QA57" s="141" t="e">
        <f t="shared" si="63"/>
        <v>#VALUE!</v>
      </c>
      <c r="QB57" s="141" t="e">
        <f t="shared" si="63"/>
        <v>#VALUE!</v>
      </c>
      <c r="QC57" s="141" t="e">
        <f t="shared" si="63"/>
        <v>#VALUE!</v>
      </c>
      <c r="QD57" s="141" t="e">
        <f t="shared" si="63"/>
        <v>#VALUE!</v>
      </c>
      <c r="QE57" s="141" t="e">
        <f t="shared" si="63"/>
        <v>#VALUE!</v>
      </c>
      <c r="QF57" s="141" t="e">
        <f t="shared" si="63"/>
        <v>#VALUE!</v>
      </c>
      <c r="QG57" s="141" t="e">
        <f t="shared" si="63"/>
        <v>#VALUE!</v>
      </c>
      <c r="QH57" s="141" t="e">
        <f t="shared" si="63"/>
        <v>#VALUE!</v>
      </c>
      <c r="QI57" s="141" t="e">
        <f t="shared" si="63"/>
        <v>#VALUE!</v>
      </c>
      <c r="QJ57" s="141" t="e">
        <f t="shared" si="63"/>
        <v>#VALUE!</v>
      </c>
      <c r="QK57" s="141" t="e">
        <f t="shared" si="63"/>
        <v>#VALUE!</v>
      </c>
      <c r="QL57" s="141" t="e">
        <f t="shared" si="63"/>
        <v>#VALUE!</v>
      </c>
      <c r="QM57" s="141" t="e">
        <f t="shared" si="63"/>
        <v>#VALUE!</v>
      </c>
      <c r="QN57" s="141" t="e">
        <f t="shared" si="63"/>
        <v>#VALUE!</v>
      </c>
      <c r="QO57" s="141" t="e">
        <f t="shared" si="63"/>
        <v>#VALUE!</v>
      </c>
      <c r="QP57" s="141" t="e">
        <f t="shared" si="63"/>
        <v>#VALUE!</v>
      </c>
      <c r="QQ57" s="141" t="e">
        <f t="shared" ref="QQ57:TB57" si="64">QQ55/$E$57</f>
        <v>#VALUE!</v>
      </c>
      <c r="QR57" s="141" t="e">
        <f t="shared" si="64"/>
        <v>#VALUE!</v>
      </c>
      <c r="QS57" s="141" t="e">
        <f t="shared" si="64"/>
        <v>#VALUE!</v>
      </c>
      <c r="QT57" s="141" t="e">
        <f t="shared" si="64"/>
        <v>#VALUE!</v>
      </c>
      <c r="QU57" s="141" t="e">
        <f t="shared" si="64"/>
        <v>#VALUE!</v>
      </c>
      <c r="QV57" s="141" t="e">
        <f t="shared" si="64"/>
        <v>#VALUE!</v>
      </c>
      <c r="QW57" s="141" t="e">
        <f t="shared" si="64"/>
        <v>#VALUE!</v>
      </c>
      <c r="QX57" s="141" t="e">
        <f t="shared" si="64"/>
        <v>#VALUE!</v>
      </c>
      <c r="QY57" s="141" t="e">
        <f t="shared" si="64"/>
        <v>#VALUE!</v>
      </c>
      <c r="QZ57" s="141" t="e">
        <f t="shared" si="64"/>
        <v>#VALUE!</v>
      </c>
      <c r="RA57" s="141" t="e">
        <f t="shared" si="64"/>
        <v>#VALUE!</v>
      </c>
      <c r="RB57" s="141" t="e">
        <f t="shared" si="64"/>
        <v>#VALUE!</v>
      </c>
      <c r="RC57" s="141" t="e">
        <f t="shared" si="64"/>
        <v>#VALUE!</v>
      </c>
      <c r="RD57" s="141" t="e">
        <f t="shared" si="64"/>
        <v>#VALUE!</v>
      </c>
      <c r="RE57" s="141" t="e">
        <f t="shared" si="64"/>
        <v>#VALUE!</v>
      </c>
      <c r="RF57" s="141" t="e">
        <f t="shared" si="64"/>
        <v>#VALUE!</v>
      </c>
      <c r="RG57" s="141" t="e">
        <f t="shared" si="64"/>
        <v>#VALUE!</v>
      </c>
      <c r="RH57" s="141" t="e">
        <f t="shared" si="64"/>
        <v>#VALUE!</v>
      </c>
      <c r="RI57" s="141" t="e">
        <f t="shared" si="64"/>
        <v>#VALUE!</v>
      </c>
      <c r="RJ57" s="141" t="e">
        <f t="shared" si="64"/>
        <v>#VALUE!</v>
      </c>
      <c r="RK57" s="141" t="e">
        <f t="shared" si="64"/>
        <v>#VALUE!</v>
      </c>
      <c r="RL57" s="141" t="e">
        <f t="shared" si="64"/>
        <v>#VALUE!</v>
      </c>
      <c r="RM57" s="141" t="e">
        <f t="shared" si="64"/>
        <v>#VALUE!</v>
      </c>
      <c r="RN57" s="141" t="e">
        <f t="shared" si="64"/>
        <v>#VALUE!</v>
      </c>
      <c r="RO57" s="141" t="e">
        <f t="shared" si="64"/>
        <v>#VALUE!</v>
      </c>
      <c r="RP57" s="141" t="e">
        <f t="shared" si="64"/>
        <v>#VALUE!</v>
      </c>
      <c r="RQ57" s="141" t="e">
        <f t="shared" si="64"/>
        <v>#VALUE!</v>
      </c>
      <c r="RR57" s="141" t="e">
        <f t="shared" si="64"/>
        <v>#VALUE!</v>
      </c>
      <c r="RS57" s="141" t="e">
        <f t="shared" si="64"/>
        <v>#VALUE!</v>
      </c>
      <c r="RT57" s="141" t="e">
        <f t="shared" si="64"/>
        <v>#VALUE!</v>
      </c>
      <c r="RU57" s="141" t="e">
        <f t="shared" si="64"/>
        <v>#VALUE!</v>
      </c>
      <c r="RV57" s="141" t="e">
        <f t="shared" si="64"/>
        <v>#VALUE!</v>
      </c>
      <c r="RW57" s="141" t="e">
        <f t="shared" si="64"/>
        <v>#VALUE!</v>
      </c>
      <c r="RX57" s="141" t="e">
        <f t="shared" si="64"/>
        <v>#VALUE!</v>
      </c>
      <c r="RY57" s="141" t="e">
        <f t="shared" si="64"/>
        <v>#VALUE!</v>
      </c>
      <c r="RZ57" s="141" t="e">
        <f t="shared" si="64"/>
        <v>#VALUE!</v>
      </c>
      <c r="SA57" s="141" t="e">
        <f t="shared" si="64"/>
        <v>#VALUE!</v>
      </c>
      <c r="SB57" s="141" t="e">
        <f t="shared" si="64"/>
        <v>#VALUE!</v>
      </c>
      <c r="SC57" s="141" t="e">
        <f t="shared" si="64"/>
        <v>#VALUE!</v>
      </c>
      <c r="SD57" s="141" t="e">
        <f t="shared" si="64"/>
        <v>#VALUE!</v>
      </c>
      <c r="SE57" s="141" t="e">
        <f t="shared" si="64"/>
        <v>#VALUE!</v>
      </c>
      <c r="SF57" s="141" t="e">
        <f t="shared" si="64"/>
        <v>#VALUE!</v>
      </c>
      <c r="SG57" s="141" t="e">
        <f t="shared" si="64"/>
        <v>#VALUE!</v>
      </c>
      <c r="SH57" s="141" t="e">
        <f t="shared" si="64"/>
        <v>#VALUE!</v>
      </c>
      <c r="SI57" s="141" t="e">
        <f t="shared" si="64"/>
        <v>#VALUE!</v>
      </c>
      <c r="SJ57" s="141" t="e">
        <f t="shared" si="64"/>
        <v>#VALUE!</v>
      </c>
      <c r="SK57" s="141" t="e">
        <f t="shared" si="64"/>
        <v>#VALUE!</v>
      </c>
      <c r="SL57" s="141" t="e">
        <f t="shared" si="64"/>
        <v>#VALUE!</v>
      </c>
      <c r="SM57" s="141" t="e">
        <f t="shared" si="64"/>
        <v>#VALUE!</v>
      </c>
      <c r="SN57" s="141" t="e">
        <f t="shared" si="64"/>
        <v>#VALUE!</v>
      </c>
      <c r="SO57" s="141" t="e">
        <f t="shared" si="64"/>
        <v>#VALUE!</v>
      </c>
      <c r="SP57" s="141" t="e">
        <f t="shared" si="64"/>
        <v>#VALUE!</v>
      </c>
      <c r="SQ57" s="141" t="e">
        <f t="shared" si="64"/>
        <v>#VALUE!</v>
      </c>
      <c r="SR57" s="141" t="e">
        <f t="shared" si="64"/>
        <v>#VALUE!</v>
      </c>
      <c r="SS57" s="141" t="e">
        <f t="shared" si="64"/>
        <v>#VALUE!</v>
      </c>
      <c r="ST57" s="141" t="e">
        <f t="shared" si="64"/>
        <v>#VALUE!</v>
      </c>
      <c r="SU57" s="141" t="e">
        <f t="shared" si="64"/>
        <v>#VALUE!</v>
      </c>
      <c r="SV57" s="141" t="e">
        <f t="shared" si="64"/>
        <v>#VALUE!</v>
      </c>
      <c r="SW57" s="141" t="e">
        <f t="shared" si="64"/>
        <v>#VALUE!</v>
      </c>
      <c r="SX57" s="141" t="e">
        <f t="shared" si="64"/>
        <v>#VALUE!</v>
      </c>
      <c r="SY57" s="141" t="e">
        <f t="shared" si="64"/>
        <v>#VALUE!</v>
      </c>
      <c r="SZ57" s="141" t="e">
        <f t="shared" si="64"/>
        <v>#VALUE!</v>
      </c>
      <c r="TA57" s="141" t="e">
        <f t="shared" si="64"/>
        <v>#VALUE!</v>
      </c>
      <c r="TB57" s="141" t="e">
        <f t="shared" si="64"/>
        <v>#VALUE!</v>
      </c>
      <c r="TC57" s="141" t="e">
        <f t="shared" ref="TC57:US57" si="65">TC55/$E$57</f>
        <v>#VALUE!</v>
      </c>
      <c r="TD57" s="141" t="e">
        <f t="shared" si="65"/>
        <v>#VALUE!</v>
      </c>
      <c r="TE57" s="141" t="e">
        <f t="shared" si="65"/>
        <v>#VALUE!</v>
      </c>
      <c r="TF57" s="141" t="e">
        <f t="shared" si="65"/>
        <v>#VALUE!</v>
      </c>
      <c r="TG57" s="141" t="e">
        <f t="shared" si="65"/>
        <v>#VALUE!</v>
      </c>
      <c r="TH57" s="141" t="e">
        <f t="shared" si="65"/>
        <v>#VALUE!</v>
      </c>
      <c r="TI57" s="141" t="e">
        <f t="shared" si="65"/>
        <v>#VALUE!</v>
      </c>
      <c r="TJ57" s="141" t="e">
        <f t="shared" si="65"/>
        <v>#VALUE!</v>
      </c>
      <c r="TK57" s="141" t="e">
        <f t="shared" si="65"/>
        <v>#VALUE!</v>
      </c>
      <c r="TL57" s="141" t="e">
        <f t="shared" si="65"/>
        <v>#VALUE!</v>
      </c>
      <c r="TM57" s="141" t="e">
        <f t="shared" si="65"/>
        <v>#VALUE!</v>
      </c>
      <c r="TN57" s="141" t="e">
        <f t="shared" si="65"/>
        <v>#VALUE!</v>
      </c>
      <c r="TO57" s="141" t="e">
        <f t="shared" si="65"/>
        <v>#VALUE!</v>
      </c>
      <c r="TP57" s="141" t="e">
        <f t="shared" si="65"/>
        <v>#VALUE!</v>
      </c>
      <c r="TQ57" s="141" t="e">
        <f t="shared" si="65"/>
        <v>#VALUE!</v>
      </c>
      <c r="TR57" s="141" t="e">
        <f t="shared" si="65"/>
        <v>#VALUE!</v>
      </c>
      <c r="TS57" s="141" t="e">
        <f t="shared" si="65"/>
        <v>#VALUE!</v>
      </c>
      <c r="TT57" s="141" t="e">
        <f t="shared" si="65"/>
        <v>#VALUE!</v>
      </c>
      <c r="TU57" s="141" t="e">
        <f t="shared" si="65"/>
        <v>#VALUE!</v>
      </c>
      <c r="TV57" s="141" t="e">
        <f t="shared" si="65"/>
        <v>#VALUE!</v>
      </c>
      <c r="TW57" s="141" t="e">
        <f t="shared" si="65"/>
        <v>#VALUE!</v>
      </c>
      <c r="TX57" s="141" t="e">
        <f t="shared" si="65"/>
        <v>#VALUE!</v>
      </c>
      <c r="TY57" s="141" t="e">
        <f t="shared" si="65"/>
        <v>#VALUE!</v>
      </c>
      <c r="TZ57" s="141" t="e">
        <f t="shared" si="65"/>
        <v>#VALUE!</v>
      </c>
      <c r="UA57" s="141" t="e">
        <f t="shared" si="65"/>
        <v>#VALUE!</v>
      </c>
      <c r="UB57" s="141" t="e">
        <f t="shared" si="65"/>
        <v>#VALUE!</v>
      </c>
      <c r="UC57" s="141" t="e">
        <f t="shared" si="65"/>
        <v>#VALUE!</v>
      </c>
      <c r="UD57" s="141" t="e">
        <f t="shared" si="65"/>
        <v>#VALUE!</v>
      </c>
      <c r="UE57" s="141" t="e">
        <f t="shared" si="65"/>
        <v>#VALUE!</v>
      </c>
      <c r="UF57" s="141" t="e">
        <f t="shared" si="65"/>
        <v>#VALUE!</v>
      </c>
      <c r="UG57" s="141" t="e">
        <f t="shared" si="65"/>
        <v>#VALUE!</v>
      </c>
      <c r="UH57" s="141" t="e">
        <f t="shared" si="65"/>
        <v>#VALUE!</v>
      </c>
      <c r="UI57" s="141" t="e">
        <f t="shared" si="65"/>
        <v>#VALUE!</v>
      </c>
      <c r="UJ57" s="141" t="e">
        <f t="shared" si="65"/>
        <v>#VALUE!</v>
      </c>
      <c r="UK57" s="141" t="e">
        <f t="shared" si="65"/>
        <v>#VALUE!</v>
      </c>
      <c r="UL57" s="141" t="e">
        <f t="shared" si="65"/>
        <v>#VALUE!</v>
      </c>
      <c r="UM57" s="141" t="e">
        <f t="shared" si="65"/>
        <v>#VALUE!</v>
      </c>
      <c r="UN57" s="141" t="e">
        <f t="shared" si="65"/>
        <v>#VALUE!</v>
      </c>
      <c r="UO57" s="141" t="e">
        <f t="shared" si="65"/>
        <v>#VALUE!</v>
      </c>
      <c r="UP57" s="141" t="e">
        <f t="shared" si="65"/>
        <v>#VALUE!</v>
      </c>
      <c r="UQ57" s="141" t="e">
        <f t="shared" si="65"/>
        <v>#VALUE!</v>
      </c>
      <c r="UR57" s="141" t="e">
        <f t="shared" si="65"/>
        <v>#VALUE!</v>
      </c>
      <c r="US57" s="141" t="e">
        <f t="shared" si="65"/>
        <v>#VALUE!</v>
      </c>
      <c r="UT57" s="186"/>
      <c r="UU57" s="186"/>
      <c r="UV57" s="186"/>
      <c r="UW57" s="186"/>
      <c r="UX57" s="186"/>
      <c r="UY57" s="186"/>
      <c r="UZ57" s="186"/>
    </row>
    <row r="58" spans="2:572" ht="29.25" customHeight="1" x14ac:dyDescent="0.3">
      <c r="E58" s="217" t="s">
        <v>115</v>
      </c>
      <c r="F58" s="218">
        <f t="shared" ref="F58:BQ58" si="66">IFERROR(F56*9,0)</f>
        <v>0</v>
      </c>
      <c r="G58" s="218">
        <f t="shared" si="66"/>
        <v>0</v>
      </c>
      <c r="H58" s="218">
        <f t="shared" si="66"/>
        <v>0</v>
      </c>
      <c r="I58" s="218">
        <f t="shared" si="66"/>
        <v>0</v>
      </c>
      <c r="J58" s="218">
        <f t="shared" si="66"/>
        <v>0</v>
      </c>
      <c r="K58" s="218">
        <f t="shared" si="66"/>
        <v>0</v>
      </c>
      <c r="L58" s="218">
        <f t="shared" si="66"/>
        <v>0</v>
      </c>
      <c r="M58" s="218">
        <f t="shared" si="66"/>
        <v>0</v>
      </c>
      <c r="N58" s="218">
        <f t="shared" si="66"/>
        <v>0</v>
      </c>
      <c r="O58" s="218">
        <f t="shared" si="66"/>
        <v>0</v>
      </c>
      <c r="P58" s="218">
        <f t="shared" si="66"/>
        <v>0</v>
      </c>
      <c r="Q58" s="218">
        <f t="shared" si="66"/>
        <v>0</v>
      </c>
      <c r="R58" s="218">
        <f t="shared" si="66"/>
        <v>0</v>
      </c>
      <c r="S58" s="218">
        <f t="shared" si="66"/>
        <v>0</v>
      </c>
      <c r="T58" s="218">
        <f t="shared" si="66"/>
        <v>0</v>
      </c>
      <c r="U58" s="218">
        <f t="shared" si="66"/>
        <v>0</v>
      </c>
      <c r="V58" s="218">
        <f t="shared" si="66"/>
        <v>0</v>
      </c>
      <c r="W58" s="218">
        <f t="shared" si="66"/>
        <v>0</v>
      </c>
      <c r="X58" s="218">
        <f t="shared" si="66"/>
        <v>0</v>
      </c>
      <c r="Y58" s="218">
        <f t="shared" si="66"/>
        <v>0</v>
      </c>
      <c r="Z58" s="218">
        <f t="shared" si="66"/>
        <v>0</v>
      </c>
      <c r="AA58" s="218">
        <f t="shared" si="66"/>
        <v>0</v>
      </c>
      <c r="AB58" s="218">
        <f t="shared" si="66"/>
        <v>0</v>
      </c>
      <c r="AC58" s="218">
        <f t="shared" si="66"/>
        <v>0</v>
      </c>
      <c r="AD58" s="218">
        <f t="shared" si="66"/>
        <v>0</v>
      </c>
      <c r="AE58" s="218">
        <f t="shared" si="66"/>
        <v>0</v>
      </c>
      <c r="AF58" s="218">
        <f t="shared" si="66"/>
        <v>0</v>
      </c>
      <c r="AG58" s="218">
        <f t="shared" si="66"/>
        <v>0</v>
      </c>
      <c r="AH58" s="218">
        <f t="shared" si="66"/>
        <v>0</v>
      </c>
      <c r="AI58" s="218">
        <f t="shared" si="66"/>
        <v>0</v>
      </c>
      <c r="AJ58" s="218">
        <f t="shared" si="66"/>
        <v>0</v>
      </c>
      <c r="AK58" s="218">
        <f t="shared" si="66"/>
        <v>0</v>
      </c>
      <c r="AL58" s="218">
        <f t="shared" si="66"/>
        <v>0</v>
      </c>
      <c r="AM58" s="218">
        <f t="shared" si="66"/>
        <v>0</v>
      </c>
      <c r="AN58" s="218">
        <f t="shared" si="66"/>
        <v>0</v>
      </c>
      <c r="AO58" s="218">
        <f t="shared" si="66"/>
        <v>0</v>
      </c>
      <c r="AP58" s="218">
        <f t="shared" si="66"/>
        <v>0</v>
      </c>
      <c r="AQ58" s="218">
        <f t="shared" si="66"/>
        <v>0</v>
      </c>
      <c r="AR58" s="218">
        <f t="shared" si="66"/>
        <v>0</v>
      </c>
      <c r="AS58" s="218">
        <f t="shared" si="66"/>
        <v>0</v>
      </c>
      <c r="AT58" s="218">
        <f t="shared" si="66"/>
        <v>0</v>
      </c>
      <c r="AU58" s="218">
        <f t="shared" si="66"/>
        <v>0</v>
      </c>
      <c r="AV58" s="218">
        <f t="shared" si="66"/>
        <v>0</v>
      </c>
      <c r="AW58" s="218">
        <f t="shared" si="66"/>
        <v>0</v>
      </c>
      <c r="AX58" s="218">
        <f t="shared" si="66"/>
        <v>0</v>
      </c>
      <c r="AY58" s="218">
        <f t="shared" si="66"/>
        <v>0</v>
      </c>
      <c r="AZ58" s="218">
        <f t="shared" si="66"/>
        <v>0</v>
      </c>
      <c r="BA58" s="218">
        <f t="shared" si="66"/>
        <v>0</v>
      </c>
      <c r="BB58" s="218">
        <f t="shared" si="66"/>
        <v>0</v>
      </c>
      <c r="BC58" s="218">
        <f t="shared" si="66"/>
        <v>0</v>
      </c>
      <c r="BD58" s="218">
        <f t="shared" si="66"/>
        <v>0</v>
      </c>
      <c r="BE58" s="218">
        <f t="shared" si="66"/>
        <v>0</v>
      </c>
      <c r="BF58" s="218">
        <f t="shared" si="66"/>
        <v>0</v>
      </c>
      <c r="BG58" s="218">
        <f t="shared" si="66"/>
        <v>0</v>
      </c>
      <c r="BH58" s="218">
        <f t="shared" si="66"/>
        <v>0</v>
      </c>
      <c r="BI58" s="218">
        <f t="shared" si="66"/>
        <v>0</v>
      </c>
      <c r="BJ58" s="218">
        <f t="shared" si="66"/>
        <v>0</v>
      </c>
      <c r="BK58" s="218">
        <f t="shared" si="66"/>
        <v>0</v>
      </c>
      <c r="BL58" s="218">
        <f t="shared" si="66"/>
        <v>0</v>
      </c>
      <c r="BM58" s="218">
        <f t="shared" si="66"/>
        <v>0</v>
      </c>
      <c r="BN58" s="218">
        <f t="shared" si="66"/>
        <v>0</v>
      </c>
      <c r="BO58" s="218">
        <f t="shared" si="66"/>
        <v>0</v>
      </c>
      <c r="BP58" s="218">
        <f t="shared" si="66"/>
        <v>0</v>
      </c>
      <c r="BQ58" s="218">
        <f t="shared" si="66"/>
        <v>0</v>
      </c>
      <c r="BR58" s="218">
        <f t="shared" ref="BR58:EC58" si="67">IFERROR(BR56*9,0)</f>
        <v>0</v>
      </c>
      <c r="BS58" s="218">
        <f t="shared" si="67"/>
        <v>0</v>
      </c>
      <c r="BT58" s="218">
        <f t="shared" si="67"/>
        <v>0</v>
      </c>
      <c r="BU58" s="218">
        <f t="shared" si="67"/>
        <v>0</v>
      </c>
      <c r="BV58" s="218">
        <f t="shared" si="67"/>
        <v>0</v>
      </c>
      <c r="BW58" s="218">
        <f t="shared" si="67"/>
        <v>0</v>
      </c>
      <c r="BX58" s="218">
        <f t="shared" si="67"/>
        <v>0</v>
      </c>
      <c r="BY58" s="218">
        <f t="shared" si="67"/>
        <v>0</v>
      </c>
      <c r="BZ58" s="218">
        <f t="shared" si="67"/>
        <v>0</v>
      </c>
      <c r="CA58" s="218">
        <f t="shared" si="67"/>
        <v>0</v>
      </c>
      <c r="CB58" s="218">
        <f t="shared" si="67"/>
        <v>0</v>
      </c>
      <c r="CC58" s="218">
        <f t="shared" si="67"/>
        <v>0</v>
      </c>
      <c r="CD58" s="218">
        <f t="shared" si="67"/>
        <v>0</v>
      </c>
      <c r="CE58" s="218">
        <f t="shared" si="67"/>
        <v>0</v>
      </c>
      <c r="CF58" s="218">
        <f t="shared" si="67"/>
        <v>0</v>
      </c>
      <c r="CG58" s="218">
        <f t="shared" si="67"/>
        <v>0</v>
      </c>
      <c r="CH58" s="218">
        <f t="shared" si="67"/>
        <v>0</v>
      </c>
      <c r="CI58" s="218">
        <f t="shared" si="67"/>
        <v>0</v>
      </c>
      <c r="CJ58" s="218">
        <f t="shared" si="67"/>
        <v>0</v>
      </c>
      <c r="CK58" s="218">
        <f t="shared" si="67"/>
        <v>0</v>
      </c>
      <c r="CL58" s="218">
        <f t="shared" si="67"/>
        <v>0</v>
      </c>
      <c r="CM58" s="218">
        <f t="shared" si="67"/>
        <v>0</v>
      </c>
      <c r="CN58" s="218">
        <f t="shared" si="67"/>
        <v>0</v>
      </c>
      <c r="CO58" s="218">
        <f t="shared" si="67"/>
        <v>0</v>
      </c>
      <c r="CP58" s="218">
        <f t="shared" si="67"/>
        <v>0</v>
      </c>
      <c r="CQ58" s="218">
        <f t="shared" si="67"/>
        <v>0</v>
      </c>
      <c r="CR58" s="218">
        <f t="shared" si="67"/>
        <v>0</v>
      </c>
      <c r="CS58" s="218">
        <f t="shared" si="67"/>
        <v>0</v>
      </c>
      <c r="CT58" s="218">
        <f t="shared" si="67"/>
        <v>0</v>
      </c>
      <c r="CU58" s="218">
        <f t="shared" si="67"/>
        <v>0</v>
      </c>
      <c r="CV58" s="218">
        <f t="shared" si="67"/>
        <v>0</v>
      </c>
      <c r="CW58" s="218">
        <f t="shared" si="67"/>
        <v>0</v>
      </c>
      <c r="CX58" s="218">
        <f t="shared" si="67"/>
        <v>0</v>
      </c>
      <c r="CY58" s="218">
        <f t="shared" si="67"/>
        <v>0</v>
      </c>
      <c r="CZ58" s="218">
        <f t="shared" si="67"/>
        <v>0</v>
      </c>
      <c r="DA58" s="218">
        <f t="shared" si="67"/>
        <v>0</v>
      </c>
      <c r="DB58" s="218">
        <f t="shared" si="67"/>
        <v>0</v>
      </c>
      <c r="DC58" s="218">
        <f t="shared" si="67"/>
        <v>0</v>
      </c>
      <c r="DD58" s="218">
        <f t="shared" si="67"/>
        <v>0</v>
      </c>
      <c r="DE58" s="218">
        <f t="shared" si="67"/>
        <v>0</v>
      </c>
      <c r="DF58" s="218">
        <f t="shared" si="67"/>
        <v>0</v>
      </c>
      <c r="DG58" s="218">
        <f t="shared" si="67"/>
        <v>0</v>
      </c>
      <c r="DH58" s="218">
        <f t="shared" si="67"/>
        <v>0</v>
      </c>
      <c r="DI58" s="218">
        <f t="shared" si="67"/>
        <v>0</v>
      </c>
      <c r="DJ58" s="218">
        <f t="shared" si="67"/>
        <v>0</v>
      </c>
      <c r="DK58" s="218">
        <f t="shared" si="67"/>
        <v>0</v>
      </c>
      <c r="DL58" s="218">
        <f t="shared" si="67"/>
        <v>0</v>
      </c>
      <c r="DM58" s="218">
        <f t="shared" si="67"/>
        <v>0</v>
      </c>
      <c r="DN58" s="218">
        <f t="shared" si="67"/>
        <v>0</v>
      </c>
      <c r="DO58" s="218">
        <f t="shared" si="67"/>
        <v>0</v>
      </c>
      <c r="DP58" s="218">
        <f t="shared" si="67"/>
        <v>0</v>
      </c>
      <c r="DQ58" s="218">
        <f t="shared" si="67"/>
        <v>0</v>
      </c>
      <c r="DR58" s="218">
        <f t="shared" si="67"/>
        <v>0</v>
      </c>
      <c r="DS58" s="218">
        <f t="shared" si="67"/>
        <v>0</v>
      </c>
      <c r="DT58" s="218">
        <f t="shared" si="67"/>
        <v>0</v>
      </c>
      <c r="DU58" s="218">
        <f t="shared" si="67"/>
        <v>0</v>
      </c>
      <c r="DV58" s="218">
        <f t="shared" si="67"/>
        <v>0</v>
      </c>
      <c r="DW58" s="218">
        <f t="shared" si="67"/>
        <v>0</v>
      </c>
      <c r="DX58" s="218">
        <f t="shared" si="67"/>
        <v>0</v>
      </c>
      <c r="DY58" s="218">
        <f t="shared" si="67"/>
        <v>0</v>
      </c>
      <c r="DZ58" s="218">
        <f t="shared" si="67"/>
        <v>0</v>
      </c>
      <c r="EA58" s="218">
        <f t="shared" si="67"/>
        <v>0</v>
      </c>
      <c r="EB58" s="218">
        <f t="shared" si="67"/>
        <v>0</v>
      </c>
      <c r="EC58" s="218">
        <f t="shared" si="67"/>
        <v>0</v>
      </c>
      <c r="ED58" s="218">
        <f t="shared" ref="ED58:GO58" si="68">IFERROR(ED56*9,0)</f>
        <v>0</v>
      </c>
      <c r="EE58" s="218">
        <f t="shared" si="68"/>
        <v>0</v>
      </c>
      <c r="EF58" s="218">
        <f t="shared" si="68"/>
        <v>0</v>
      </c>
      <c r="EG58" s="218">
        <f t="shared" si="68"/>
        <v>0</v>
      </c>
      <c r="EH58" s="218">
        <f t="shared" si="68"/>
        <v>0</v>
      </c>
      <c r="EI58" s="218">
        <f t="shared" si="68"/>
        <v>0</v>
      </c>
      <c r="EJ58" s="218">
        <f t="shared" si="68"/>
        <v>0</v>
      </c>
      <c r="EK58" s="218">
        <f t="shared" si="68"/>
        <v>0</v>
      </c>
      <c r="EL58" s="218">
        <f t="shared" si="68"/>
        <v>0</v>
      </c>
      <c r="EM58" s="218">
        <f t="shared" si="68"/>
        <v>0</v>
      </c>
      <c r="EN58" s="218">
        <f t="shared" si="68"/>
        <v>0</v>
      </c>
      <c r="EO58" s="218">
        <f t="shared" si="68"/>
        <v>0</v>
      </c>
      <c r="EP58" s="218">
        <f t="shared" si="68"/>
        <v>0</v>
      </c>
      <c r="EQ58" s="218">
        <f t="shared" si="68"/>
        <v>0</v>
      </c>
      <c r="ER58" s="218">
        <f t="shared" si="68"/>
        <v>0</v>
      </c>
      <c r="ES58" s="218">
        <f t="shared" si="68"/>
        <v>0</v>
      </c>
      <c r="ET58" s="218">
        <f t="shared" si="68"/>
        <v>0</v>
      </c>
      <c r="EU58" s="218">
        <f t="shared" si="68"/>
        <v>0</v>
      </c>
      <c r="EV58" s="218">
        <f t="shared" si="68"/>
        <v>0</v>
      </c>
      <c r="EW58" s="218">
        <f t="shared" si="68"/>
        <v>0</v>
      </c>
      <c r="EX58" s="218">
        <f t="shared" si="68"/>
        <v>0</v>
      </c>
      <c r="EY58" s="218">
        <f t="shared" si="68"/>
        <v>0</v>
      </c>
      <c r="EZ58" s="218">
        <f t="shared" si="68"/>
        <v>0</v>
      </c>
      <c r="FA58" s="218">
        <f t="shared" si="68"/>
        <v>0</v>
      </c>
      <c r="FB58" s="218">
        <f t="shared" si="68"/>
        <v>0</v>
      </c>
      <c r="FC58" s="218">
        <f t="shared" si="68"/>
        <v>0</v>
      </c>
      <c r="FD58" s="218">
        <f t="shared" si="68"/>
        <v>0</v>
      </c>
      <c r="FE58" s="218">
        <f t="shared" si="68"/>
        <v>0</v>
      </c>
      <c r="FF58" s="218">
        <f t="shared" si="68"/>
        <v>0</v>
      </c>
      <c r="FG58" s="218">
        <f t="shared" si="68"/>
        <v>0</v>
      </c>
      <c r="FH58" s="218">
        <f t="shared" si="68"/>
        <v>0</v>
      </c>
      <c r="FI58" s="218">
        <f t="shared" si="68"/>
        <v>0</v>
      </c>
      <c r="FJ58" s="218">
        <f t="shared" si="68"/>
        <v>0</v>
      </c>
      <c r="FK58" s="218">
        <f t="shared" si="68"/>
        <v>0</v>
      </c>
      <c r="FL58" s="218">
        <f t="shared" si="68"/>
        <v>0</v>
      </c>
      <c r="FM58" s="218">
        <f t="shared" si="68"/>
        <v>0</v>
      </c>
      <c r="FN58" s="218">
        <f t="shared" si="68"/>
        <v>0</v>
      </c>
      <c r="FO58" s="218">
        <f t="shared" si="68"/>
        <v>0</v>
      </c>
      <c r="FP58" s="218">
        <f t="shared" si="68"/>
        <v>0</v>
      </c>
      <c r="FQ58" s="218">
        <f t="shared" si="68"/>
        <v>0</v>
      </c>
      <c r="FR58" s="218">
        <f t="shared" si="68"/>
        <v>0</v>
      </c>
      <c r="FS58" s="218">
        <f t="shared" si="68"/>
        <v>0</v>
      </c>
      <c r="FT58" s="218">
        <f t="shared" si="68"/>
        <v>0</v>
      </c>
      <c r="FU58" s="218">
        <f t="shared" si="68"/>
        <v>0</v>
      </c>
      <c r="FV58" s="218">
        <f t="shared" si="68"/>
        <v>0</v>
      </c>
      <c r="FW58" s="218">
        <f t="shared" si="68"/>
        <v>0</v>
      </c>
      <c r="FX58" s="218">
        <f t="shared" si="68"/>
        <v>0</v>
      </c>
      <c r="FY58" s="218">
        <f t="shared" si="68"/>
        <v>0</v>
      </c>
      <c r="FZ58" s="218">
        <f t="shared" si="68"/>
        <v>0</v>
      </c>
      <c r="GA58" s="218">
        <f t="shared" si="68"/>
        <v>0</v>
      </c>
      <c r="GB58" s="218">
        <f t="shared" si="68"/>
        <v>0</v>
      </c>
      <c r="GC58" s="218">
        <f t="shared" si="68"/>
        <v>0</v>
      </c>
      <c r="GD58" s="218">
        <f t="shared" si="68"/>
        <v>0</v>
      </c>
      <c r="GE58" s="218">
        <f t="shared" si="68"/>
        <v>0</v>
      </c>
      <c r="GF58" s="218">
        <f t="shared" si="68"/>
        <v>0</v>
      </c>
      <c r="GG58" s="218">
        <f t="shared" si="68"/>
        <v>0</v>
      </c>
      <c r="GH58" s="218">
        <f t="shared" si="68"/>
        <v>0</v>
      </c>
      <c r="GI58" s="218">
        <f t="shared" si="68"/>
        <v>0</v>
      </c>
      <c r="GJ58" s="218">
        <f t="shared" si="68"/>
        <v>0</v>
      </c>
      <c r="GK58" s="218">
        <f t="shared" si="68"/>
        <v>0</v>
      </c>
      <c r="GL58" s="218">
        <f t="shared" si="68"/>
        <v>0</v>
      </c>
      <c r="GM58" s="218">
        <f t="shared" si="68"/>
        <v>0</v>
      </c>
      <c r="GN58" s="218">
        <f t="shared" si="68"/>
        <v>0</v>
      </c>
      <c r="GO58" s="218">
        <f t="shared" si="68"/>
        <v>0</v>
      </c>
      <c r="GP58" s="218">
        <f t="shared" ref="GP58:JA58" si="69">IFERROR(GP56*9,0)</f>
        <v>0</v>
      </c>
      <c r="GQ58" s="218">
        <f t="shared" si="69"/>
        <v>0</v>
      </c>
      <c r="GR58" s="218">
        <f t="shared" si="69"/>
        <v>0</v>
      </c>
      <c r="GS58" s="218">
        <f t="shared" si="69"/>
        <v>0</v>
      </c>
      <c r="GT58" s="218">
        <f t="shared" si="69"/>
        <v>0</v>
      </c>
      <c r="GU58" s="218">
        <f t="shared" si="69"/>
        <v>0</v>
      </c>
      <c r="GV58" s="218">
        <f t="shared" si="69"/>
        <v>0</v>
      </c>
      <c r="GW58" s="218">
        <f t="shared" si="69"/>
        <v>0</v>
      </c>
      <c r="GX58" s="218">
        <f t="shared" si="69"/>
        <v>0</v>
      </c>
      <c r="GY58" s="218">
        <f t="shared" si="69"/>
        <v>0</v>
      </c>
      <c r="GZ58" s="218">
        <f t="shared" si="69"/>
        <v>0</v>
      </c>
      <c r="HA58" s="218">
        <f t="shared" si="69"/>
        <v>0</v>
      </c>
      <c r="HB58" s="218">
        <f t="shared" si="69"/>
        <v>0</v>
      </c>
      <c r="HC58" s="218">
        <f t="shared" si="69"/>
        <v>0</v>
      </c>
      <c r="HD58" s="218">
        <f t="shared" si="69"/>
        <v>0</v>
      </c>
      <c r="HE58" s="218">
        <f t="shared" si="69"/>
        <v>0</v>
      </c>
      <c r="HF58" s="218">
        <f t="shared" si="69"/>
        <v>0</v>
      </c>
      <c r="HG58" s="218">
        <f t="shared" si="69"/>
        <v>0</v>
      </c>
      <c r="HH58" s="218">
        <f t="shared" si="69"/>
        <v>0</v>
      </c>
      <c r="HI58" s="218">
        <f t="shared" si="69"/>
        <v>0</v>
      </c>
      <c r="HJ58" s="218">
        <f t="shared" si="69"/>
        <v>0</v>
      </c>
      <c r="HK58" s="218">
        <f t="shared" si="69"/>
        <v>0</v>
      </c>
      <c r="HL58" s="218">
        <f t="shared" si="69"/>
        <v>0</v>
      </c>
      <c r="HM58" s="218">
        <f t="shared" si="69"/>
        <v>0</v>
      </c>
      <c r="HN58" s="218">
        <f t="shared" si="69"/>
        <v>0</v>
      </c>
      <c r="HO58" s="218">
        <f t="shared" si="69"/>
        <v>0</v>
      </c>
      <c r="HP58" s="218">
        <f t="shared" si="69"/>
        <v>0</v>
      </c>
      <c r="HQ58" s="218">
        <f t="shared" si="69"/>
        <v>0</v>
      </c>
      <c r="HR58" s="218">
        <f t="shared" si="69"/>
        <v>0</v>
      </c>
      <c r="HS58" s="218">
        <f t="shared" si="69"/>
        <v>0</v>
      </c>
      <c r="HT58" s="218">
        <f t="shared" si="69"/>
        <v>0</v>
      </c>
      <c r="HU58" s="218">
        <f t="shared" si="69"/>
        <v>0</v>
      </c>
      <c r="HV58" s="218">
        <f t="shared" si="69"/>
        <v>0</v>
      </c>
      <c r="HW58" s="218">
        <f t="shared" si="69"/>
        <v>0</v>
      </c>
      <c r="HX58" s="218">
        <f t="shared" si="69"/>
        <v>0</v>
      </c>
      <c r="HY58" s="218">
        <f t="shared" si="69"/>
        <v>0</v>
      </c>
      <c r="HZ58" s="218">
        <f t="shared" si="69"/>
        <v>0</v>
      </c>
      <c r="IA58" s="218">
        <f t="shared" si="69"/>
        <v>0</v>
      </c>
      <c r="IB58" s="218">
        <f t="shared" si="69"/>
        <v>0</v>
      </c>
      <c r="IC58" s="218">
        <f t="shared" si="69"/>
        <v>0</v>
      </c>
      <c r="ID58" s="218">
        <f t="shared" si="69"/>
        <v>0</v>
      </c>
      <c r="IE58" s="218">
        <f t="shared" si="69"/>
        <v>0</v>
      </c>
      <c r="IF58" s="218">
        <f t="shared" si="69"/>
        <v>0</v>
      </c>
      <c r="IG58" s="218">
        <f t="shared" si="69"/>
        <v>0</v>
      </c>
      <c r="IH58" s="218">
        <f t="shared" si="69"/>
        <v>0</v>
      </c>
      <c r="II58" s="218">
        <f t="shared" si="69"/>
        <v>0</v>
      </c>
      <c r="IJ58" s="218">
        <f t="shared" si="69"/>
        <v>0</v>
      </c>
      <c r="IK58" s="218">
        <f t="shared" si="69"/>
        <v>0</v>
      </c>
      <c r="IL58" s="218">
        <f t="shared" si="69"/>
        <v>0</v>
      </c>
      <c r="IM58" s="218">
        <f t="shared" si="69"/>
        <v>0</v>
      </c>
      <c r="IN58" s="218">
        <f t="shared" si="69"/>
        <v>0</v>
      </c>
      <c r="IO58" s="218">
        <f t="shared" si="69"/>
        <v>0</v>
      </c>
      <c r="IP58" s="218">
        <f t="shared" si="69"/>
        <v>0</v>
      </c>
      <c r="IQ58" s="218">
        <f t="shared" si="69"/>
        <v>0</v>
      </c>
      <c r="IR58" s="218">
        <f t="shared" si="69"/>
        <v>0</v>
      </c>
      <c r="IS58" s="218">
        <f t="shared" si="69"/>
        <v>0</v>
      </c>
      <c r="IT58" s="218">
        <f t="shared" si="69"/>
        <v>0</v>
      </c>
      <c r="IU58" s="218">
        <f t="shared" si="69"/>
        <v>0</v>
      </c>
      <c r="IV58" s="218">
        <f t="shared" si="69"/>
        <v>0</v>
      </c>
      <c r="IW58" s="218">
        <f t="shared" si="69"/>
        <v>0</v>
      </c>
      <c r="IX58" s="218">
        <f t="shared" si="69"/>
        <v>0</v>
      </c>
      <c r="IY58" s="218">
        <f t="shared" si="69"/>
        <v>0</v>
      </c>
      <c r="IZ58" s="218">
        <f t="shared" si="69"/>
        <v>0</v>
      </c>
      <c r="JA58" s="218">
        <f t="shared" si="69"/>
        <v>0</v>
      </c>
      <c r="JB58" s="218">
        <f t="shared" ref="JB58:LM58" si="70">IFERROR(JB56*9,0)</f>
        <v>0</v>
      </c>
      <c r="JC58" s="218">
        <f t="shared" si="70"/>
        <v>0</v>
      </c>
      <c r="JD58" s="218">
        <f t="shared" si="70"/>
        <v>0</v>
      </c>
      <c r="JE58" s="218">
        <f t="shared" si="70"/>
        <v>0</v>
      </c>
      <c r="JF58" s="218">
        <f t="shared" si="70"/>
        <v>0</v>
      </c>
      <c r="JG58" s="218">
        <f t="shared" si="70"/>
        <v>0</v>
      </c>
      <c r="JH58" s="218">
        <f t="shared" si="70"/>
        <v>0</v>
      </c>
      <c r="JI58" s="218">
        <f t="shared" si="70"/>
        <v>0</v>
      </c>
      <c r="JJ58" s="218">
        <f t="shared" si="70"/>
        <v>0</v>
      </c>
      <c r="JK58" s="218">
        <f t="shared" si="70"/>
        <v>0</v>
      </c>
      <c r="JL58" s="218">
        <f t="shared" si="70"/>
        <v>0</v>
      </c>
      <c r="JM58" s="218">
        <f t="shared" si="70"/>
        <v>0</v>
      </c>
      <c r="JN58" s="218">
        <f t="shared" si="70"/>
        <v>0</v>
      </c>
      <c r="JO58" s="218">
        <f t="shared" si="70"/>
        <v>0</v>
      </c>
      <c r="JP58" s="218">
        <f t="shared" si="70"/>
        <v>0</v>
      </c>
      <c r="JQ58" s="218">
        <f t="shared" si="70"/>
        <v>0</v>
      </c>
      <c r="JR58" s="218">
        <f t="shared" si="70"/>
        <v>0</v>
      </c>
      <c r="JS58" s="218">
        <f t="shared" si="70"/>
        <v>0</v>
      </c>
      <c r="JT58" s="218">
        <f t="shared" si="70"/>
        <v>0</v>
      </c>
      <c r="JU58" s="218">
        <f t="shared" si="70"/>
        <v>0</v>
      </c>
      <c r="JV58" s="218">
        <f t="shared" si="70"/>
        <v>0</v>
      </c>
      <c r="JW58" s="218">
        <f t="shared" si="70"/>
        <v>0</v>
      </c>
      <c r="JX58" s="218">
        <f t="shared" si="70"/>
        <v>0</v>
      </c>
      <c r="JY58" s="218">
        <f t="shared" si="70"/>
        <v>0</v>
      </c>
      <c r="JZ58" s="218">
        <f t="shared" si="70"/>
        <v>0</v>
      </c>
      <c r="KA58" s="218">
        <f t="shared" si="70"/>
        <v>0</v>
      </c>
      <c r="KB58" s="218">
        <f t="shared" si="70"/>
        <v>0</v>
      </c>
      <c r="KC58" s="218">
        <f t="shared" si="70"/>
        <v>0</v>
      </c>
      <c r="KD58" s="218">
        <f t="shared" si="70"/>
        <v>0</v>
      </c>
      <c r="KE58" s="218">
        <f t="shared" si="70"/>
        <v>0</v>
      </c>
      <c r="KF58" s="218">
        <f t="shared" si="70"/>
        <v>0</v>
      </c>
      <c r="KG58" s="218">
        <f t="shared" si="70"/>
        <v>0</v>
      </c>
      <c r="KH58" s="218">
        <f t="shared" si="70"/>
        <v>0</v>
      </c>
      <c r="KI58" s="218">
        <f t="shared" si="70"/>
        <v>0</v>
      </c>
      <c r="KJ58" s="218">
        <f t="shared" si="70"/>
        <v>0</v>
      </c>
      <c r="KK58" s="218">
        <f t="shared" si="70"/>
        <v>0</v>
      </c>
      <c r="KL58" s="218">
        <f t="shared" si="70"/>
        <v>0</v>
      </c>
      <c r="KM58" s="218">
        <f t="shared" si="70"/>
        <v>0</v>
      </c>
      <c r="KN58" s="218">
        <f t="shared" si="70"/>
        <v>0</v>
      </c>
      <c r="KO58" s="218">
        <f t="shared" si="70"/>
        <v>0</v>
      </c>
      <c r="KP58" s="218">
        <f t="shared" si="70"/>
        <v>0</v>
      </c>
      <c r="KQ58" s="218">
        <f t="shared" si="70"/>
        <v>0</v>
      </c>
      <c r="KR58" s="218">
        <f t="shared" si="70"/>
        <v>0</v>
      </c>
      <c r="KS58" s="218">
        <f t="shared" si="70"/>
        <v>0</v>
      </c>
      <c r="KT58" s="218">
        <f t="shared" si="70"/>
        <v>0</v>
      </c>
      <c r="KU58" s="218">
        <f t="shared" si="70"/>
        <v>0</v>
      </c>
      <c r="KV58" s="218">
        <f t="shared" si="70"/>
        <v>0</v>
      </c>
      <c r="KW58" s="218">
        <f t="shared" si="70"/>
        <v>0</v>
      </c>
      <c r="KX58" s="218">
        <f t="shared" si="70"/>
        <v>0</v>
      </c>
      <c r="KY58" s="218">
        <f t="shared" si="70"/>
        <v>0</v>
      </c>
      <c r="KZ58" s="218">
        <f t="shared" si="70"/>
        <v>0</v>
      </c>
      <c r="LA58" s="218">
        <f t="shared" si="70"/>
        <v>0</v>
      </c>
      <c r="LB58" s="218">
        <f t="shared" si="70"/>
        <v>0</v>
      </c>
      <c r="LC58" s="218">
        <f t="shared" si="70"/>
        <v>0</v>
      </c>
      <c r="LD58" s="218">
        <f t="shared" si="70"/>
        <v>0</v>
      </c>
      <c r="LE58" s="218">
        <f t="shared" si="70"/>
        <v>0</v>
      </c>
      <c r="LF58" s="218">
        <f t="shared" si="70"/>
        <v>0</v>
      </c>
      <c r="LG58" s="218">
        <f t="shared" si="70"/>
        <v>0</v>
      </c>
      <c r="LH58" s="218">
        <f t="shared" si="70"/>
        <v>0</v>
      </c>
      <c r="LI58" s="218">
        <f t="shared" si="70"/>
        <v>0</v>
      </c>
      <c r="LJ58" s="218">
        <f t="shared" si="70"/>
        <v>0</v>
      </c>
      <c r="LK58" s="218">
        <f t="shared" si="70"/>
        <v>0</v>
      </c>
      <c r="LL58" s="218">
        <f t="shared" si="70"/>
        <v>0</v>
      </c>
      <c r="LM58" s="218">
        <f t="shared" si="70"/>
        <v>0</v>
      </c>
      <c r="LN58" s="218">
        <f t="shared" ref="LN58:NY58" si="71">IFERROR(LN56*9,0)</f>
        <v>0</v>
      </c>
      <c r="LO58" s="218">
        <f t="shared" si="71"/>
        <v>0</v>
      </c>
      <c r="LP58" s="218">
        <f t="shared" si="71"/>
        <v>0</v>
      </c>
      <c r="LQ58" s="218">
        <f t="shared" si="71"/>
        <v>0</v>
      </c>
      <c r="LR58" s="218">
        <f t="shared" si="71"/>
        <v>0</v>
      </c>
      <c r="LS58" s="218">
        <f t="shared" si="71"/>
        <v>0</v>
      </c>
      <c r="LT58" s="218">
        <f t="shared" si="71"/>
        <v>0</v>
      </c>
      <c r="LU58" s="218">
        <f t="shared" si="71"/>
        <v>0</v>
      </c>
      <c r="LV58" s="218">
        <f t="shared" si="71"/>
        <v>0</v>
      </c>
      <c r="LW58" s="218">
        <f t="shared" si="71"/>
        <v>0</v>
      </c>
      <c r="LX58" s="218">
        <f t="shared" si="71"/>
        <v>0</v>
      </c>
      <c r="LY58" s="218">
        <f t="shared" si="71"/>
        <v>0</v>
      </c>
      <c r="LZ58" s="218">
        <f t="shared" si="71"/>
        <v>0</v>
      </c>
      <c r="MA58" s="218">
        <f t="shared" si="71"/>
        <v>0</v>
      </c>
      <c r="MB58" s="218">
        <f t="shared" si="71"/>
        <v>0</v>
      </c>
      <c r="MC58" s="218">
        <f t="shared" si="71"/>
        <v>0</v>
      </c>
      <c r="MD58" s="218">
        <f t="shared" si="71"/>
        <v>0</v>
      </c>
      <c r="ME58" s="218">
        <f t="shared" si="71"/>
        <v>0</v>
      </c>
      <c r="MF58" s="218">
        <f t="shared" si="71"/>
        <v>0</v>
      </c>
      <c r="MG58" s="218">
        <f t="shared" si="71"/>
        <v>0</v>
      </c>
      <c r="MH58" s="218">
        <f t="shared" si="71"/>
        <v>0</v>
      </c>
      <c r="MI58" s="218">
        <f t="shared" si="71"/>
        <v>0</v>
      </c>
      <c r="MJ58" s="218">
        <f t="shared" si="71"/>
        <v>0</v>
      </c>
      <c r="MK58" s="218">
        <f t="shared" si="71"/>
        <v>0</v>
      </c>
      <c r="ML58" s="218">
        <f t="shared" si="71"/>
        <v>0</v>
      </c>
      <c r="MM58" s="218">
        <f t="shared" si="71"/>
        <v>0</v>
      </c>
      <c r="MN58" s="218">
        <f t="shared" si="71"/>
        <v>0</v>
      </c>
      <c r="MO58" s="218">
        <f t="shared" si="71"/>
        <v>0</v>
      </c>
      <c r="MP58" s="218">
        <f t="shared" si="71"/>
        <v>0</v>
      </c>
      <c r="MQ58" s="218">
        <f t="shared" si="71"/>
        <v>0</v>
      </c>
      <c r="MR58" s="218">
        <f t="shared" si="71"/>
        <v>0</v>
      </c>
      <c r="MS58" s="218">
        <f t="shared" si="71"/>
        <v>0</v>
      </c>
      <c r="MT58" s="218">
        <f t="shared" si="71"/>
        <v>0</v>
      </c>
      <c r="MU58" s="218">
        <f t="shared" si="71"/>
        <v>0</v>
      </c>
      <c r="MV58" s="218">
        <f t="shared" si="71"/>
        <v>0</v>
      </c>
      <c r="MW58" s="218">
        <f t="shared" si="71"/>
        <v>0</v>
      </c>
      <c r="MX58" s="218">
        <f t="shared" si="71"/>
        <v>0</v>
      </c>
      <c r="MY58" s="218">
        <f t="shared" si="71"/>
        <v>0</v>
      </c>
      <c r="MZ58" s="218">
        <f t="shared" si="71"/>
        <v>0</v>
      </c>
      <c r="NA58" s="218">
        <f t="shared" si="71"/>
        <v>0</v>
      </c>
      <c r="NB58" s="218">
        <f t="shared" si="71"/>
        <v>0</v>
      </c>
      <c r="NC58" s="218">
        <f t="shared" si="71"/>
        <v>0</v>
      </c>
      <c r="ND58" s="218">
        <f t="shared" si="71"/>
        <v>0</v>
      </c>
      <c r="NE58" s="218">
        <f t="shared" si="71"/>
        <v>0</v>
      </c>
      <c r="NF58" s="218">
        <f t="shared" si="71"/>
        <v>0</v>
      </c>
      <c r="NG58" s="218">
        <f t="shared" si="71"/>
        <v>0</v>
      </c>
      <c r="NH58" s="218">
        <f t="shared" si="71"/>
        <v>0</v>
      </c>
      <c r="NI58" s="218">
        <f t="shared" si="71"/>
        <v>0</v>
      </c>
      <c r="NJ58" s="218">
        <f t="shared" si="71"/>
        <v>0</v>
      </c>
      <c r="NK58" s="218">
        <f t="shared" si="71"/>
        <v>0</v>
      </c>
      <c r="NL58" s="218">
        <f t="shared" si="71"/>
        <v>0</v>
      </c>
      <c r="NM58" s="218">
        <f t="shared" si="71"/>
        <v>0</v>
      </c>
      <c r="NN58" s="218">
        <f t="shared" si="71"/>
        <v>0</v>
      </c>
      <c r="NO58" s="218">
        <f t="shared" si="71"/>
        <v>0</v>
      </c>
      <c r="NP58" s="218">
        <f t="shared" si="71"/>
        <v>0</v>
      </c>
      <c r="NQ58" s="218">
        <f t="shared" si="71"/>
        <v>0</v>
      </c>
      <c r="NR58" s="218">
        <f t="shared" si="71"/>
        <v>0</v>
      </c>
      <c r="NS58" s="218">
        <f t="shared" si="71"/>
        <v>0</v>
      </c>
      <c r="NT58" s="218">
        <f t="shared" si="71"/>
        <v>0</v>
      </c>
      <c r="NU58" s="218">
        <f t="shared" si="71"/>
        <v>0</v>
      </c>
      <c r="NV58" s="218">
        <f t="shared" si="71"/>
        <v>0</v>
      </c>
      <c r="NW58" s="218">
        <f t="shared" si="71"/>
        <v>0</v>
      </c>
      <c r="NX58" s="218">
        <f t="shared" si="71"/>
        <v>0</v>
      </c>
      <c r="NY58" s="218">
        <f t="shared" si="71"/>
        <v>0</v>
      </c>
      <c r="NZ58" s="218">
        <f t="shared" ref="NZ58:QK58" si="72">IFERROR(NZ56*9,0)</f>
        <v>0</v>
      </c>
      <c r="OA58" s="218">
        <f t="shared" si="72"/>
        <v>0</v>
      </c>
      <c r="OB58" s="218">
        <f t="shared" si="72"/>
        <v>0</v>
      </c>
      <c r="OC58" s="218">
        <f t="shared" si="72"/>
        <v>0</v>
      </c>
      <c r="OD58" s="218">
        <f t="shared" si="72"/>
        <v>0</v>
      </c>
      <c r="OE58" s="218">
        <f t="shared" si="72"/>
        <v>0</v>
      </c>
      <c r="OF58" s="218">
        <f t="shared" si="72"/>
        <v>0</v>
      </c>
      <c r="OG58" s="218">
        <f t="shared" si="72"/>
        <v>0</v>
      </c>
      <c r="OH58" s="218">
        <f t="shared" si="72"/>
        <v>0</v>
      </c>
      <c r="OI58" s="218">
        <f t="shared" si="72"/>
        <v>0</v>
      </c>
      <c r="OJ58" s="218">
        <f t="shared" si="72"/>
        <v>0</v>
      </c>
      <c r="OK58" s="218">
        <f t="shared" si="72"/>
        <v>0</v>
      </c>
      <c r="OL58" s="218">
        <f t="shared" si="72"/>
        <v>0</v>
      </c>
      <c r="OM58" s="218">
        <f t="shared" si="72"/>
        <v>0</v>
      </c>
      <c r="ON58" s="218">
        <f t="shared" si="72"/>
        <v>0</v>
      </c>
      <c r="OO58" s="218">
        <f t="shared" si="72"/>
        <v>0</v>
      </c>
      <c r="OP58" s="218">
        <f t="shared" si="72"/>
        <v>0</v>
      </c>
      <c r="OQ58" s="218">
        <f t="shared" si="72"/>
        <v>0</v>
      </c>
      <c r="OR58" s="218">
        <f t="shared" si="72"/>
        <v>0</v>
      </c>
      <c r="OS58" s="218">
        <f t="shared" si="72"/>
        <v>0</v>
      </c>
      <c r="OT58" s="218">
        <f t="shared" si="72"/>
        <v>0</v>
      </c>
      <c r="OU58" s="218">
        <f t="shared" si="72"/>
        <v>0</v>
      </c>
      <c r="OV58" s="218">
        <f t="shared" si="72"/>
        <v>0</v>
      </c>
      <c r="OW58" s="218">
        <f t="shared" si="72"/>
        <v>0</v>
      </c>
      <c r="OX58" s="218">
        <f t="shared" si="72"/>
        <v>0</v>
      </c>
      <c r="OY58" s="218">
        <f t="shared" si="72"/>
        <v>0</v>
      </c>
      <c r="OZ58" s="218">
        <f t="shared" si="72"/>
        <v>0</v>
      </c>
      <c r="PA58" s="218">
        <f t="shared" si="72"/>
        <v>0</v>
      </c>
      <c r="PB58" s="218">
        <f t="shared" si="72"/>
        <v>0</v>
      </c>
      <c r="PC58" s="218">
        <f t="shared" si="72"/>
        <v>0</v>
      </c>
      <c r="PD58" s="218">
        <f t="shared" si="72"/>
        <v>0</v>
      </c>
      <c r="PE58" s="218">
        <f t="shared" si="72"/>
        <v>0</v>
      </c>
      <c r="PF58" s="218">
        <f t="shared" si="72"/>
        <v>0</v>
      </c>
      <c r="PG58" s="218">
        <f t="shared" si="72"/>
        <v>0</v>
      </c>
      <c r="PH58" s="218">
        <f t="shared" si="72"/>
        <v>0</v>
      </c>
      <c r="PI58" s="218">
        <f t="shared" si="72"/>
        <v>0</v>
      </c>
      <c r="PJ58" s="218">
        <f t="shared" si="72"/>
        <v>0</v>
      </c>
      <c r="PK58" s="218">
        <f t="shared" si="72"/>
        <v>0</v>
      </c>
      <c r="PL58" s="218">
        <f t="shared" si="72"/>
        <v>0</v>
      </c>
      <c r="PM58" s="218">
        <f t="shared" si="72"/>
        <v>0</v>
      </c>
      <c r="PN58" s="218">
        <f t="shared" si="72"/>
        <v>0</v>
      </c>
      <c r="PO58" s="218">
        <f t="shared" si="72"/>
        <v>0</v>
      </c>
      <c r="PP58" s="218">
        <f t="shared" si="72"/>
        <v>0</v>
      </c>
      <c r="PQ58" s="218">
        <f t="shared" si="72"/>
        <v>0</v>
      </c>
      <c r="PR58" s="218">
        <f t="shared" si="72"/>
        <v>0</v>
      </c>
      <c r="PS58" s="218">
        <f t="shared" si="72"/>
        <v>0</v>
      </c>
      <c r="PT58" s="218">
        <f t="shared" si="72"/>
        <v>0</v>
      </c>
      <c r="PU58" s="218">
        <f t="shared" si="72"/>
        <v>0</v>
      </c>
      <c r="PV58" s="218">
        <f t="shared" si="72"/>
        <v>0</v>
      </c>
      <c r="PW58" s="218">
        <f t="shared" si="72"/>
        <v>0</v>
      </c>
      <c r="PX58" s="218">
        <f t="shared" si="72"/>
        <v>0</v>
      </c>
      <c r="PY58" s="218">
        <f t="shared" si="72"/>
        <v>0</v>
      </c>
      <c r="PZ58" s="218">
        <f t="shared" si="72"/>
        <v>0</v>
      </c>
      <c r="QA58" s="218">
        <f t="shared" si="72"/>
        <v>0</v>
      </c>
      <c r="QB58" s="218">
        <f t="shared" si="72"/>
        <v>0</v>
      </c>
      <c r="QC58" s="218">
        <f t="shared" si="72"/>
        <v>0</v>
      </c>
      <c r="QD58" s="218">
        <f t="shared" si="72"/>
        <v>0</v>
      </c>
      <c r="QE58" s="218">
        <f t="shared" si="72"/>
        <v>0</v>
      </c>
      <c r="QF58" s="218">
        <f t="shared" si="72"/>
        <v>0</v>
      </c>
      <c r="QG58" s="218">
        <f t="shared" si="72"/>
        <v>0</v>
      </c>
      <c r="QH58" s="218">
        <f t="shared" si="72"/>
        <v>0</v>
      </c>
      <c r="QI58" s="218">
        <f t="shared" si="72"/>
        <v>0</v>
      </c>
      <c r="QJ58" s="218">
        <f t="shared" si="72"/>
        <v>0</v>
      </c>
      <c r="QK58" s="218">
        <f t="shared" si="72"/>
        <v>0</v>
      </c>
      <c r="QL58" s="218">
        <f t="shared" ref="QL58:SW58" si="73">IFERROR(QL56*9,0)</f>
        <v>0</v>
      </c>
      <c r="QM58" s="218">
        <f t="shared" si="73"/>
        <v>0</v>
      </c>
      <c r="QN58" s="218">
        <f t="shared" si="73"/>
        <v>0</v>
      </c>
      <c r="QO58" s="218">
        <f t="shared" si="73"/>
        <v>0</v>
      </c>
      <c r="QP58" s="218">
        <f t="shared" si="73"/>
        <v>0</v>
      </c>
      <c r="QQ58" s="218">
        <f t="shared" si="73"/>
        <v>0</v>
      </c>
      <c r="QR58" s="218">
        <f t="shared" si="73"/>
        <v>0</v>
      </c>
      <c r="QS58" s="218">
        <f t="shared" si="73"/>
        <v>0</v>
      </c>
      <c r="QT58" s="218">
        <f t="shared" si="73"/>
        <v>0</v>
      </c>
      <c r="QU58" s="218">
        <f t="shared" si="73"/>
        <v>0</v>
      </c>
      <c r="QV58" s="218">
        <f t="shared" si="73"/>
        <v>0</v>
      </c>
      <c r="QW58" s="218">
        <f t="shared" si="73"/>
        <v>0</v>
      </c>
      <c r="QX58" s="218">
        <f t="shared" si="73"/>
        <v>0</v>
      </c>
      <c r="QY58" s="218">
        <f t="shared" si="73"/>
        <v>0</v>
      </c>
      <c r="QZ58" s="218">
        <f t="shared" si="73"/>
        <v>0</v>
      </c>
      <c r="RA58" s="218">
        <f t="shared" si="73"/>
        <v>0</v>
      </c>
      <c r="RB58" s="218">
        <f t="shared" si="73"/>
        <v>0</v>
      </c>
      <c r="RC58" s="218">
        <f t="shared" si="73"/>
        <v>0</v>
      </c>
      <c r="RD58" s="218">
        <f t="shared" si="73"/>
        <v>0</v>
      </c>
      <c r="RE58" s="218">
        <f t="shared" si="73"/>
        <v>0</v>
      </c>
      <c r="RF58" s="218">
        <f t="shared" si="73"/>
        <v>0</v>
      </c>
      <c r="RG58" s="218">
        <f t="shared" si="73"/>
        <v>0</v>
      </c>
      <c r="RH58" s="218">
        <f t="shared" si="73"/>
        <v>0</v>
      </c>
      <c r="RI58" s="218">
        <f t="shared" si="73"/>
        <v>0</v>
      </c>
      <c r="RJ58" s="218">
        <f t="shared" si="73"/>
        <v>0</v>
      </c>
      <c r="RK58" s="218">
        <f t="shared" si="73"/>
        <v>0</v>
      </c>
      <c r="RL58" s="218">
        <f t="shared" si="73"/>
        <v>0</v>
      </c>
      <c r="RM58" s="218">
        <f t="shared" si="73"/>
        <v>0</v>
      </c>
      <c r="RN58" s="218">
        <f t="shared" si="73"/>
        <v>0</v>
      </c>
      <c r="RO58" s="218">
        <f t="shared" si="73"/>
        <v>0</v>
      </c>
      <c r="RP58" s="218">
        <f t="shared" si="73"/>
        <v>0</v>
      </c>
      <c r="RQ58" s="218">
        <f t="shared" si="73"/>
        <v>0</v>
      </c>
      <c r="RR58" s="218">
        <f t="shared" si="73"/>
        <v>0</v>
      </c>
      <c r="RS58" s="218">
        <f t="shared" si="73"/>
        <v>0</v>
      </c>
      <c r="RT58" s="218">
        <f t="shared" si="73"/>
        <v>0</v>
      </c>
      <c r="RU58" s="218">
        <f t="shared" si="73"/>
        <v>0</v>
      </c>
      <c r="RV58" s="218">
        <f t="shared" si="73"/>
        <v>0</v>
      </c>
      <c r="RW58" s="218">
        <f t="shared" si="73"/>
        <v>0</v>
      </c>
      <c r="RX58" s="218">
        <f t="shared" si="73"/>
        <v>0</v>
      </c>
      <c r="RY58" s="218">
        <f t="shared" si="73"/>
        <v>0</v>
      </c>
      <c r="RZ58" s="218">
        <f t="shared" si="73"/>
        <v>0</v>
      </c>
      <c r="SA58" s="218">
        <f t="shared" si="73"/>
        <v>0</v>
      </c>
      <c r="SB58" s="218">
        <f t="shared" si="73"/>
        <v>0</v>
      </c>
      <c r="SC58" s="218">
        <f t="shared" si="73"/>
        <v>0</v>
      </c>
      <c r="SD58" s="218">
        <f t="shared" si="73"/>
        <v>0</v>
      </c>
      <c r="SE58" s="218">
        <f t="shared" si="73"/>
        <v>0</v>
      </c>
      <c r="SF58" s="218">
        <f t="shared" si="73"/>
        <v>0</v>
      </c>
      <c r="SG58" s="218">
        <f t="shared" si="73"/>
        <v>0</v>
      </c>
      <c r="SH58" s="218">
        <f t="shared" si="73"/>
        <v>0</v>
      </c>
      <c r="SI58" s="218">
        <f t="shared" si="73"/>
        <v>0</v>
      </c>
      <c r="SJ58" s="218">
        <f t="shared" si="73"/>
        <v>0</v>
      </c>
      <c r="SK58" s="218">
        <f t="shared" si="73"/>
        <v>0</v>
      </c>
      <c r="SL58" s="218">
        <f t="shared" si="73"/>
        <v>0</v>
      </c>
      <c r="SM58" s="218">
        <f t="shared" si="73"/>
        <v>0</v>
      </c>
      <c r="SN58" s="218">
        <f t="shared" si="73"/>
        <v>0</v>
      </c>
      <c r="SO58" s="218">
        <f t="shared" si="73"/>
        <v>0</v>
      </c>
      <c r="SP58" s="218">
        <f t="shared" si="73"/>
        <v>0</v>
      </c>
      <c r="SQ58" s="218">
        <f t="shared" si="73"/>
        <v>0</v>
      </c>
      <c r="SR58" s="218">
        <f t="shared" si="73"/>
        <v>0</v>
      </c>
      <c r="SS58" s="218">
        <f t="shared" si="73"/>
        <v>0</v>
      </c>
      <c r="ST58" s="218">
        <f t="shared" si="73"/>
        <v>0</v>
      </c>
      <c r="SU58" s="218">
        <f t="shared" si="73"/>
        <v>0</v>
      </c>
      <c r="SV58" s="218">
        <f t="shared" si="73"/>
        <v>0</v>
      </c>
      <c r="SW58" s="218">
        <f t="shared" si="73"/>
        <v>0</v>
      </c>
      <c r="SX58" s="218">
        <f t="shared" ref="SX58:US58" si="74">IFERROR(SX56*9,0)</f>
        <v>0</v>
      </c>
      <c r="SY58" s="218">
        <f t="shared" si="74"/>
        <v>0</v>
      </c>
      <c r="SZ58" s="218">
        <f t="shared" si="74"/>
        <v>0</v>
      </c>
      <c r="TA58" s="218">
        <f t="shared" si="74"/>
        <v>0</v>
      </c>
      <c r="TB58" s="218">
        <f t="shared" si="74"/>
        <v>0</v>
      </c>
      <c r="TC58" s="218">
        <f t="shared" si="74"/>
        <v>0</v>
      </c>
      <c r="TD58" s="218">
        <f t="shared" si="74"/>
        <v>0</v>
      </c>
      <c r="TE58" s="218">
        <f t="shared" si="74"/>
        <v>0</v>
      </c>
      <c r="TF58" s="218">
        <f t="shared" si="74"/>
        <v>0</v>
      </c>
      <c r="TG58" s="218">
        <f t="shared" si="74"/>
        <v>0</v>
      </c>
      <c r="TH58" s="218">
        <f t="shared" si="74"/>
        <v>0</v>
      </c>
      <c r="TI58" s="218">
        <f t="shared" si="74"/>
        <v>0</v>
      </c>
      <c r="TJ58" s="218">
        <f t="shared" si="74"/>
        <v>0</v>
      </c>
      <c r="TK58" s="218">
        <f t="shared" si="74"/>
        <v>0</v>
      </c>
      <c r="TL58" s="218">
        <f t="shared" si="74"/>
        <v>0</v>
      </c>
      <c r="TM58" s="218">
        <f t="shared" si="74"/>
        <v>0</v>
      </c>
      <c r="TN58" s="218">
        <f t="shared" si="74"/>
        <v>0</v>
      </c>
      <c r="TO58" s="218">
        <f t="shared" si="74"/>
        <v>0</v>
      </c>
      <c r="TP58" s="218">
        <f t="shared" si="74"/>
        <v>0</v>
      </c>
      <c r="TQ58" s="218">
        <f t="shared" si="74"/>
        <v>0</v>
      </c>
      <c r="TR58" s="218">
        <f t="shared" si="74"/>
        <v>0</v>
      </c>
      <c r="TS58" s="218">
        <f t="shared" si="74"/>
        <v>0</v>
      </c>
      <c r="TT58" s="218">
        <f t="shared" si="74"/>
        <v>0</v>
      </c>
      <c r="TU58" s="218">
        <f t="shared" si="74"/>
        <v>0</v>
      </c>
      <c r="TV58" s="218">
        <f t="shared" si="74"/>
        <v>0</v>
      </c>
      <c r="TW58" s="218">
        <f t="shared" si="74"/>
        <v>0</v>
      </c>
      <c r="TX58" s="218">
        <f t="shared" si="74"/>
        <v>0</v>
      </c>
      <c r="TY58" s="218">
        <f t="shared" si="74"/>
        <v>0</v>
      </c>
      <c r="TZ58" s="218">
        <f t="shared" si="74"/>
        <v>0</v>
      </c>
      <c r="UA58" s="218">
        <f t="shared" si="74"/>
        <v>0</v>
      </c>
      <c r="UB58" s="218">
        <f t="shared" si="74"/>
        <v>0</v>
      </c>
      <c r="UC58" s="218">
        <f t="shared" si="74"/>
        <v>0</v>
      </c>
      <c r="UD58" s="218">
        <f t="shared" si="74"/>
        <v>0</v>
      </c>
      <c r="UE58" s="218">
        <f t="shared" si="74"/>
        <v>0</v>
      </c>
      <c r="UF58" s="218">
        <f t="shared" si="74"/>
        <v>0</v>
      </c>
      <c r="UG58" s="218">
        <f t="shared" si="74"/>
        <v>0</v>
      </c>
      <c r="UH58" s="218">
        <f t="shared" si="74"/>
        <v>0</v>
      </c>
      <c r="UI58" s="218">
        <f t="shared" si="74"/>
        <v>0</v>
      </c>
      <c r="UJ58" s="218">
        <f t="shared" si="74"/>
        <v>0</v>
      </c>
      <c r="UK58" s="218">
        <f t="shared" si="74"/>
        <v>0</v>
      </c>
      <c r="UL58" s="218">
        <f t="shared" si="74"/>
        <v>0</v>
      </c>
      <c r="UM58" s="218">
        <f t="shared" si="74"/>
        <v>0</v>
      </c>
      <c r="UN58" s="218">
        <f t="shared" si="74"/>
        <v>0</v>
      </c>
      <c r="UO58" s="218">
        <f t="shared" si="74"/>
        <v>0</v>
      </c>
      <c r="UP58" s="218">
        <f t="shared" si="74"/>
        <v>0</v>
      </c>
      <c r="UQ58" s="218">
        <f t="shared" si="74"/>
        <v>0</v>
      </c>
      <c r="UR58" s="218">
        <f t="shared" si="74"/>
        <v>0</v>
      </c>
      <c r="US58" s="218">
        <f t="shared" si="74"/>
        <v>0</v>
      </c>
    </row>
    <row r="59" spans="2:572" ht="37.5" customHeight="1" x14ac:dyDescent="0.3">
      <c r="E59" s="217" t="s">
        <v>114</v>
      </c>
      <c r="F59" s="218">
        <f>F58</f>
        <v>0</v>
      </c>
      <c r="G59" s="218">
        <f t="shared" ref="G59:AL59" si="75">F59+G58</f>
        <v>0</v>
      </c>
      <c r="H59" s="218">
        <f t="shared" si="75"/>
        <v>0</v>
      </c>
      <c r="I59" s="218">
        <f t="shared" si="75"/>
        <v>0</v>
      </c>
      <c r="J59" s="218">
        <f t="shared" si="75"/>
        <v>0</v>
      </c>
      <c r="K59" s="218">
        <f t="shared" si="75"/>
        <v>0</v>
      </c>
      <c r="L59" s="218">
        <f t="shared" si="75"/>
        <v>0</v>
      </c>
      <c r="M59" s="218">
        <f t="shared" si="75"/>
        <v>0</v>
      </c>
      <c r="N59" s="218">
        <f t="shared" si="75"/>
        <v>0</v>
      </c>
      <c r="O59" s="218">
        <f t="shared" si="75"/>
        <v>0</v>
      </c>
      <c r="P59" s="218">
        <f t="shared" si="75"/>
        <v>0</v>
      </c>
      <c r="Q59" s="218">
        <f t="shared" si="75"/>
        <v>0</v>
      </c>
      <c r="R59" s="218">
        <f t="shared" si="75"/>
        <v>0</v>
      </c>
      <c r="S59" s="218">
        <f t="shared" si="75"/>
        <v>0</v>
      </c>
      <c r="T59" s="218">
        <f t="shared" si="75"/>
        <v>0</v>
      </c>
      <c r="U59" s="218">
        <f t="shared" si="75"/>
        <v>0</v>
      </c>
      <c r="V59" s="218">
        <f t="shared" si="75"/>
        <v>0</v>
      </c>
      <c r="W59" s="218">
        <f t="shared" si="75"/>
        <v>0</v>
      </c>
      <c r="X59" s="218">
        <f t="shared" si="75"/>
        <v>0</v>
      </c>
      <c r="Y59" s="218">
        <f t="shared" si="75"/>
        <v>0</v>
      </c>
      <c r="Z59" s="218">
        <f t="shared" si="75"/>
        <v>0</v>
      </c>
      <c r="AA59" s="218">
        <f t="shared" si="75"/>
        <v>0</v>
      </c>
      <c r="AB59" s="218">
        <f t="shared" si="75"/>
        <v>0</v>
      </c>
      <c r="AC59" s="218">
        <f t="shared" si="75"/>
        <v>0</v>
      </c>
      <c r="AD59" s="218">
        <f t="shared" si="75"/>
        <v>0</v>
      </c>
      <c r="AE59" s="218">
        <f t="shared" si="75"/>
        <v>0</v>
      </c>
      <c r="AF59" s="218">
        <f t="shared" si="75"/>
        <v>0</v>
      </c>
      <c r="AG59" s="218">
        <f t="shared" si="75"/>
        <v>0</v>
      </c>
      <c r="AH59" s="218">
        <f t="shared" si="75"/>
        <v>0</v>
      </c>
      <c r="AI59" s="218">
        <f t="shared" si="75"/>
        <v>0</v>
      </c>
      <c r="AJ59" s="218">
        <f t="shared" si="75"/>
        <v>0</v>
      </c>
      <c r="AK59" s="218">
        <f t="shared" si="75"/>
        <v>0</v>
      </c>
      <c r="AL59" s="218">
        <f t="shared" si="75"/>
        <v>0</v>
      </c>
      <c r="AM59" s="218">
        <f t="shared" ref="AM59:BK59" si="76">AL59+AM58</f>
        <v>0</v>
      </c>
      <c r="AN59" s="218">
        <f t="shared" si="76"/>
        <v>0</v>
      </c>
      <c r="AO59" s="218">
        <f t="shared" si="76"/>
        <v>0</v>
      </c>
      <c r="AP59" s="218">
        <f t="shared" si="76"/>
        <v>0</v>
      </c>
      <c r="AQ59" s="218">
        <f t="shared" si="76"/>
        <v>0</v>
      </c>
      <c r="AR59" s="218">
        <f t="shared" si="76"/>
        <v>0</v>
      </c>
      <c r="AS59" s="218">
        <f t="shared" si="76"/>
        <v>0</v>
      </c>
      <c r="AT59" s="218">
        <f t="shared" si="76"/>
        <v>0</v>
      </c>
      <c r="AU59" s="218">
        <f t="shared" si="76"/>
        <v>0</v>
      </c>
      <c r="AV59" s="218">
        <f t="shared" si="76"/>
        <v>0</v>
      </c>
      <c r="AW59" s="218">
        <f t="shared" si="76"/>
        <v>0</v>
      </c>
      <c r="AX59" s="218">
        <f t="shared" si="76"/>
        <v>0</v>
      </c>
      <c r="AY59" s="218">
        <f t="shared" si="76"/>
        <v>0</v>
      </c>
      <c r="AZ59" s="218">
        <f t="shared" si="76"/>
        <v>0</v>
      </c>
      <c r="BA59" s="218">
        <f t="shared" si="76"/>
        <v>0</v>
      </c>
      <c r="BB59" s="218">
        <f t="shared" si="76"/>
        <v>0</v>
      </c>
      <c r="BC59" s="218">
        <f t="shared" si="76"/>
        <v>0</v>
      </c>
      <c r="BD59" s="218">
        <f t="shared" si="76"/>
        <v>0</v>
      </c>
      <c r="BE59" s="218">
        <f t="shared" si="76"/>
        <v>0</v>
      </c>
      <c r="BF59" s="218">
        <f t="shared" si="76"/>
        <v>0</v>
      </c>
      <c r="BG59" s="218">
        <f t="shared" si="76"/>
        <v>0</v>
      </c>
      <c r="BH59" s="218">
        <f t="shared" si="76"/>
        <v>0</v>
      </c>
      <c r="BI59" s="218">
        <f t="shared" si="76"/>
        <v>0</v>
      </c>
      <c r="BJ59" s="218">
        <f t="shared" si="76"/>
        <v>0</v>
      </c>
      <c r="BK59" s="218">
        <f t="shared" si="76"/>
        <v>0</v>
      </c>
      <c r="BL59" s="218"/>
      <c r="BM59" s="218"/>
      <c r="BN59" s="218"/>
      <c r="BO59" s="218"/>
      <c r="BP59" s="218"/>
      <c r="BQ59" s="218"/>
      <c r="BR59" s="218"/>
      <c r="BS59" s="218"/>
      <c r="BT59" s="218"/>
      <c r="BU59" s="218"/>
      <c r="BV59" s="218"/>
      <c r="BW59" s="218"/>
      <c r="BX59" s="218"/>
      <c r="BY59" s="218"/>
      <c r="BZ59" s="218"/>
      <c r="CA59" s="218"/>
      <c r="CB59" s="218"/>
      <c r="CC59" s="218"/>
      <c r="CD59" s="218"/>
      <c r="CE59" s="218"/>
      <c r="CF59" s="218"/>
      <c r="CG59" s="218"/>
      <c r="CH59" s="218"/>
      <c r="CI59" s="218"/>
      <c r="CJ59" s="218"/>
      <c r="CK59" s="218"/>
      <c r="CL59" s="218"/>
      <c r="CM59" s="218"/>
      <c r="CN59" s="218"/>
      <c r="CO59" s="218"/>
      <c r="CP59" s="218"/>
      <c r="CQ59" s="218"/>
      <c r="CR59" s="218"/>
      <c r="CS59" s="218"/>
      <c r="CT59" s="218"/>
      <c r="CU59" s="218"/>
      <c r="CV59" s="218"/>
      <c r="CW59" s="218"/>
      <c r="CX59" s="218"/>
      <c r="CY59" s="218"/>
      <c r="CZ59" s="218"/>
      <c r="DA59" s="218"/>
      <c r="DB59" s="218"/>
      <c r="DC59" s="218"/>
      <c r="DD59" s="218"/>
      <c r="DE59" s="218"/>
      <c r="DF59" s="218"/>
      <c r="DG59" s="218"/>
      <c r="DH59" s="218"/>
      <c r="DI59" s="218"/>
      <c r="DJ59" s="218"/>
      <c r="DK59" s="218"/>
      <c r="DL59" s="218"/>
      <c r="DM59" s="218"/>
      <c r="DN59" s="218"/>
      <c r="DO59" s="218"/>
      <c r="DP59" s="218"/>
      <c r="DQ59" s="218"/>
      <c r="DR59" s="218"/>
      <c r="DS59" s="218"/>
      <c r="DT59" s="218"/>
      <c r="DU59" s="218"/>
      <c r="DV59" s="218"/>
      <c r="DW59" s="218"/>
      <c r="DX59" s="218"/>
      <c r="DY59" s="218"/>
      <c r="DZ59" s="218"/>
      <c r="EA59" s="218"/>
      <c r="EB59" s="218"/>
      <c r="EC59" s="218"/>
      <c r="ED59" s="218"/>
      <c r="EE59" s="218"/>
      <c r="EF59" s="218"/>
      <c r="EG59" s="218"/>
      <c r="EH59" s="218"/>
      <c r="EI59" s="218"/>
      <c r="EJ59" s="218"/>
      <c r="EK59" s="218"/>
      <c r="EL59" s="218"/>
      <c r="EM59" s="218"/>
      <c r="EN59" s="218"/>
      <c r="EO59" s="218"/>
      <c r="EP59" s="218"/>
      <c r="EQ59" s="218"/>
      <c r="ER59" s="218"/>
      <c r="ES59" s="218"/>
      <c r="ET59" s="218"/>
      <c r="EU59" s="218"/>
      <c r="EV59" s="218"/>
      <c r="EW59" s="218"/>
      <c r="EX59" s="218"/>
      <c r="EY59" s="218"/>
      <c r="EZ59" s="218"/>
      <c r="FA59" s="218"/>
      <c r="FB59" s="218"/>
      <c r="FC59" s="218"/>
      <c r="FD59" s="218"/>
      <c r="FE59" s="218"/>
      <c r="FF59" s="218"/>
      <c r="FG59" s="218"/>
      <c r="FH59" s="218"/>
      <c r="FI59" s="218"/>
      <c r="FJ59" s="218"/>
      <c r="FK59" s="218"/>
      <c r="FL59" s="218"/>
      <c r="FM59" s="218"/>
      <c r="FN59" s="218"/>
      <c r="FO59" s="218"/>
      <c r="FP59" s="218"/>
      <c r="FQ59" s="218"/>
      <c r="FR59" s="218"/>
      <c r="FS59" s="218"/>
      <c r="FT59" s="218"/>
      <c r="FU59" s="218"/>
      <c r="FV59" s="218"/>
      <c r="FW59" s="218"/>
      <c r="FX59" s="218"/>
      <c r="FY59" s="218"/>
      <c r="FZ59" s="218"/>
      <c r="GA59" s="218"/>
      <c r="GB59" s="218"/>
      <c r="GC59" s="218"/>
      <c r="GD59" s="218"/>
      <c r="GE59" s="218"/>
      <c r="GF59" s="218"/>
      <c r="GG59" s="218"/>
      <c r="GH59" s="218"/>
      <c r="GI59" s="218"/>
      <c r="GJ59" s="218"/>
      <c r="GK59" s="218"/>
      <c r="GL59" s="218"/>
      <c r="GM59" s="218"/>
      <c r="GN59" s="218"/>
      <c r="GO59" s="218"/>
      <c r="GP59" s="218"/>
      <c r="GQ59" s="218"/>
      <c r="GR59" s="218"/>
      <c r="GS59" s="218"/>
      <c r="GT59" s="218"/>
      <c r="GU59" s="218"/>
      <c r="GV59" s="218"/>
      <c r="GW59" s="218"/>
      <c r="GX59" s="218"/>
      <c r="GY59" s="218"/>
      <c r="GZ59" s="218"/>
      <c r="HA59" s="218"/>
      <c r="HB59" s="218"/>
      <c r="HC59" s="218"/>
      <c r="HD59" s="218"/>
      <c r="HE59" s="218"/>
      <c r="HF59" s="218"/>
      <c r="HG59" s="218"/>
      <c r="HH59" s="218"/>
      <c r="HI59" s="218"/>
      <c r="HJ59" s="218"/>
      <c r="HK59" s="218"/>
      <c r="HL59" s="218"/>
      <c r="HM59" s="218"/>
      <c r="HN59" s="218"/>
      <c r="HO59" s="218"/>
      <c r="HP59" s="218"/>
      <c r="HQ59" s="218"/>
      <c r="HR59" s="218"/>
      <c r="HS59" s="218"/>
      <c r="HT59" s="218"/>
      <c r="HU59" s="218"/>
      <c r="HV59" s="218"/>
      <c r="HW59" s="218"/>
      <c r="HX59" s="218"/>
      <c r="HY59" s="218"/>
      <c r="HZ59" s="218"/>
      <c r="IA59" s="218"/>
      <c r="IB59" s="218"/>
      <c r="IC59" s="218"/>
      <c r="ID59" s="218"/>
      <c r="IE59" s="218"/>
      <c r="IF59" s="218"/>
      <c r="IG59" s="218"/>
      <c r="IH59" s="218"/>
      <c r="II59" s="218"/>
      <c r="IJ59" s="218"/>
      <c r="IK59" s="218"/>
      <c r="IL59" s="218"/>
      <c r="IM59" s="218"/>
      <c r="IN59" s="218"/>
      <c r="IO59" s="218"/>
      <c r="IP59" s="218"/>
      <c r="IQ59" s="218"/>
      <c r="IR59" s="218"/>
      <c r="IS59" s="218"/>
      <c r="IT59" s="218"/>
      <c r="IU59" s="218"/>
      <c r="IV59" s="218"/>
      <c r="IW59" s="218"/>
      <c r="IX59" s="218"/>
      <c r="IY59" s="218"/>
      <c r="IZ59" s="218"/>
      <c r="JA59" s="218"/>
      <c r="JB59" s="218"/>
      <c r="JC59" s="218"/>
      <c r="JD59" s="218"/>
      <c r="JE59" s="218"/>
      <c r="JF59" s="218"/>
      <c r="JG59" s="218"/>
      <c r="JH59" s="218"/>
      <c r="JI59" s="218"/>
      <c r="JJ59" s="218"/>
      <c r="JK59" s="218"/>
      <c r="JL59" s="218"/>
      <c r="JM59" s="218"/>
      <c r="JN59" s="218"/>
      <c r="JO59" s="218"/>
      <c r="JP59" s="218"/>
      <c r="JQ59" s="218"/>
      <c r="JR59" s="218"/>
      <c r="JS59" s="218"/>
      <c r="JT59" s="218"/>
      <c r="JU59" s="218"/>
      <c r="JV59" s="218"/>
      <c r="JW59" s="218"/>
      <c r="JX59" s="218"/>
      <c r="JY59" s="218"/>
      <c r="JZ59" s="218"/>
      <c r="KA59" s="218"/>
      <c r="KB59" s="218"/>
      <c r="KC59" s="218"/>
      <c r="KD59" s="218"/>
      <c r="KE59" s="218"/>
      <c r="KF59" s="218"/>
      <c r="KG59" s="218"/>
      <c r="KH59" s="218"/>
      <c r="KI59" s="218"/>
      <c r="KJ59" s="218"/>
      <c r="KK59" s="218"/>
      <c r="KL59" s="218"/>
      <c r="KM59" s="218"/>
      <c r="KN59" s="218"/>
      <c r="KO59" s="218"/>
      <c r="KP59" s="218"/>
      <c r="KQ59" s="218"/>
      <c r="KR59" s="218"/>
      <c r="KS59" s="218"/>
      <c r="KT59" s="218"/>
      <c r="KU59" s="218"/>
      <c r="KV59" s="218"/>
      <c r="KW59" s="218"/>
      <c r="KX59" s="218"/>
      <c r="KY59" s="218"/>
      <c r="KZ59" s="218"/>
      <c r="LA59" s="218"/>
      <c r="LB59" s="218"/>
      <c r="LC59" s="218"/>
      <c r="LD59" s="218"/>
      <c r="LE59" s="218"/>
      <c r="LF59" s="218"/>
      <c r="LG59" s="218"/>
      <c r="LH59" s="218"/>
      <c r="LI59" s="218"/>
      <c r="LJ59" s="218"/>
      <c r="LK59" s="218"/>
      <c r="LL59" s="218"/>
      <c r="LM59" s="218"/>
      <c r="LN59" s="218"/>
      <c r="LO59" s="218"/>
      <c r="LP59" s="218"/>
      <c r="LQ59" s="218"/>
      <c r="LR59" s="218"/>
      <c r="LS59" s="218"/>
      <c r="LT59" s="218"/>
      <c r="LU59" s="218"/>
      <c r="LV59" s="218"/>
      <c r="LW59" s="218"/>
      <c r="LX59" s="218"/>
      <c r="LY59" s="218"/>
      <c r="LZ59" s="218"/>
      <c r="MA59" s="218"/>
      <c r="MB59" s="218"/>
      <c r="MC59" s="218"/>
      <c r="MD59" s="218"/>
      <c r="ME59" s="218"/>
      <c r="MF59" s="218"/>
      <c r="MG59" s="218"/>
      <c r="MH59" s="218"/>
      <c r="MI59" s="218"/>
      <c r="MJ59" s="218"/>
      <c r="MK59" s="218"/>
      <c r="ML59" s="218"/>
      <c r="MM59" s="218"/>
      <c r="MN59" s="218"/>
      <c r="MO59" s="218"/>
      <c r="MP59" s="218"/>
      <c r="MQ59" s="218"/>
      <c r="MR59" s="218"/>
      <c r="MS59" s="218"/>
      <c r="MT59" s="218"/>
      <c r="MU59" s="218"/>
      <c r="MV59" s="218"/>
      <c r="MW59" s="218"/>
      <c r="MX59" s="218"/>
      <c r="MY59" s="218"/>
      <c r="MZ59" s="218"/>
      <c r="NA59" s="218"/>
      <c r="NB59" s="218"/>
      <c r="NC59" s="218"/>
      <c r="ND59" s="218"/>
      <c r="NE59" s="218"/>
      <c r="NF59" s="218"/>
      <c r="NG59" s="218"/>
      <c r="NH59" s="218"/>
      <c r="NI59" s="218"/>
      <c r="NJ59" s="218"/>
      <c r="NK59" s="218"/>
      <c r="NL59" s="218"/>
      <c r="NM59" s="218"/>
      <c r="NN59" s="218"/>
      <c r="NO59" s="218"/>
      <c r="NP59" s="218"/>
      <c r="NQ59" s="218"/>
      <c r="NR59" s="218"/>
      <c r="NS59" s="218"/>
      <c r="NT59" s="218"/>
      <c r="NU59" s="218"/>
      <c r="NV59" s="218"/>
      <c r="NW59" s="218"/>
      <c r="NX59" s="218"/>
      <c r="NY59" s="218"/>
      <c r="NZ59" s="218"/>
      <c r="OA59" s="218"/>
      <c r="OB59" s="218"/>
      <c r="OC59" s="218"/>
      <c r="OD59" s="218"/>
      <c r="OE59" s="218"/>
      <c r="OF59" s="218"/>
      <c r="OG59" s="218"/>
      <c r="OH59" s="218"/>
      <c r="OI59" s="218"/>
      <c r="OJ59" s="218"/>
      <c r="OK59" s="218"/>
      <c r="OL59" s="218"/>
      <c r="OM59" s="218"/>
      <c r="ON59" s="218"/>
      <c r="OO59" s="218"/>
      <c r="OP59" s="218"/>
      <c r="OQ59" s="218"/>
      <c r="OR59" s="218"/>
      <c r="OS59" s="218"/>
      <c r="OT59" s="218"/>
      <c r="OU59" s="218"/>
      <c r="OV59" s="218"/>
      <c r="OW59" s="218"/>
      <c r="OX59" s="218"/>
      <c r="OY59" s="218"/>
      <c r="OZ59" s="218"/>
      <c r="PA59" s="218"/>
      <c r="PB59" s="218"/>
      <c r="PC59" s="218"/>
      <c r="PD59" s="218"/>
      <c r="PE59" s="218"/>
      <c r="PF59" s="218"/>
      <c r="PG59" s="218"/>
      <c r="PH59" s="218"/>
      <c r="PI59" s="218"/>
      <c r="PJ59" s="218"/>
      <c r="PK59" s="218"/>
      <c r="PL59" s="218"/>
      <c r="PM59" s="218"/>
      <c r="PN59" s="218"/>
      <c r="PO59" s="218"/>
      <c r="PP59" s="218"/>
      <c r="PQ59" s="218"/>
      <c r="PR59" s="218"/>
      <c r="PS59" s="218"/>
      <c r="PT59" s="218"/>
      <c r="PU59" s="218"/>
      <c r="PV59" s="218"/>
      <c r="PW59" s="218"/>
      <c r="PX59" s="218"/>
      <c r="PY59" s="218"/>
      <c r="PZ59" s="218"/>
      <c r="QA59" s="218"/>
      <c r="QB59" s="218"/>
      <c r="QC59" s="218"/>
      <c r="QD59" s="218"/>
      <c r="QE59" s="218"/>
      <c r="QF59" s="218"/>
      <c r="QG59" s="218"/>
      <c r="QH59" s="218"/>
      <c r="QI59" s="218"/>
      <c r="QJ59" s="218"/>
      <c r="QK59" s="218"/>
      <c r="QL59" s="218"/>
      <c r="QM59" s="218"/>
      <c r="QN59" s="218"/>
      <c r="QO59" s="218"/>
      <c r="QP59" s="218"/>
      <c r="QQ59" s="218"/>
      <c r="QR59" s="218"/>
      <c r="QS59" s="218"/>
      <c r="QT59" s="218"/>
      <c r="QU59" s="218"/>
      <c r="QV59" s="218"/>
      <c r="QW59" s="218"/>
      <c r="QX59" s="218"/>
      <c r="QY59" s="218"/>
      <c r="QZ59" s="218"/>
      <c r="RA59" s="218"/>
      <c r="RB59" s="218"/>
      <c r="RC59" s="218"/>
      <c r="RD59" s="218"/>
      <c r="RE59" s="218"/>
      <c r="RF59" s="218"/>
      <c r="RG59" s="218"/>
      <c r="RH59" s="218"/>
      <c r="RI59" s="218"/>
      <c r="RJ59" s="218"/>
      <c r="RK59" s="218"/>
      <c r="RL59" s="218"/>
      <c r="RM59" s="218"/>
      <c r="RN59" s="218"/>
      <c r="RO59" s="218"/>
      <c r="RP59" s="218"/>
      <c r="RQ59" s="218"/>
      <c r="RR59" s="218"/>
      <c r="RS59" s="218"/>
      <c r="RT59" s="218"/>
      <c r="RU59" s="218"/>
      <c r="RV59" s="218"/>
      <c r="RW59" s="218"/>
      <c r="RX59" s="218"/>
      <c r="RY59" s="218"/>
      <c r="RZ59" s="218"/>
      <c r="SA59" s="218"/>
      <c r="SB59" s="218"/>
      <c r="SC59" s="218"/>
      <c r="SD59" s="218"/>
      <c r="SE59" s="218"/>
      <c r="SF59" s="218"/>
      <c r="SG59" s="218"/>
      <c r="SH59" s="218"/>
      <c r="SI59" s="218"/>
      <c r="SJ59" s="218"/>
      <c r="SK59" s="218"/>
      <c r="SL59" s="218"/>
      <c r="SM59" s="218"/>
      <c r="SN59" s="218"/>
      <c r="SO59" s="218"/>
      <c r="SP59" s="218"/>
      <c r="SQ59" s="218"/>
      <c r="SR59" s="218"/>
      <c r="SS59" s="218"/>
      <c r="ST59" s="218"/>
      <c r="SU59" s="218"/>
      <c r="SV59" s="218"/>
      <c r="SW59" s="218"/>
      <c r="SX59" s="218"/>
      <c r="SY59" s="218"/>
      <c r="SZ59" s="218"/>
      <c r="TA59" s="218"/>
      <c r="TB59" s="218"/>
      <c r="TC59" s="218"/>
      <c r="TD59" s="218"/>
      <c r="TE59" s="218"/>
      <c r="TF59" s="218"/>
      <c r="TG59" s="218"/>
      <c r="TH59" s="218"/>
      <c r="TI59" s="218"/>
      <c r="TJ59" s="218"/>
      <c r="TK59" s="218"/>
      <c r="TL59" s="218"/>
      <c r="TM59" s="218"/>
      <c r="TN59" s="218"/>
      <c r="TO59" s="218"/>
      <c r="TP59" s="218"/>
      <c r="TQ59" s="218"/>
      <c r="TR59" s="218"/>
      <c r="TS59" s="218"/>
      <c r="TT59" s="218"/>
      <c r="TU59" s="218"/>
      <c r="TV59" s="218"/>
      <c r="TW59" s="218"/>
      <c r="TX59" s="218"/>
      <c r="TY59" s="218"/>
      <c r="TZ59" s="218"/>
      <c r="UA59" s="218"/>
      <c r="UB59" s="218"/>
      <c r="UC59" s="218"/>
      <c r="UD59" s="218"/>
      <c r="UE59" s="218"/>
      <c r="UF59" s="218"/>
      <c r="UG59" s="218"/>
      <c r="UH59" s="218"/>
      <c r="UI59" s="218"/>
      <c r="UJ59" s="218"/>
      <c r="UK59" s="218"/>
      <c r="UL59" s="218"/>
      <c r="UM59" s="218"/>
      <c r="UN59" s="218"/>
      <c r="UO59" s="218"/>
      <c r="UP59" s="218"/>
      <c r="UQ59" s="218"/>
      <c r="UR59" s="218"/>
      <c r="US59" s="218"/>
    </row>
    <row r="60" spans="2:572" ht="29.25" customHeight="1" x14ac:dyDescent="0.3">
      <c r="F60" s="219"/>
      <c r="G60" s="219"/>
      <c r="H60" s="219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Y60" s="219"/>
      <c r="Z60" s="219"/>
      <c r="AA60" s="219"/>
      <c r="AB60" s="219"/>
      <c r="AC60" s="219"/>
      <c r="AD60" s="219"/>
      <c r="AE60" s="219"/>
      <c r="AF60" s="219"/>
      <c r="AG60" s="219"/>
      <c r="AH60" s="219"/>
      <c r="AI60" s="219"/>
      <c r="AJ60" s="219"/>
      <c r="AK60" s="219"/>
      <c r="AL60" s="219"/>
      <c r="AM60" s="219"/>
      <c r="AN60" s="219"/>
      <c r="AO60" s="219"/>
      <c r="AP60" s="219"/>
      <c r="AQ60" s="219"/>
      <c r="AR60" s="219"/>
      <c r="AS60" s="219"/>
      <c r="AT60" s="219"/>
      <c r="AU60" s="219"/>
      <c r="AV60" s="219"/>
      <c r="AW60" s="219"/>
      <c r="AX60" s="219"/>
      <c r="AY60" s="219"/>
      <c r="AZ60" s="219"/>
      <c r="BA60" s="219"/>
      <c r="BB60" s="219"/>
      <c r="BC60" s="219"/>
      <c r="BD60" s="219"/>
      <c r="BE60" s="219"/>
      <c r="BF60" s="219"/>
      <c r="BG60" s="219"/>
      <c r="BH60" s="219"/>
      <c r="BI60" s="219"/>
      <c r="BJ60" s="219"/>
      <c r="BK60" s="219"/>
      <c r="BL60" s="219"/>
      <c r="BM60" s="219"/>
      <c r="BN60" s="219"/>
      <c r="BO60" s="219"/>
      <c r="BP60" s="219"/>
      <c r="BQ60" s="219"/>
      <c r="BR60" s="219"/>
      <c r="BS60" s="219"/>
      <c r="BT60" s="219"/>
      <c r="BU60" s="219"/>
      <c r="BV60" s="219"/>
      <c r="BW60" s="219"/>
      <c r="BX60" s="219"/>
      <c r="BY60" s="219"/>
      <c r="BZ60" s="219"/>
      <c r="CA60" s="219"/>
      <c r="CB60" s="219"/>
      <c r="CC60" s="219"/>
      <c r="CD60" s="219"/>
      <c r="CE60" s="219"/>
      <c r="CF60" s="219"/>
      <c r="CG60" s="219"/>
      <c r="CH60" s="219"/>
      <c r="CI60" s="219"/>
      <c r="CJ60" s="219"/>
      <c r="CK60" s="219"/>
      <c r="CL60" s="219"/>
      <c r="CM60" s="219"/>
      <c r="CN60" s="219"/>
      <c r="CO60" s="219"/>
      <c r="CP60" s="219"/>
      <c r="CQ60" s="219"/>
      <c r="CR60" s="219"/>
      <c r="CS60" s="219"/>
      <c r="CT60" s="219"/>
      <c r="CU60" s="219"/>
      <c r="CV60" s="219"/>
      <c r="CW60" s="219"/>
      <c r="CX60" s="219"/>
      <c r="CY60" s="219"/>
      <c r="CZ60" s="219"/>
      <c r="DA60" s="219"/>
      <c r="DB60" s="219"/>
      <c r="DC60" s="219"/>
      <c r="DD60" s="219"/>
      <c r="DE60" s="219"/>
      <c r="DF60" s="219"/>
      <c r="DG60" s="219"/>
      <c r="DH60" s="219"/>
      <c r="DI60" s="219"/>
      <c r="DJ60" s="219"/>
      <c r="DK60" s="219"/>
      <c r="DL60" s="219"/>
      <c r="DM60" s="219"/>
      <c r="DN60" s="219"/>
      <c r="DO60" s="219"/>
      <c r="DP60" s="219"/>
      <c r="DQ60" s="219"/>
      <c r="DR60" s="219"/>
      <c r="DS60" s="219"/>
      <c r="DT60" s="219"/>
      <c r="DU60" s="219"/>
      <c r="DV60" s="219"/>
      <c r="DW60" s="219"/>
      <c r="DX60" s="219"/>
      <c r="DY60" s="219"/>
      <c r="DZ60" s="219"/>
      <c r="EA60" s="219"/>
      <c r="EB60" s="219"/>
      <c r="EC60" s="219"/>
      <c r="ED60" s="219"/>
      <c r="EE60" s="219"/>
      <c r="EF60" s="219"/>
      <c r="EG60" s="219"/>
      <c r="EH60" s="219"/>
      <c r="EI60" s="219"/>
      <c r="EJ60" s="219"/>
      <c r="EK60" s="219"/>
      <c r="EL60" s="219"/>
      <c r="EM60" s="219"/>
      <c r="EN60" s="219"/>
      <c r="EO60" s="219"/>
      <c r="EP60" s="219"/>
      <c r="EQ60" s="219"/>
      <c r="ER60" s="219"/>
      <c r="ES60" s="219"/>
      <c r="ET60" s="219"/>
      <c r="EU60" s="219"/>
      <c r="EV60" s="219"/>
      <c r="EW60" s="219"/>
      <c r="EX60" s="219"/>
      <c r="EY60" s="219"/>
      <c r="EZ60" s="219"/>
      <c r="FA60" s="219"/>
      <c r="FB60" s="219"/>
      <c r="FC60" s="219"/>
      <c r="FD60" s="219"/>
      <c r="FE60" s="219"/>
      <c r="FF60" s="219"/>
      <c r="FG60" s="219"/>
      <c r="FH60" s="219"/>
      <c r="FI60" s="219"/>
      <c r="FJ60" s="219"/>
      <c r="FK60" s="219"/>
      <c r="FL60" s="219"/>
      <c r="FM60" s="219"/>
      <c r="FN60" s="219"/>
      <c r="FO60" s="219"/>
      <c r="FP60" s="219"/>
      <c r="FQ60" s="219"/>
      <c r="FR60" s="219"/>
      <c r="FS60" s="219"/>
      <c r="FT60" s="219"/>
      <c r="FU60" s="219"/>
      <c r="FV60" s="219"/>
      <c r="FW60" s="219"/>
      <c r="FX60" s="219"/>
      <c r="FY60" s="219"/>
      <c r="FZ60" s="219"/>
      <c r="GA60" s="219"/>
      <c r="GB60" s="219"/>
      <c r="GC60" s="219"/>
      <c r="GD60" s="219"/>
      <c r="GE60" s="219"/>
      <c r="GF60" s="219"/>
      <c r="GG60" s="219"/>
      <c r="GH60" s="219"/>
      <c r="GI60" s="219"/>
      <c r="GJ60" s="219"/>
      <c r="GK60" s="219"/>
      <c r="GL60" s="219"/>
      <c r="GM60" s="219"/>
      <c r="GN60" s="219"/>
      <c r="GO60" s="219"/>
      <c r="GP60" s="219"/>
      <c r="GQ60" s="219"/>
      <c r="GR60" s="219"/>
      <c r="GS60" s="219"/>
      <c r="GT60" s="219"/>
      <c r="GU60" s="219"/>
      <c r="GV60" s="219"/>
      <c r="GW60" s="219"/>
      <c r="GX60" s="219"/>
      <c r="GY60" s="219"/>
      <c r="GZ60" s="219"/>
      <c r="HA60" s="219"/>
      <c r="HB60" s="219"/>
      <c r="HC60" s="219"/>
      <c r="HD60" s="219"/>
      <c r="HE60" s="219"/>
      <c r="HF60" s="219"/>
      <c r="HG60" s="219"/>
      <c r="HH60" s="219"/>
      <c r="HI60" s="219"/>
      <c r="HJ60" s="219"/>
      <c r="HK60" s="219"/>
      <c r="HL60" s="219"/>
      <c r="HM60" s="219"/>
      <c r="HN60" s="219"/>
      <c r="HO60" s="219"/>
      <c r="HP60" s="219"/>
      <c r="HQ60" s="219"/>
      <c r="HR60" s="219"/>
      <c r="HS60" s="219"/>
      <c r="HT60" s="219"/>
      <c r="HU60" s="219"/>
      <c r="HV60" s="219"/>
      <c r="HW60" s="219"/>
      <c r="HX60" s="219"/>
      <c r="HY60" s="219"/>
      <c r="HZ60" s="219"/>
      <c r="IA60" s="219"/>
      <c r="IB60" s="219"/>
      <c r="IC60" s="219"/>
      <c r="ID60" s="219"/>
      <c r="IE60" s="219"/>
      <c r="IF60" s="219"/>
      <c r="IG60" s="219"/>
      <c r="IH60" s="219"/>
      <c r="II60" s="219"/>
      <c r="IJ60" s="219"/>
      <c r="IK60" s="219"/>
      <c r="IL60" s="219"/>
      <c r="IM60" s="219"/>
      <c r="IN60" s="219"/>
      <c r="IO60" s="219"/>
      <c r="IP60" s="219"/>
      <c r="IQ60" s="219"/>
      <c r="IR60" s="219"/>
      <c r="IS60" s="219"/>
      <c r="IT60" s="219"/>
      <c r="IU60" s="219"/>
      <c r="IV60" s="219"/>
      <c r="IW60" s="219"/>
      <c r="IX60" s="219"/>
      <c r="IY60" s="219"/>
      <c r="IZ60" s="219"/>
      <c r="JA60" s="219"/>
      <c r="JB60" s="219"/>
      <c r="JC60" s="219"/>
      <c r="JD60" s="219"/>
      <c r="JE60" s="219"/>
      <c r="JF60" s="219"/>
      <c r="JG60" s="219"/>
      <c r="JH60" s="219"/>
      <c r="JI60" s="219"/>
      <c r="JJ60" s="219"/>
      <c r="JK60" s="219"/>
      <c r="JL60" s="219"/>
      <c r="JM60" s="219"/>
      <c r="JN60" s="219"/>
      <c r="JO60" s="219"/>
      <c r="JP60" s="219"/>
      <c r="JQ60" s="219"/>
      <c r="JR60" s="219"/>
      <c r="JS60" s="219"/>
      <c r="JT60" s="219"/>
      <c r="JU60" s="219"/>
      <c r="JV60" s="219"/>
      <c r="JW60" s="219"/>
      <c r="JX60" s="219"/>
      <c r="JY60" s="219"/>
      <c r="JZ60" s="219"/>
      <c r="KA60" s="219"/>
      <c r="KB60" s="219"/>
      <c r="KC60" s="219"/>
      <c r="KD60" s="219"/>
      <c r="KE60" s="219"/>
      <c r="KF60" s="219"/>
      <c r="KG60" s="219"/>
      <c r="KH60" s="219"/>
      <c r="KI60" s="219"/>
      <c r="KJ60" s="219"/>
      <c r="KK60" s="219"/>
      <c r="KL60" s="219"/>
      <c r="KM60" s="219"/>
      <c r="KN60" s="219"/>
      <c r="KO60" s="219"/>
      <c r="KP60" s="219"/>
      <c r="KQ60" s="219"/>
      <c r="KR60" s="219"/>
      <c r="KS60" s="219"/>
      <c r="KT60" s="219"/>
      <c r="KU60" s="219"/>
      <c r="KV60" s="219"/>
      <c r="KW60" s="219"/>
      <c r="KX60" s="219"/>
      <c r="KY60" s="219"/>
      <c r="KZ60" s="219"/>
      <c r="LA60" s="219"/>
      <c r="LB60" s="219"/>
      <c r="LC60" s="219"/>
      <c r="LD60" s="219"/>
      <c r="LE60" s="219"/>
      <c r="LF60" s="219"/>
      <c r="LG60" s="219"/>
      <c r="LH60" s="219"/>
      <c r="LI60" s="219"/>
      <c r="LJ60" s="219"/>
      <c r="LK60" s="219"/>
      <c r="LL60" s="219"/>
      <c r="LM60" s="219"/>
      <c r="LN60" s="219"/>
      <c r="LO60" s="219"/>
      <c r="LP60" s="219"/>
      <c r="LQ60" s="219"/>
      <c r="LR60" s="219"/>
      <c r="LS60" s="219"/>
      <c r="LT60" s="219"/>
      <c r="LU60" s="219"/>
      <c r="LV60" s="219"/>
      <c r="LW60" s="219"/>
      <c r="LX60" s="219"/>
      <c r="LY60" s="219"/>
      <c r="LZ60" s="219"/>
      <c r="MA60" s="219"/>
      <c r="MB60" s="219"/>
      <c r="MC60" s="219"/>
      <c r="MD60" s="219"/>
      <c r="ME60" s="219"/>
      <c r="MF60" s="219"/>
      <c r="MG60" s="219"/>
      <c r="MH60" s="219"/>
      <c r="MI60" s="219"/>
      <c r="MJ60" s="219"/>
      <c r="MK60" s="219"/>
      <c r="ML60" s="219"/>
      <c r="MM60" s="219"/>
      <c r="MN60" s="219"/>
      <c r="MO60" s="219"/>
      <c r="MP60" s="219"/>
      <c r="MQ60" s="219"/>
      <c r="MR60" s="219"/>
      <c r="MS60" s="219"/>
      <c r="MT60" s="219"/>
      <c r="MU60" s="219"/>
      <c r="MV60" s="219"/>
      <c r="MW60" s="219"/>
      <c r="MX60" s="219"/>
      <c r="MY60" s="219"/>
      <c r="MZ60" s="219"/>
      <c r="NA60" s="219"/>
      <c r="NB60" s="219"/>
      <c r="NC60" s="219"/>
      <c r="ND60" s="219"/>
      <c r="NE60" s="219"/>
      <c r="NF60" s="219"/>
      <c r="NG60" s="219"/>
      <c r="NH60" s="219"/>
      <c r="NI60" s="219"/>
      <c r="NJ60" s="219"/>
      <c r="NK60" s="219"/>
      <c r="NL60" s="219"/>
      <c r="NM60" s="219"/>
      <c r="NN60" s="219"/>
      <c r="NO60" s="219"/>
      <c r="NP60" s="219"/>
      <c r="NQ60" s="219"/>
      <c r="NR60" s="219"/>
      <c r="NS60" s="219"/>
      <c r="NT60" s="219"/>
      <c r="NU60" s="219"/>
      <c r="NV60" s="219"/>
      <c r="NW60" s="219"/>
      <c r="NX60" s="219"/>
      <c r="NY60" s="219"/>
      <c r="NZ60" s="219"/>
      <c r="OA60" s="219"/>
      <c r="OB60" s="219"/>
      <c r="OC60" s="219"/>
      <c r="OD60" s="219"/>
      <c r="OE60" s="219"/>
      <c r="OF60" s="219"/>
      <c r="OG60" s="219"/>
      <c r="OH60" s="219"/>
      <c r="OI60" s="219"/>
      <c r="OJ60" s="219"/>
      <c r="OK60" s="219"/>
      <c r="OL60" s="219"/>
      <c r="OM60" s="219"/>
      <c r="ON60" s="219"/>
      <c r="OO60" s="219"/>
      <c r="OP60" s="219"/>
      <c r="OQ60" s="219"/>
      <c r="OR60" s="219"/>
      <c r="OS60" s="219"/>
      <c r="OT60" s="219"/>
      <c r="OU60" s="219"/>
      <c r="OV60" s="219"/>
      <c r="OW60" s="219"/>
      <c r="OX60" s="219"/>
      <c r="OY60" s="219"/>
      <c r="OZ60" s="219"/>
      <c r="PA60" s="219"/>
      <c r="PB60" s="219"/>
      <c r="PC60" s="219"/>
      <c r="PD60" s="219"/>
      <c r="PE60" s="219"/>
      <c r="PF60" s="219"/>
      <c r="PG60" s="219"/>
      <c r="PH60" s="219"/>
      <c r="PI60" s="219"/>
      <c r="PJ60" s="219"/>
      <c r="PK60" s="219"/>
      <c r="PL60" s="219"/>
      <c r="PM60" s="219"/>
      <c r="PN60" s="219"/>
      <c r="PO60" s="219"/>
      <c r="PP60" s="219"/>
      <c r="PQ60" s="219"/>
      <c r="PR60" s="219"/>
      <c r="PS60" s="219"/>
      <c r="PT60" s="219"/>
      <c r="PU60" s="219"/>
      <c r="PV60" s="219"/>
      <c r="PW60" s="219"/>
      <c r="PX60" s="219"/>
      <c r="PY60" s="219"/>
      <c r="PZ60" s="219"/>
      <c r="QA60" s="219"/>
      <c r="QB60" s="219"/>
      <c r="QC60" s="219"/>
      <c r="QD60" s="219"/>
      <c r="QE60" s="219"/>
      <c r="QF60" s="219"/>
      <c r="QG60" s="219"/>
      <c r="QH60" s="219"/>
      <c r="QI60" s="219"/>
      <c r="QJ60" s="219"/>
      <c r="QK60" s="219"/>
      <c r="QL60" s="219"/>
      <c r="QM60" s="219"/>
      <c r="QN60" s="219"/>
      <c r="QO60" s="219"/>
      <c r="QP60" s="219"/>
      <c r="QQ60" s="219"/>
      <c r="QR60" s="219"/>
      <c r="QS60" s="219"/>
      <c r="QT60" s="219"/>
      <c r="QU60" s="219"/>
      <c r="QV60" s="219"/>
      <c r="QW60" s="219"/>
      <c r="QX60" s="219"/>
      <c r="QY60" s="219"/>
      <c r="QZ60" s="219"/>
      <c r="RA60" s="219"/>
      <c r="RB60" s="219"/>
      <c r="RC60" s="219"/>
      <c r="RD60" s="219"/>
      <c r="RE60" s="219"/>
      <c r="RF60" s="219"/>
      <c r="RG60" s="219"/>
      <c r="RH60" s="219"/>
      <c r="RI60" s="219"/>
      <c r="RJ60" s="219"/>
      <c r="RK60" s="219"/>
      <c r="RL60" s="219"/>
      <c r="RM60" s="219"/>
      <c r="RN60" s="219"/>
      <c r="RO60" s="219"/>
      <c r="RP60" s="219"/>
      <c r="RQ60" s="219"/>
      <c r="RR60" s="219"/>
      <c r="RS60" s="219"/>
      <c r="RT60" s="219"/>
      <c r="RU60" s="219"/>
      <c r="RV60" s="219"/>
      <c r="RW60" s="219"/>
      <c r="RX60" s="219"/>
      <c r="RY60" s="219"/>
      <c r="RZ60" s="219"/>
      <c r="SA60" s="219"/>
      <c r="SB60" s="219"/>
      <c r="SC60" s="219"/>
      <c r="SD60" s="219"/>
      <c r="SE60" s="219"/>
      <c r="SF60" s="219"/>
      <c r="SG60" s="219"/>
      <c r="SH60" s="219"/>
      <c r="SI60" s="219"/>
      <c r="SJ60" s="219"/>
      <c r="SK60" s="219"/>
      <c r="SL60" s="219"/>
      <c r="SM60" s="219"/>
      <c r="SN60" s="219"/>
      <c r="SO60" s="219"/>
      <c r="SP60" s="219"/>
      <c r="SQ60" s="219"/>
      <c r="SR60" s="219"/>
      <c r="SS60" s="219"/>
      <c r="ST60" s="219"/>
      <c r="SU60" s="219"/>
      <c r="SV60" s="219"/>
      <c r="SW60" s="219"/>
      <c r="SX60" s="219"/>
      <c r="SY60" s="219"/>
      <c r="SZ60" s="219"/>
      <c r="TA60" s="219"/>
      <c r="TB60" s="219"/>
      <c r="TC60" s="219"/>
      <c r="TD60" s="219"/>
      <c r="TE60" s="219"/>
      <c r="TF60" s="219"/>
      <c r="TG60" s="219"/>
      <c r="TH60" s="219"/>
      <c r="TI60" s="219"/>
      <c r="TJ60" s="219"/>
      <c r="TK60" s="219"/>
      <c r="TL60" s="219"/>
      <c r="TM60" s="219"/>
      <c r="TN60" s="219"/>
      <c r="TO60" s="219"/>
      <c r="TP60" s="219"/>
      <c r="TQ60" s="219"/>
      <c r="TR60" s="219"/>
      <c r="TS60" s="219"/>
      <c r="TT60" s="219"/>
      <c r="TU60" s="219"/>
      <c r="TV60" s="219"/>
      <c r="TW60" s="219"/>
      <c r="TX60" s="219"/>
      <c r="TY60" s="219"/>
      <c r="TZ60" s="219"/>
      <c r="UA60" s="219"/>
      <c r="UB60" s="219"/>
      <c r="UC60" s="219"/>
      <c r="UD60" s="219"/>
      <c r="UE60" s="219"/>
      <c r="UF60" s="219"/>
      <c r="UG60" s="219"/>
      <c r="UH60" s="219"/>
      <c r="UI60" s="219"/>
      <c r="UJ60" s="219"/>
      <c r="UK60" s="219"/>
      <c r="UL60" s="219"/>
      <c r="UM60" s="219"/>
      <c r="UN60" s="219"/>
      <c r="UO60" s="219"/>
      <c r="UP60" s="219"/>
      <c r="UQ60" s="219"/>
      <c r="UR60" s="219"/>
      <c r="US60" s="219"/>
    </row>
    <row r="61" spans="2:572" ht="29.25" customHeight="1" x14ac:dyDescent="0.3">
      <c r="E61" s="217" t="s">
        <v>113</v>
      </c>
      <c r="F61" s="220"/>
      <c r="G61" s="220"/>
      <c r="H61" s="220"/>
      <c r="I61" s="221"/>
      <c r="J61" s="221"/>
      <c r="K61" s="220"/>
      <c r="L61" s="278">
        <v>16.5</v>
      </c>
      <c r="M61" s="278">
        <v>19.5</v>
      </c>
      <c r="N61" s="278">
        <v>33</v>
      </c>
      <c r="O61" s="278">
        <v>27</v>
      </c>
      <c r="P61" s="278"/>
      <c r="Q61" s="278"/>
      <c r="R61" s="278">
        <v>28</v>
      </c>
      <c r="S61" s="278">
        <v>25</v>
      </c>
      <c r="T61" s="278">
        <v>9</v>
      </c>
      <c r="U61" s="278"/>
      <c r="V61" s="278">
        <v>8</v>
      </c>
      <c r="W61" s="278"/>
      <c r="X61" s="278"/>
      <c r="Y61" s="278">
        <v>9</v>
      </c>
      <c r="Z61" s="278">
        <v>9</v>
      </c>
      <c r="AA61" s="278">
        <v>9</v>
      </c>
      <c r="AB61" s="278">
        <v>9</v>
      </c>
      <c r="AC61" s="278">
        <v>8</v>
      </c>
      <c r="AD61" s="278"/>
      <c r="AE61" s="278"/>
      <c r="AF61" s="278">
        <v>24</v>
      </c>
      <c r="AG61" s="278">
        <v>42</v>
      </c>
      <c r="AH61" s="278">
        <v>45</v>
      </c>
      <c r="AI61" s="278">
        <v>72</v>
      </c>
      <c r="AJ61" s="278">
        <v>72</v>
      </c>
      <c r="AK61" s="278"/>
      <c r="AL61" s="278"/>
      <c r="AM61" s="278">
        <v>112</v>
      </c>
      <c r="AN61" s="278">
        <v>132</v>
      </c>
      <c r="AO61" s="278">
        <v>130</v>
      </c>
      <c r="AP61" s="278"/>
      <c r="AQ61" s="278">
        <v>74.5</v>
      </c>
      <c r="AR61" s="278"/>
      <c r="AS61" s="278"/>
      <c r="AT61" s="278">
        <v>72</v>
      </c>
      <c r="AU61" s="278">
        <v>94.5</v>
      </c>
      <c r="AV61" s="278">
        <v>116</v>
      </c>
      <c r="AW61" s="278">
        <v>136.5</v>
      </c>
      <c r="AX61" s="278">
        <v>112</v>
      </c>
      <c r="AY61" s="278"/>
      <c r="AZ61" s="278"/>
      <c r="BA61" s="278">
        <v>94.5</v>
      </c>
      <c r="BB61" s="278">
        <v>81</v>
      </c>
      <c r="BC61" s="278"/>
      <c r="BD61" s="278">
        <v>99</v>
      </c>
      <c r="BE61" s="278">
        <v>81</v>
      </c>
      <c r="BF61" s="278"/>
      <c r="BG61" s="278"/>
      <c r="BH61" s="278">
        <v>81</v>
      </c>
      <c r="BI61" s="278">
        <v>104</v>
      </c>
      <c r="BJ61" s="278">
        <v>101</v>
      </c>
      <c r="BK61" s="278">
        <v>83</v>
      </c>
      <c r="BL61" s="278">
        <v>67</v>
      </c>
      <c r="BM61" s="278"/>
      <c r="BN61" s="278"/>
      <c r="BO61" s="278">
        <v>63</v>
      </c>
      <c r="BP61" s="278">
        <v>63</v>
      </c>
      <c r="BQ61" s="278">
        <v>86</v>
      </c>
      <c r="BR61" s="278">
        <v>91</v>
      </c>
      <c r="BS61" s="278">
        <v>104</v>
      </c>
      <c r="BT61" s="278"/>
      <c r="BU61" s="278"/>
      <c r="BV61" s="278">
        <v>129</v>
      </c>
      <c r="BW61" s="278">
        <v>106.5</v>
      </c>
      <c r="BX61" s="278">
        <v>103.5</v>
      </c>
      <c r="BY61" s="278">
        <v>112.5</v>
      </c>
      <c r="BZ61" s="278">
        <v>105</v>
      </c>
      <c r="CA61" s="278"/>
      <c r="CB61" s="278"/>
      <c r="CC61" s="278">
        <v>77.5</v>
      </c>
      <c r="CD61" s="278">
        <v>90</v>
      </c>
      <c r="CE61" s="278">
        <v>99</v>
      </c>
      <c r="CF61" s="278">
        <v>99</v>
      </c>
      <c r="CG61" s="278">
        <v>108</v>
      </c>
      <c r="CH61" s="278"/>
      <c r="CI61" s="278"/>
      <c r="CJ61" s="278">
        <v>100</v>
      </c>
      <c r="CK61" s="278">
        <v>45</v>
      </c>
      <c r="CL61" s="278">
        <v>45</v>
      </c>
      <c r="CM61" s="278">
        <v>85</v>
      </c>
      <c r="CN61" s="278">
        <v>93</v>
      </c>
      <c r="CO61" s="278"/>
      <c r="CP61" s="278"/>
      <c r="CQ61" s="278"/>
      <c r="CR61" s="278">
        <v>73.5</v>
      </c>
      <c r="CS61" s="278">
        <v>52.5</v>
      </c>
      <c r="CT61" s="278">
        <v>33</v>
      </c>
      <c r="CU61" s="278">
        <v>27</v>
      </c>
      <c r="CV61" s="278"/>
      <c r="CW61" s="278"/>
      <c r="CX61" s="278"/>
      <c r="CY61" s="278">
        <v>25</v>
      </c>
      <c r="CZ61" s="278">
        <v>5</v>
      </c>
      <c r="DA61" s="278"/>
      <c r="DB61" s="278"/>
      <c r="DC61" s="278"/>
      <c r="DD61" s="278"/>
      <c r="DE61" s="278"/>
      <c r="DF61" s="278"/>
      <c r="DG61" s="220"/>
      <c r="DH61" s="220"/>
      <c r="DI61" s="220"/>
      <c r="DJ61" s="220"/>
      <c r="DK61" s="220"/>
      <c r="DL61" s="220"/>
      <c r="DM61" s="220"/>
      <c r="DN61" s="220"/>
      <c r="DO61" s="220"/>
      <c r="DP61" s="220"/>
      <c r="DQ61" s="220"/>
      <c r="DR61" s="220"/>
      <c r="DS61" s="220"/>
      <c r="DT61" s="220"/>
      <c r="DU61" s="220"/>
      <c r="DV61" s="220"/>
      <c r="DW61" s="220"/>
      <c r="DX61" s="220"/>
      <c r="DY61" s="220"/>
      <c r="DZ61" s="220"/>
      <c r="EA61" s="220"/>
      <c r="EB61" s="220"/>
      <c r="EC61" s="220"/>
      <c r="ED61" s="220"/>
      <c r="EE61" s="220"/>
      <c r="EF61" s="220"/>
      <c r="EG61" s="220"/>
      <c r="EH61" s="220"/>
      <c r="EI61" s="220"/>
      <c r="EJ61" s="220"/>
      <c r="EK61" s="220"/>
      <c r="EL61" s="220"/>
      <c r="EM61" s="220"/>
      <c r="EN61" s="220"/>
      <c r="EO61" s="220"/>
      <c r="EP61" s="220"/>
      <c r="EQ61" s="220"/>
      <c r="ER61" s="220"/>
      <c r="ES61" s="220"/>
      <c r="ET61" s="220"/>
      <c r="EU61" s="220"/>
      <c r="EV61" s="220"/>
      <c r="EW61" s="220"/>
      <c r="EX61" s="220"/>
      <c r="EY61" s="220"/>
      <c r="EZ61" s="220"/>
      <c r="FA61" s="220"/>
      <c r="FB61" s="220"/>
      <c r="FC61" s="220"/>
      <c r="FD61" s="220"/>
      <c r="FE61" s="220"/>
      <c r="FF61" s="220"/>
      <c r="FG61" s="220"/>
      <c r="FH61" s="220"/>
      <c r="FI61" s="220"/>
      <c r="FJ61" s="220"/>
      <c r="FK61" s="220"/>
      <c r="FL61" s="220"/>
      <c r="FM61" s="220"/>
      <c r="FN61" s="220"/>
      <c r="FO61" s="220"/>
      <c r="FP61" s="220"/>
      <c r="FQ61" s="220"/>
      <c r="FR61" s="220"/>
      <c r="FS61" s="220"/>
      <c r="FT61" s="220"/>
      <c r="FU61" s="221"/>
      <c r="FV61" s="221"/>
      <c r="FW61" s="220"/>
      <c r="FX61" s="220"/>
      <c r="FY61" s="220"/>
      <c r="FZ61" s="220"/>
      <c r="GA61" s="220"/>
      <c r="GB61" s="221"/>
      <c r="GC61" s="221"/>
      <c r="GD61" s="220"/>
      <c r="GE61" s="220"/>
      <c r="GF61" s="220"/>
      <c r="GG61" s="220"/>
      <c r="GH61" s="220"/>
      <c r="GI61" s="221"/>
      <c r="GJ61" s="221"/>
      <c r="GK61" s="220"/>
      <c r="GL61" s="220"/>
      <c r="GM61" s="220"/>
      <c r="GN61" s="220"/>
      <c r="GO61" s="220"/>
      <c r="GP61" s="221"/>
      <c r="GQ61" s="221"/>
      <c r="GR61" s="220"/>
      <c r="GS61" s="220"/>
      <c r="GT61" s="220"/>
      <c r="GU61" s="220"/>
      <c r="GV61" s="220"/>
      <c r="GW61" s="221"/>
      <c r="GX61" s="221"/>
      <c r="GY61" s="220"/>
      <c r="GZ61" s="220"/>
      <c r="HA61" s="220"/>
      <c r="HB61" s="220"/>
      <c r="HC61" s="220"/>
      <c r="HD61" s="221"/>
      <c r="HE61" s="221"/>
      <c r="HF61" s="220"/>
      <c r="HG61" s="220"/>
      <c r="HH61" s="220"/>
      <c r="HI61" s="220"/>
      <c r="HJ61" s="220"/>
      <c r="HK61" s="221"/>
      <c r="HL61" s="221"/>
      <c r="HM61" s="220"/>
      <c r="HN61" s="220"/>
      <c r="HO61" s="220"/>
      <c r="HP61" s="220"/>
      <c r="HQ61" s="220"/>
      <c r="HR61" s="221"/>
      <c r="HS61" s="221"/>
      <c r="HT61" s="220"/>
      <c r="HU61" s="220"/>
      <c r="HV61" s="220"/>
      <c r="HW61" s="220"/>
      <c r="HX61" s="220"/>
      <c r="HY61" s="218"/>
      <c r="HZ61" s="218"/>
      <c r="IA61" s="218"/>
      <c r="IB61" s="218"/>
      <c r="IC61" s="218"/>
      <c r="ID61" s="218"/>
      <c r="IE61" s="218"/>
      <c r="IF61" s="218"/>
      <c r="IG61" s="218"/>
      <c r="IH61" s="218"/>
      <c r="II61" s="218"/>
      <c r="IJ61" s="218"/>
      <c r="IK61" s="218"/>
      <c r="IL61" s="218"/>
      <c r="IM61" s="218"/>
      <c r="IN61" s="218"/>
      <c r="IO61" s="218"/>
      <c r="IP61" s="218"/>
      <c r="IQ61" s="218"/>
      <c r="IR61" s="218"/>
      <c r="IS61" s="218"/>
      <c r="IT61" s="218"/>
      <c r="IU61" s="218"/>
      <c r="IV61" s="218"/>
      <c r="IW61" s="218"/>
      <c r="IX61" s="218"/>
      <c r="IY61" s="218"/>
      <c r="IZ61" s="218"/>
      <c r="JA61" s="218"/>
      <c r="JB61" s="218"/>
      <c r="JC61" s="218"/>
      <c r="JD61" s="218"/>
      <c r="JE61" s="218"/>
      <c r="JF61" s="218"/>
      <c r="JG61" s="218"/>
      <c r="JH61" s="218"/>
      <c r="JI61" s="218"/>
      <c r="JJ61" s="218"/>
      <c r="JK61" s="218"/>
      <c r="JL61" s="218"/>
      <c r="JM61" s="218"/>
      <c r="JN61" s="218"/>
      <c r="JO61" s="218"/>
      <c r="JP61" s="218"/>
      <c r="JQ61" s="218"/>
      <c r="JR61" s="218"/>
      <c r="JS61" s="218"/>
      <c r="JT61" s="218"/>
      <c r="JU61" s="218"/>
      <c r="JV61" s="218"/>
      <c r="JW61" s="218"/>
      <c r="JX61" s="218"/>
      <c r="JY61" s="218"/>
      <c r="JZ61" s="218"/>
      <c r="KA61" s="218"/>
      <c r="KB61" s="218"/>
      <c r="KC61" s="218"/>
      <c r="KD61" s="218"/>
      <c r="KE61" s="218"/>
      <c r="KF61" s="218"/>
      <c r="KG61" s="218"/>
      <c r="KH61" s="218"/>
      <c r="KI61" s="218"/>
      <c r="KJ61" s="218"/>
      <c r="KK61" s="218"/>
      <c r="KL61" s="218"/>
      <c r="KM61" s="218"/>
      <c r="KN61" s="218"/>
      <c r="KO61" s="218"/>
      <c r="KP61" s="218"/>
      <c r="KQ61" s="218"/>
      <c r="KR61" s="218"/>
      <c r="KS61" s="218"/>
      <c r="KT61" s="218"/>
      <c r="KU61" s="218"/>
      <c r="KV61" s="218"/>
      <c r="KW61" s="218"/>
      <c r="KX61" s="218"/>
      <c r="KY61" s="218"/>
      <c r="KZ61" s="218"/>
      <c r="LA61" s="218"/>
      <c r="LB61" s="218"/>
      <c r="LC61" s="218"/>
      <c r="LD61" s="218"/>
      <c r="LE61" s="218"/>
      <c r="LF61" s="218"/>
      <c r="LG61" s="218"/>
      <c r="LH61" s="218"/>
      <c r="LI61" s="218"/>
      <c r="LJ61" s="218"/>
      <c r="LK61" s="218"/>
      <c r="LL61" s="218"/>
      <c r="LM61" s="218"/>
      <c r="LN61" s="218"/>
      <c r="LO61" s="218"/>
      <c r="LP61" s="218"/>
      <c r="LQ61" s="218"/>
      <c r="LR61" s="218"/>
      <c r="LS61" s="218"/>
      <c r="LT61" s="218"/>
      <c r="LU61" s="218"/>
      <c r="LV61" s="218"/>
      <c r="LW61" s="218"/>
      <c r="LX61" s="218"/>
      <c r="LY61" s="218"/>
      <c r="LZ61" s="218"/>
      <c r="MA61" s="218"/>
      <c r="MB61" s="218"/>
      <c r="MC61" s="218"/>
      <c r="MD61" s="218"/>
      <c r="ME61" s="218"/>
      <c r="MF61" s="218"/>
      <c r="MG61" s="218"/>
      <c r="MH61" s="218"/>
      <c r="MI61" s="218"/>
      <c r="MJ61" s="218"/>
      <c r="MK61" s="218"/>
      <c r="ML61" s="218"/>
      <c r="MM61" s="218"/>
      <c r="MN61" s="218"/>
      <c r="MO61" s="218"/>
      <c r="MP61" s="218"/>
      <c r="MQ61" s="218"/>
      <c r="MR61" s="218"/>
      <c r="MS61" s="218"/>
      <c r="MT61" s="218"/>
      <c r="MU61" s="218"/>
      <c r="MV61" s="218"/>
      <c r="MW61" s="218"/>
      <c r="MX61" s="218"/>
      <c r="MY61" s="218"/>
      <c r="MZ61" s="218"/>
      <c r="NA61" s="218"/>
      <c r="NB61" s="218"/>
      <c r="NC61" s="218"/>
      <c r="ND61" s="218"/>
      <c r="NE61" s="218"/>
      <c r="NF61" s="218"/>
      <c r="NG61" s="218"/>
      <c r="NH61" s="222"/>
      <c r="NI61" s="222"/>
      <c r="NJ61" s="222"/>
      <c r="NK61" s="222"/>
      <c r="NL61" s="222"/>
      <c r="NM61" s="222"/>
      <c r="NN61" s="222"/>
      <c r="NO61" s="222"/>
      <c r="NP61" s="222"/>
      <c r="NQ61" s="222"/>
      <c r="NR61" s="222"/>
      <c r="NS61" s="222"/>
      <c r="NT61" s="222"/>
      <c r="NU61" s="222"/>
      <c r="NV61" s="222"/>
      <c r="NW61" s="222"/>
      <c r="NX61" s="222"/>
      <c r="NY61" s="222"/>
      <c r="NZ61" s="222"/>
      <c r="OA61" s="222"/>
      <c r="OB61" s="222"/>
      <c r="OC61" s="222"/>
      <c r="OD61" s="222"/>
      <c r="OE61" s="222"/>
      <c r="OF61" s="222"/>
      <c r="OG61" s="222"/>
      <c r="OH61" s="222"/>
      <c r="OI61" s="222"/>
      <c r="OJ61" s="222"/>
      <c r="OK61" s="222"/>
      <c r="OL61" s="222"/>
      <c r="OM61" s="222"/>
      <c r="ON61" s="222"/>
      <c r="OO61" s="222"/>
      <c r="OP61" s="222"/>
      <c r="OQ61" s="222"/>
      <c r="OR61" s="222"/>
      <c r="OS61" s="222"/>
      <c r="OT61" s="222"/>
      <c r="OU61" s="222"/>
      <c r="OV61" s="222"/>
      <c r="OW61" s="222"/>
      <c r="OX61" s="222"/>
      <c r="OY61" s="222"/>
      <c r="OZ61" s="222"/>
      <c r="PA61" s="222"/>
      <c r="PB61" s="222"/>
      <c r="PC61" s="222"/>
      <c r="PD61" s="222"/>
      <c r="PE61" s="222"/>
      <c r="PF61" s="222"/>
      <c r="PG61" s="222"/>
      <c r="PH61" s="222"/>
      <c r="PI61" s="222"/>
      <c r="PJ61" s="222"/>
      <c r="PK61" s="222"/>
      <c r="PL61" s="222"/>
      <c r="PM61" s="222"/>
      <c r="PN61" s="222"/>
      <c r="PO61" s="222"/>
      <c r="PP61" s="222"/>
      <c r="PQ61" s="222"/>
      <c r="PR61" s="222"/>
      <c r="PS61" s="222"/>
      <c r="PT61" s="222"/>
      <c r="PU61" s="222"/>
      <c r="PV61" s="222"/>
      <c r="PW61" s="222"/>
      <c r="PX61" s="222"/>
      <c r="PY61" s="222"/>
      <c r="PZ61" s="222"/>
      <c r="QA61" s="222"/>
      <c r="QB61" s="222"/>
      <c r="QC61" s="222"/>
      <c r="QD61" s="222"/>
      <c r="QE61" s="222"/>
      <c r="QF61" s="222"/>
      <c r="QG61" s="222"/>
      <c r="QH61" s="222"/>
      <c r="QI61" s="222"/>
      <c r="QJ61" s="222"/>
      <c r="QK61" s="222"/>
      <c r="QL61" s="222"/>
      <c r="QM61" s="222"/>
      <c r="QN61" s="222"/>
      <c r="QO61" s="222"/>
      <c r="QP61" s="222"/>
      <c r="QQ61" s="222"/>
      <c r="QR61" s="222"/>
      <c r="QS61" s="222"/>
      <c r="QT61" s="222"/>
      <c r="QU61" s="222"/>
      <c r="QV61" s="222"/>
      <c r="QW61" s="222"/>
      <c r="QX61" s="222"/>
      <c r="QY61" s="222"/>
      <c r="QZ61" s="222"/>
      <c r="RA61" s="222"/>
      <c r="RB61" s="222"/>
      <c r="RC61" s="222"/>
      <c r="RD61" s="222"/>
      <c r="RE61" s="222"/>
      <c r="RF61" s="222"/>
      <c r="RG61" s="222"/>
      <c r="RH61" s="222"/>
      <c r="RI61" s="222"/>
      <c r="RJ61" s="222"/>
      <c r="RK61" s="222"/>
      <c r="RL61" s="222"/>
      <c r="RM61" s="222"/>
      <c r="RN61" s="222"/>
      <c r="RO61" s="222"/>
      <c r="RP61" s="222"/>
      <c r="RQ61" s="222"/>
      <c r="RR61" s="222"/>
      <c r="RS61" s="222"/>
      <c r="RT61" s="222"/>
      <c r="RU61" s="222"/>
      <c r="RV61" s="222"/>
      <c r="RW61" s="222"/>
      <c r="RX61" s="222"/>
      <c r="RY61" s="222"/>
      <c r="RZ61" s="222"/>
      <c r="SA61" s="222"/>
      <c r="SB61" s="222"/>
      <c r="SC61" s="222"/>
      <c r="SD61" s="222"/>
      <c r="SE61" s="222"/>
      <c r="SF61" s="222"/>
      <c r="SG61" s="222"/>
      <c r="SH61" s="222"/>
      <c r="SI61" s="222"/>
      <c r="SJ61" s="222"/>
      <c r="SK61" s="222"/>
      <c r="SL61" s="222"/>
      <c r="SM61" s="222"/>
      <c r="SN61" s="222"/>
      <c r="SO61" s="222"/>
      <c r="SP61" s="222"/>
      <c r="SQ61" s="222"/>
      <c r="SR61" s="222"/>
      <c r="SS61" s="222"/>
      <c r="ST61" s="222"/>
      <c r="SU61" s="222"/>
      <c r="SV61" s="222"/>
      <c r="SW61" s="219"/>
      <c r="SX61" s="219"/>
      <c r="SY61" s="219"/>
      <c r="SZ61" s="219"/>
      <c r="TA61" s="219"/>
      <c r="TB61" s="219"/>
      <c r="TC61" s="219"/>
      <c r="TD61" s="219"/>
      <c r="TE61" s="219"/>
      <c r="TF61" s="219"/>
      <c r="TG61" s="219"/>
      <c r="TH61" s="219"/>
      <c r="TI61" s="219"/>
      <c r="TJ61" s="219"/>
      <c r="TK61" s="219"/>
      <c r="TL61" s="219"/>
      <c r="TM61" s="219"/>
      <c r="TN61" s="219"/>
      <c r="TO61" s="219"/>
      <c r="TP61" s="219"/>
      <c r="TQ61" s="219"/>
      <c r="TR61" s="219"/>
      <c r="TS61" s="219"/>
      <c r="TT61" s="219"/>
      <c r="TU61" s="219"/>
      <c r="TV61" s="219"/>
      <c r="TW61" s="219"/>
      <c r="TX61" s="219"/>
      <c r="TY61" s="219"/>
      <c r="TZ61" s="219"/>
      <c r="UA61" s="219"/>
      <c r="UB61" s="219"/>
      <c r="UC61" s="219"/>
      <c r="UD61" s="219"/>
      <c r="UE61" s="219"/>
      <c r="UF61" s="219"/>
      <c r="UG61" s="219"/>
      <c r="UH61" s="219"/>
      <c r="UI61" s="219"/>
      <c r="UJ61" s="219"/>
      <c r="UK61" s="219"/>
      <c r="UL61" s="219"/>
      <c r="UM61" s="219"/>
      <c r="UN61" s="219"/>
      <c r="UO61" s="219"/>
      <c r="UP61" s="219"/>
      <c r="UQ61" s="219"/>
      <c r="UR61" s="219"/>
      <c r="US61" s="219"/>
    </row>
    <row r="62" spans="2:572" ht="40.5" customHeight="1" x14ac:dyDescent="0.3">
      <c r="E62" s="217" t="s">
        <v>112</v>
      </c>
      <c r="F62" s="218">
        <f>F61</f>
        <v>0</v>
      </c>
      <c r="G62" s="218">
        <f t="shared" ref="G62:BR62" si="77">F62+G61</f>
        <v>0</v>
      </c>
      <c r="H62" s="218">
        <f t="shared" si="77"/>
        <v>0</v>
      </c>
      <c r="I62" s="218">
        <f t="shared" si="77"/>
        <v>0</v>
      </c>
      <c r="J62" s="218">
        <f t="shared" si="77"/>
        <v>0</v>
      </c>
      <c r="K62" s="218">
        <f t="shared" si="77"/>
        <v>0</v>
      </c>
      <c r="L62" s="218">
        <f t="shared" si="77"/>
        <v>16.5</v>
      </c>
      <c r="M62" s="218">
        <f t="shared" si="77"/>
        <v>36</v>
      </c>
      <c r="N62" s="218">
        <f t="shared" si="77"/>
        <v>69</v>
      </c>
      <c r="O62" s="218">
        <f t="shared" si="77"/>
        <v>96</v>
      </c>
      <c r="P62" s="218">
        <f t="shared" si="77"/>
        <v>96</v>
      </c>
      <c r="Q62" s="218">
        <f t="shared" si="77"/>
        <v>96</v>
      </c>
      <c r="R62" s="218">
        <f t="shared" si="77"/>
        <v>124</v>
      </c>
      <c r="S62" s="218">
        <f t="shared" si="77"/>
        <v>149</v>
      </c>
      <c r="T62" s="218">
        <f t="shared" si="77"/>
        <v>158</v>
      </c>
      <c r="U62" s="218">
        <f t="shared" si="77"/>
        <v>158</v>
      </c>
      <c r="V62" s="218">
        <f t="shared" si="77"/>
        <v>166</v>
      </c>
      <c r="W62" s="218">
        <f t="shared" si="77"/>
        <v>166</v>
      </c>
      <c r="X62" s="218">
        <f t="shared" si="77"/>
        <v>166</v>
      </c>
      <c r="Y62" s="218">
        <f t="shared" si="77"/>
        <v>175</v>
      </c>
      <c r="Z62" s="218">
        <f t="shared" si="77"/>
        <v>184</v>
      </c>
      <c r="AA62" s="218">
        <f t="shared" si="77"/>
        <v>193</v>
      </c>
      <c r="AB62" s="218">
        <f t="shared" si="77"/>
        <v>202</v>
      </c>
      <c r="AC62" s="218">
        <f t="shared" si="77"/>
        <v>210</v>
      </c>
      <c r="AD62" s="218">
        <f t="shared" si="77"/>
        <v>210</v>
      </c>
      <c r="AE62" s="218">
        <f t="shared" si="77"/>
        <v>210</v>
      </c>
      <c r="AF62" s="218">
        <f t="shared" si="77"/>
        <v>234</v>
      </c>
      <c r="AG62" s="218">
        <f t="shared" si="77"/>
        <v>276</v>
      </c>
      <c r="AH62" s="218">
        <f t="shared" si="77"/>
        <v>321</v>
      </c>
      <c r="AI62" s="218">
        <f t="shared" si="77"/>
        <v>393</v>
      </c>
      <c r="AJ62" s="218">
        <f t="shared" si="77"/>
        <v>465</v>
      </c>
      <c r="AK62" s="218">
        <f t="shared" si="77"/>
        <v>465</v>
      </c>
      <c r="AL62" s="218">
        <f t="shared" si="77"/>
        <v>465</v>
      </c>
      <c r="AM62" s="218">
        <f t="shared" si="77"/>
        <v>577</v>
      </c>
      <c r="AN62" s="218">
        <f t="shared" si="77"/>
        <v>709</v>
      </c>
      <c r="AO62" s="218">
        <f t="shared" si="77"/>
        <v>839</v>
      </c>
      <c r="AP62" s="218">
        <f t="shared" si="77"/>
        <v>839</v>
      </c>
      <c r="AQ62" s="218">
        <f t="shared" si="77"/>
        <v>913.5</v>
      </c>
      <c r="AR62" s="218">
        <f t="shared" si="77"/>
        <v>913.5</v>
      </c>
      <c r="AS62" s="218">
        <f t="shared" si="77"/>
        <v>913.5</v>
      </c>
      <c r="AT62" s="218">
        <f t="shared" si="77"/>
        <v>985.5</v>
      </c>
      <c r="AU62" s="218">
        <f t="shared" si="77"/>
        <v>1080</v>
      </c>
      <c r="AV62" s="218">
        <f t="shared" si="77"/>
        <v>1196</v>
      </c>
      <c r="AW62" s="218">
        <f t="shared" si="77"/>
        <v>1332.5</v>
      </c>
      <c r="AX62" s="218">
        <f t="shared" si="77"/>
        <v>1444.5</v>
      </c>
      <c r="AY62" s="218">
        <f t="shared" si="77"/>
        <v>1444.5</v>
      </c>
      <c r="AZ62" s="218">
        <f t="shared" si="77"/>
        <v>1444.5</v>
      </c>
      <c r="BA62" s="218">
        <f t="shared" si="77"/>
        <v>1539</v>
      </c>
      <c r="BB62" s="218">
        <f t="shared" si="77"/>
        <v>1620</v>
      </c>
      <c r="BC62" s="218">
        <f t="shared" si="77"/>
        <v>1620</v>
      </c>
      <c r="BD62" s="218">
        <f t="shared" si="77"/>
        <v>1719</v>
      </c>
      <c r="BE62" s="218">
        <f t="shared" si="77"/>
        <v>1800</v>
      </c>
      <c r="BF62" s="218">
        <f t="shared" si="77"/>
        <v>1800</v>
      </c>
      <c r="BG62" s="218">
        <f t="shared" si="77"/>
        <v>1800</v>
      </c>
      <c r="BH62" s="218">
        <f t="shared" si="77"/>
        <v>1881</v>
      </c>
      <c r="BI62" s="218">
        <f t="shared" si="77"/>
        <v>1985</v>
      </c>
      <c r="BJ62" s="218">
        <f t="shared" si="77"/>
        <v>2086</v>
      </c>
      <c r="BK62" s="218">
        <f t="shared" si="77"/>
        <v>2169</v>
      </c>
      <c r="BL62" s="218">
        <f t="shared" si="77"/>
        <v>2236</v>
      </c>
      <c r="BM62" s="218">
        <f t="shared" si="77"/>
        <v>2236</v>
      </c>
      <c r="BN62" s="218">
        <f t="shared" si="77"/>
        <v>2236</v>
      </c>
      <c r="BO62" s="218">
        <f t="shared" si="77"/>
        <v>2299</v>
      </c>
      <c r="BP62" s="218">
        <f t="shared" si="77"/>
        <v>2362</v>
      </c>
      <c r="BQ62" s="218">
        <f t="shared" si="77"/>
        <v>2448</v>
      </c>
      <c r="BR62" s="218">
        <f t="shared" si="77"/>
        <v>2539</v>
      </c>
      <c r="BS62" s="218">
        <f t="shared" ref="BS62:ED62" si="78">BR62+BS61</f>
        <v>2643</v>
      </c>
      <c r="BT62" s="218">
        <f t="shared" si="78"/>
        <v>2643</v>
      </c>
      <c r="BU62" s="218">
        <f t="shared" si="78"/>
        <v>2643</v>
      </c>
      <c r="BV62" s="218">
        <f t="shared" si="78"/>
        <v>2772</v>
      </c>
      <c r="BW62" s="218">
        <f t="shared" si="78"/>
        <v>2878.5</v>
      </c>
      <c r="BX62" s="218">
        <f t="shared" si="78"/>
        <v>2982</v>
      </c>
      <c r="BY62" s="218">
        <f t="shared" si="78"/>
        <v>3094.5</v>
      </c>
      <c r="BZ62" s="218">
        <f t="shared" si="78"/>
        <v>3199.5</v>
      </c>
      <c r="CA62" s="218">
        <f t="shared" si="78"/>
        <v>3199.5</v>
      </c>
      <c r="CB62" s="218">
        <f t="shared" si="78"/>
        <v>3199.5</v>
      </c>
      <c r="CC62" s="218">
        <f t="shared" si="78"/>
        <v>3277</v>
      </c>
      <c r="CD62" s="218">
        <f t="shared" si="78"/>
        <v>3367</v>
      </c>
      <c r="CE62" s="218">
        <f t="shared" si="78"/>
        <v>3466</v>
      </c>
      <c r="CF62" s="218">
        <f t="shared" si="78"/>
        <v>3565</v>
      </c>
      <c r="CG62" s="218">
        <f t="shared" si="78"/>
        <v>3673</v>
      </c>
      <c r="CH62" s="218">
        <f t="shared" si="78"/>
        <v>3673</v>
      </c>
      <c r="CI62" s="218">
        <f t="shared" si="78"/>
        <v>3673</v>
      </c>
      <c r="CJ62" s="218">
        <f t="shared" si="78"/>
        <v>3773</v>
      </c>
      <c r="CK62" s="218">
        <f t="shared" si="78"/>
        <v>3818</v>
      </c>
      <c r="CL62" s="218">
        <f t="shared" si="78"/>
        <v>3863</v>
      </c>
      <c r="CM62" s="218">
        <f t="shared" si="78"/>
        <v>3948</v>
      </c>
      <c r="CN62" s="218">
        <f t="shared" si="78"/>
        <v>4041</v>
      </c>
      <c r="CO62" s="218">
        <f t="shared" si="78"/>
        <v>4041</v>
      </c>
      <c r="CP62" s="218">
        <f t="shared" si="78"/>
        <v>4041</v>
      </c>
      <c r="CQ62" s="218">
        <f t="shared" si="78"/>
        <v>4041</v>
      </c>
      <c r="CR62" s="218">
        <f t="shared" si="78"/>
        <v>4114.5</v>
      </c>
      <c r="CS62" s="218">
        <f t="shared" si="78"/>
        <v>4167</v>
      </c>
      <c r="CT62" s="218">
        <f t="shared" si="78"/>
        <v>4200</v>
      </c>
      <c r="CU62" s="218">
        <f t="shared" si="78"/>
        <v>4227</v>
      </c>
      <c r="CV62" s="218">
        <f t="shared" si="78"/>
        <v>4227</v>
      </c>
      <c r="CW62" s="218">
        <f t="shared" si="78"/>
        <v>4227</v>
      </c>
      <c r="CX62" s="218">
        <f t="shared" si="78"/>
        <v>4227</v>
      </c>
      <c r="CY62" s="218">
        <f t="shared" si="78"/>
        <v>4252</v>
      </c>
      <c r="CZ62" s="218">
        <f t="shared" si="78"/>
        <v>4257</v>
      </c>
      <c r="DA62" s="218">
        <f t="shared" si="78"/>
        <v>4257</v>
      </c>
      <c r="DB62" s="218">
        <f t="shared" si="78"/>
        <v>4257</v>
      </c>
      <c r="DC62" s="218">
        <f t="shared" si="78"/>
        <v>4257</v>
      </c>
      <c r="DD62" s="218">
        <f t="shared" si="78"/>
        <v>4257</v>
      </c>
      <c r="DE62" s="218">
        <f t="shared" si="78"/>
        <v>4257</v>
      </c>
      <c r="DF62" s="218">
        <f t="shared" si="78"/>
        <v>4257</v>
      </c>
      <c r="DG62" s="218">
        <f t="shared" si="78"/>
        <v>4257</v>
      </c>
      <c r="DH62" s="218">
        <f t="shared" si="78"/>
        <v>4257</v>
      </c>
      <c r="DI62" s="218">
        <f t="shared" si="78"/>
        <v>4257</v>
      </c>
      <c r="DJ62" s="218">
        <f t="shared" si="78"/>
        <v>4257</v>
      </c>
      <c r="DK62" s="218">
        <f t="shared" si="78"/>
        <v>4257</v>
      </c>
      <c r="DL62" s="218">
        <f t="shared" si="78"/>
        <v>4257</v>
      </c>
      <c r="DM62" s="218">
        <f t="shared" si="78"/>
        <v>4257</v>
      </c>
      <c r="DN62" s="218">
        <f t="shared" si="78"/>
        <v>4257</v>
      </c>
      <c r="DO62" s="218">
        <f t="shared" si="78"/>
        <v>4257</v>
      </c>
      <c r="DP62" s="218">
        <f t="shared" si="78"/>
        <v>4257</v>
      </c>
      <c r="DQ62" s="218">
        <f t="shared" si="78"/>
        <v>4257</v>
      </c>
      <c r="DR62" s="218">
        <f t="shared" si="78"/>
        <v>4257</v>
      </c>
      <c r="DS62" s="218">
        <f t="shared" si="78"/>
        <v>4257</v>
      </c>
      <c r="DT62" s="218">
        <f t="shared" si="78"/>
        <v>4257</v>
      </c>
      <c r="DU62" s="218">
        <f t="shared" si="78"/>
        <v>4257</v>
      </c>
      <c r="DV62" s="218">
        <f t="shared" si="78"/>
        <v>4257</v>
      </c>
      <c r="DW62" s="218">
        <f t="shared" si="78"/>
        <v>4257</v>
      </c>
      <c r="DX62" s="218">
        <f t="shared" si="78"/>
        <v>4257</v>
      </c>
      <c r="DY62" s="218">
        <f t="shared" si="78"/>
        <v>4257</v>
      </c>
      <c r="DZ62" s="218">
        <f t="shared" si="78"/>
        <v>4257</v>
      </c>
      <c r="EA62" s="218">
        <f t="shared" si="78"/>
        <v>4257</v>
      </c>
      <c r="EB62" s="218">
        <f t="shared" si="78"/>
        <v>4257</v>
      </c>
      <c r="EC62" s="218">
        <f t="shared" si="78"/>
        <v>4257</v>
      </c>
      <c r="ED62" s="218">
        <f t="shared" si="78"/>
        <v>4257</v>
      </c>
      <c r="EE62" s="218">
        <f t="shared" ref="EE62:GP62" si="79">ED62+EE61</f>
        <v>4257</v>
      </c>
      <c r="EF62" s="218">
        <f t="shared" si="79"/>
        <v>4257</v>
      </c>
      <c r="EG62" s="218">
        <f t="shared" si="79"/>
        <v>4257</v>
      </c>
      <c r="EH62" s="218">
        <f t="shared" si="79"/>
        <v>4257</v>
      </c>
      <c r="EI62" s="218">
        <f t="shared" si="79"/>
        <v>4257</v>
      </c>
      <c r="EJ62" s="218">
        <f t="shared" si="79"/>
        <v>4257</v>
      </c>
      <c r="EK62" s="218">
        <f t="shared" si="79"/>
        <v>4257</v>
      </c>
      <c r="EL62" s="218">
        <f t="shared" si="79"/>
        <v>4257</v>
      </c>
      <c r="EM62" s="218">
        <f t="shared" si="79"/>
        <v>4257</v>
      </c>
      <c r="EN62" s="218">
        <f t="shared" si="79"/>
        <v>4257</v>
      </c>
      <c r="EO62" s="218">
        <f t="shared" si="79"/>
        <v>4257</v>
      </c>
      <c r="EP62" s="218">
        <f t="shared" si="79"/>
        <v>4257</v>
      </c>
      <c r="EQ62" s="218">
        <f t="shared" si="79"/>
        <v>4257</v>
      </c>
      <c r="ER62" s="218">
        <f t="shared" si="79"/>
        <v>4257</v>
      </c>
      <c r="ES62" s="218">
        <f t="shared" si="79"/>
        <v>4257</v>
      </c>
      <c r="ET62" s="218">
        <f t="shared" si="79"/>
        <v>4257</v>
      </c>
      <c r="EU62" s="218">
        <f t="shared" si="79"/>
        <v>4257</v>
      </c>
      <c r="EV62" s="218">
        <f t="shared" si="79"/>
        <v>4257</v>
      </c>
      <c r="EW62" s="218">
        <f t="shared" si="79"/>
        <v>4257</v>
      </c>
      <c r="EX62" s="218">
        <f t="shared" si="79"/>
        <v>4257</v>
      </c>
      <c r="EY62" s="218">
        <f t="shared" si="79"/>
        <v>4257</v>
      </c>
      <c r="EZ62" s="218">
        <f t="shared" si="79"/>
        <v>4257</v>
      </c>
      <c r="FA62" s="218">
        <f t="shared" si="79"/>
        <v>4257</v>
      </c>
      <c r="FB62" s="218">
        <f t="shared" si="79"/>
        <v>4257</v>
      </c>
      <c r="FC62" s="218">
        <f t="shared" si="79"/>
        <v>4257</v>
      </c>
      <c r="FD62" s="218">
        <f t="shared" si="79"/>
        <v>4257</v>
      </c>
      <c r="FE62" s="218">
        <f t="shared" si="79"/>
        <v>4257</v>
      </c>
      <c r="FF62" s="218">
        <f t="shared" si="79"/>
        <v>4257</v>
      </c>
      <c r="FG62" s="218">
        <f t="shared" si="79"/>
        <v>4257</v>
      </c>
      <c r="FH62" s="218">
        <f t="shared" si="79"/>
        <v>4257</v>
      </c>
      <c r="FI62" s="218">
        <f t="shared" si="79"/>
        <v>4257</v>
      </c>
      <c r="FJ62" s="218">
        <f t="shared" si="79"/>
        <v>4257</v>
      </c>
      <c r="FK62" s="218">
        <f t="shared" si="79"/>
        <v>4257</v>
      </c>
      <c r="FL62" s="218">
        <f t="shared" si="79"/>
        <v>4257</v>
      </c>
      <c r="FM62" s="218">
        <f t="shared" si="79"/>
        <v>4257</v>
      </c>
      <c r="FN62" s="218">
        <f t="shared" si="79"/>
        <v>4257</v>
      </c>
      <c r="FO62" s="218">
        <f t="shared" si="79"/>
        <v>4257</v>
      </c>
      <c r="FP62" s="218">
        <f t="shared" si="79"/>
        <v>4257</v>
      </c>
      <c r="FQ62" s="218">
        <f t="shared" si="79"/>
        <v>4257</v>
      </c>
      <c r="FR62" s="218">
        <f t="shared" si="79"/>
        <v>4257</v>
      </c>
      <c r="FS62" s="218">
        <f t="shared" si="79"/>
        <v>4257</v>
      </c>
      <c r="FT62" s="218">
        <f t="shared" si="79"/>
        <v>4257</v>
      </c>
      <c r="FU62" s="218">
        <f t="shared" si="79"/>
        <v>4257</v>
      </c>
      <c r="FV62" s="218">
        <f t="shared" si="79"/>
        <v>4257</v>
      </c>
      <c r="FW62" s="218">
        <f t="shared" si="79"/>
        <v>4257</v>
      </c>
      <c r="FX62" s="218">
        <f t="shared" si="79"/>
        <v>4257</v>
      </c>
      <c r="FY62" s="218">
        <f t="shared" si="79"/>
        <v>4257</v>
      </c>
      <c r="FZ62" s="218">
        <f t="shared" si="79"/>
        <v>4257</v>
      </c>
      <c r="GA62" s="218">
        <f t="shared" si="79"/>
        <v>4257</v>
      </c>
      <c r="GB62" s="218">
        <f t="shared" si="79"/>
        <v>4257</v>
      </c>
      <c r="GC62" s="218">
        <f t="shared" si="79"/>
        <v>4257</v>
      </c>
      <c r="GD62" s="218">
        <f t="shared" si="79"/>
        <v>4257</v>
      </c>
      <c r="GE62" s="218">
        <f t="shared" si="79"/>
        <v>4257</v>
      </c>
      <c r="GF62" s="218">
        <f t="shared" si="79"/>
        <v>4257</v>
      </c>
      <c r="GG62" s="218">
        <f t="shared" si="79"/>
        <v>4257</v>
      </c>
      <c r="GH62" s="218">
        <f t="shared" si="79"/>
        <v>4257</v>
      </c>
      <c r="GI62" s="218">
        <f t="shared" si="79"/>
        <v>4257</v>
      </c>
      <c r="GJ62" s="218">
        <f t="shared" si="79"/>
        <v>4257</v>
      </c>
      <c r="GK62" s="218">
        <f t="shared" si="79"/>
        <v>4257</v>
      </c>
      <c r="GL62" s="218">
        <f t="shared" si="79"/>
        <v>4257</v>
      </c>
      <c r="GM62" s="218">
        <f t="shared" si="79"/>
        <v>4257</v>
      </c>
      <c r="GN62" s="218">
        <f t="shared" si="79"/>
        <v>4257</v>
      </c>
      <c r="GO62" s="218">
        <f t="shared" si="79"/>
        <v>4257</v>
      </c>
      <c r="GP62" s="218">
        <f t="shared" si="79"/>
        <v>4257</v>
      </c>
      <c r="GQ62" s="218">
        <f t="shared" ref="GQ62:JB62" si="80">GP62+GQ61</f>
        <v>4257</v>
      </c>
      <c r="GR62" s="218">
        <f t="shared" si="80"/>
        <v>4257</v>
      </c>
      <c r="GS62" s="218">
        <f t="shared" si="80"/>
        <v>4257</v>
      </c>
      <c r="GT62" s="218">
        <f t="shared" si="80"/>
        <v>4257</v>
      </c>
      <c r="GU62" s="218">
        <f t="shared" si="80"/>
        <v>4257</v>
      </c>
      <c r="GV62" s="218">
        <f t="shared" si="80"/>
        <v>4257</v>
      </c>
      <c r="GW62" s="218">
        <f t="shared" si="80"/>
        <v>4257</v>
      </c>
      <c r="GX62" s="218">
        <f t="shared" si="80"/>
        <v>4257</v>
      </c>
      <c r="GY62" s="218">
        <f t="shared" si="80"/>
        <v>4257</v>
      </c>
      <c r="GZ62" s="218">
        <f t="shared" si="80"/>
        <v>4257</v>
      </c>
      <c r="HA62" s="218">
        <f t="shared" si="80"/>
        <v>4257</v>
      </c>
      <c r="HB62" s="218">
        <f t="shared" si="80"/>
        <v>4257</v>
      </c>
      <c r="HC62" s="218">
        <f t="shared" si="80"/>
        <v>4257</v>
      </c>
      <c r="HD62" s="218">
        <f t="shared" si="80"/>
        <v>4257</v>
      </c>
      <c r="HE62" s="218">
        <f t="shared" si="80"/>
        <v>4257</v>
      </c>
      <c r="HF62" s="218">
        <f t="shared" si="80"/>
        <v>4257</v>
      </c>
      <c r="HG62" s="218">
        <f t="shared" si="80"/>
        <v>4257</v>
      </c>
      <c r="HH62" s="218">
        <f t="shared" si="80"/>
        <v>4257</v>
      </c>
      <c r="HI62" s="218">
        <f t="shared" si="80"/>
        <v>4257</v>
      </c>
      <c r="HJ62" s="218">
        <f t="shared" si="80"/>
        <v>4257</v>
      </c>
      <c r="HK62" s="218">
        <f t="shared" si="80"/>
        <v>4257</v>
      </c>
      <c r="HL62" s="218">
        <f t="shared" si="80"/>
        <v>4257</v>
      </c>
      <c r="HM62" s="218">
        <f t="shared" si="80"/>
        <v>4257</v>
      </c>
      <c r="HN62" s="218">
        <f t="shared" si="80"/>
        <v>4257</v>
      </c>
      <c r="HO62" s="218">
        <f t="shared" si="80"/>
        <v>4257</v>
      </c>
      <c r="HP62" s="218">
        <f t="shared" si="80"/>
        <v>4257</v>
      </c>
      <c r="HQ62" s="218">
        <f t="shared" si="80"/>
        <v>4257</v>
      </c>
      <c r="HR62" s="218">
        <f t="shared" si="80"/>
        <v>4257</v>
      </c>
      <c r="HS62" s="218">
        <f t="shared" si="80"/>
        <v>4257</v>
      </c>
      <c r="HT62" s="218">
        <f t="shared" si="80"/>
        <v>4257</v>
      </c>
      <c r="HU62" s="218">
        <f t="shared" si="80"/>
        <v>4257</v>
      </c>
      <c r="HV62" s="218">
        <f t="shared" si="80"/>
        <v>4257</v>
      </c>
      <c r="HW62" s="218">
        <f t="shared" si="80"/>
        <v>4257</v>
      </c>
      <c r="HX62" s="218">
        <f t="shared" si="80"/>
        <v>4257</v>
      </c>
      <c r="HY62" s="218">
        <f t="shared" si="80"/>
        <v>4257</v>
      </c>
      <c r="HZ62" s="218">
        <f t="shared" si="80"/>
        <v>4257</v>
      </c>
      <c r="IA62" s="218">
        <f t="shared" si="80"/>
        <v>4257</v>
      </c>
      <c r="IB62" s="218">
        <f t="shared" si="80"/>
        <v>4257</v>
      </c>
      <c r="IC62" s="218">
        <f t="shared" si="80"/>
        <v>4257</v>
      </c>
      <c r="ID62" s="218">
        <f t="shared" si="80"/>
        <v>4257</v>
      </c>
      <c r="IE62" s="218">
        <f t="shared" si="80"/>
        <v>4257</v>
      </c>
      <c r="IF62" s="218">
        <f t="shared" si="80"/>
        <v>4257</v>
      </c>
      <c r="IG62" s="218">
        <f t="shared" si="80"/>
        <v>4257</v>
      </c>
      <c r="IH62" s="218">
        <f t="shared" si="80"/>
        <v>4257</v>
      </c>
      <c r="II62" s="218">
        <f t="shared" si="80"/>
        <v>4257</v>
      </c>
      <c r="IJ62" s="218">
        <f t="shared" si="80"/>
        <v>4257</v>
      </c>
      <c r="IK62" s="218">
        <f t="shared" si="80"/>
        <v>4257</v>
      </c>
      <c r="IL62" s="218">
        <f t="shared" si="80"/>
        <v>4257</v>
      </c>
      <c r="IM62" s="218">
        <f t="shared" si="80"/>
        <v>4257</v>
      </c>
      <c r="IN62" s="218">
        <f t="shared" si="80"/>
        <v>4257</v>
      </c>
      <c r="IO62" s="218">
        <f t="shared" si="80"/>
        <v>4257</v>
      </c>
      <c r="IP62" s="218">
        <f t="shared" si="80"/>
        <v>4257</v>
      </c>
      <c r="IQ62" s="218">
        <f t="shared" si="80"/>
        <v>4257</v>
      </c>
      <c r="IR62" s="218">
        <f t="shared" si="80"/>
        <v>4257</v>
      </c>
      <c r="IS62" s="218">
        <f t="shared" si="80"/>
        <v>4257</v>
      </c>
      <c r="IT62" s="218">
        <f t="shared" si="80"/>
        <v>4257</v>
      </c>
      <c r="IU62" s="218">
        <f t="shared" si="80"/>
        <v>4257</v>
      </c>
      <c r="IV62" s="218">
        <f t="shared" si="80"/>
        <v>4257</v>
      </c>
      <c r="IW62" s="218">
        <f t="shared" si="80"/>
        <v>4257</v>
      </c>
      <c r="IX62" s="218">
        <f t="shared" si="80"/>
        <v>4257</v>
      </c>
      <c r="IY62" s="218">
        <f t="shared" si="80"/>
        <v>4257</v>
      </c>
      <c r="IZ62" s="218">
        <f t="shared" si="80"/>
        <v>4257</v>
      </c>
      <c r="JA62" s="218">
        <f t="shared" si="80"/>
        <v>4257</v>
      </c>
      <c r="JB62" s="218">
        <f t="shared" si="80"/>
        <v>4257</v>
      </c>
      <c r="JC62" s="218">
        <f t="shared" ref="JC62:LN62" si="81">JB62+JC61</f>
        <v>4257</v>
      </c>
      <c r="JD62" s="218">
        <f t="shared" si="81"/>
        <v>4257</v>
      </c>
      <c r="JE62" s="218">
        <f t="shared" si="81"/>
        <v>4257</v>
      </c>
      <c r="JF62" s="218">
        <f t="shared" si="81"/>
        <v>4257</v>
      </c>
      <c r="JG62" s="218">
        <f t="shared" si="81"/>
        <v>4257</v>
      </c>
      <c r="JH62" s="218">
        <f t="shared" si="81"/>
        <v>4257</v>
      </c>
      <c r="JI62" s="218">
        <f t="shared" si="81"/>
        <v>4257</v>
      </c>
      <c r="JJ62" s="218">
        <f t="shared" si="81"/>
        <v>4257</v>
      </c>
      <c r="JK62" s="218">
        <f t="shared" si="81"/>
        <v>4257</v>
      </c>
      <c r="JL62" s="218">
        <f t="shared" si="81"/>
        <v>4257</v>
      </c>
      <c r="JM62" s="218">
        <f t="shared" si="81"/>
        <v>4257</v>
      </c>
      <c r="JN62" s="218">
        <f t="shared" si="81"/>
        <v>4257</v>
      </c>
      <c r="JO62" s="218">
        <f t="shared" si="81"/>
        <v>4257</v>
      </c>
      <c r="JP62" s="218">
        <f t="shared" si="81"/>
        <v>4257</v>
      </c>
      <c r="JQ62" s="218">
        <f t="shared" si="81"/>
        <v>4257</v>
      </c>
      <c r="JR62" s="218">
        <f t="shared" si="81"/>
        <v>4257</v>
      </c>
      <c r="JS62" s="218">
        <f t="shared" si="81"/>
        <v>4257</v>
      </c>
      <c r="JT62" s="218">
        <f t="shared" si="81"/>
        <v>4257</v>
      </c>
      <c r="JU62" s="218">
        <f t="shared" si="81"/>
        <v>4257</v>
      </c>
      <c r="JV62" s="218">
        <f t="shared" si="81"/>
        <v>4257</v>
      </c>
      <c r="JW62" s="218">
        <f t="shared" si="81"/>
        <v>4257</v>
      </c>
      <c r="JX62" s="218">
        <f t="shared" si="81"/>
        <v>4257</v>
      </c>
      <c r="JY62" s="218">
        <f t="shared" si="81"/>
        <v>4257</v>
      </c>
      <c r="JZ62" s="218">
        <f t="shared" si="81"/>
        <v>4257</v>
      </c>
      <c r="KA62" s="218">
        <f t="shared" si="81"/>
        <v>4257</v>
      </c>
      <c r="KB62" s="218">
        <f t="shared" si="81"/>
        <v>4257</v>
      </c>
      <c r="KC62" s="218">
        <f t="shared" si="81"/>
        <v>4257</v>
      </c>
      <c r="KD62" s="218">
        <f t="shared" si="81"/>
        <v>4257</v>
      </c>
      <c r="KE62" s="218">
        <f t="shared" si="81"/>
        <v>4257</v>
      </c>
      <c r="KF62" s="218">
        <f t="shared" si="81"/>
        <v>4257</v>
      </c>
      <c r="KG62" s="218">
        <f t="shared" si="81"/>
        <v>4257</v>
      </c>
      <c r="KH62" s="218">
        <f t="shared" si="81"/>
        <v>4257</v>
      </c>
      <c r="KI62" s="218">
        <f t="shared" si="81"/>
        <v>4257</v>
      </c>
      <c r="KJ62" s="218">
        <f t="shared" si="81"/>
        <v>4257</v>
      </c>
      <c r="KK62" s="218">
        <f t="shared" si="81"/>
        <v>4257</v>
      </c>
      <c r="KL62" s="218">
        <f t="shared" si="81"/>
        <v>4257</v>
      </c>
      <c r="KM62" s="218">
        <f t="shared" si="81"/>
        <v>4257</v>
      </c>
      <c r="KN62" s="218">
        <f t="shared" si="81"/>
        <v>4257</v>
      </c>
      <c r="KO62" s="218">
        <f t="shared" si="81"/>
        <v>4257</v>
      </c>
      <c r="KP62" s="218">
        <f t="shared" si="81"/>
        <v>4257</v>
      </c>
      <c r="KQ62" s="218">
        <f t="shared" si="81"/>
        <v>4257</v>
      </c>
      <c r="KR62" s="218">
        <f t="shared" si="81"/>
        <v>4257</v>
      </c>
      <c r="KS62" s="218">
        <f t="shared" si="81"/>
        <v>4257</v>
      </c>
      <c r="KT62" s="218">
        <f t="shared" si="81"/>
        <v>4257</v>
      </c>
      <c r="KU62" s="218">
        <f t="shared" si="81"/>
        <v>4257</v>
      </c>
      <c r="KV62" s="218">
        <f t="shared" si="81"/>
        <v>4257</v>
      </c>
      <c r="KW62" s="218">
        <f t="shared" si="81"/>
        <v>4257</v>
      </c>
      <c r="KX62" s="218">
        <f t="shared" si="81"/>
        <v>4257</v>
      </c>
      <c r="KY62" s="218">
        <f t="shared" si="81"/>
        <v>4257</v>
      </c>
      <c r="KZ62" s="218">
        <f t="shared" si="81"/>
        <v>4257</v>
      </c>
      <c r="LA62" s="218">
        <f t="shared" si="81"/>
        <v>4257</v>
      </c>
      <c r="LB62" s="218">
        <f t="shared" si="81"/>
        <v>4257</v>
      </c>
      <c r="LC62" s="218">
        <f t="shared" si="81"/>
        <v>4257</v>
      </c>
      <c r="LD62" s="218">
        <f t="shared" si="81"/>
        <v>4257</v>
      </c>
      <c r="LE62" s="218">
        <f t="shared" si="81"/>
        <v>4257</v>
      </c>
      <c r="LF62" s="218">
        <f t="shared" si="81"/>
        <v>4257</v>
      </c>
      <c r="LG62" s="218">
        <f t="shared" si="81"/>
        <v>4257</v>
      </c>
      <c r="LH62" s="218">
        <f t="shared" si="81"/>
        <v>4257</v>
      </c>
      <c r="LI62" s="218">
        <f t="shared" si="81"/>
        <v>4257</v>
      </c>
      <c r="LJ62" s="218">
        <f t="shared" si="81"/>
        <v>4257</v>
      </c>
      <c r="LK62" s="218">
        <f t="shared" si="81"/>
        <v>4257</v>
      </c>
      <c r="LL62" s="218">
        <f t="shared" si="81"/>
        <v>4257</v>
      </c>
      <c r="LM62" s="218">
        <f t="shared" si="81"/>
        <v>4257</v>
      </c>
      <c r="LN62" s="218">
        <f t="shared" si="81"/>
        <v>4257</v>
      </c>
      <c r="LO62" s="218">
        <f t="shared" ref="LO62:NZ62" si="82">LN62+LO61</f>
        <v>4257</v>
      </c>
      <c r="LP62" s="218">
        <f t="shared" si="82"/>
        <v>4257</v>
      </c>
      <c r="LQ62" s="218">
        <f t="shared" si="82"/>
        <v>4257</v>
      </c>
      <c r="LR62" s="218">
        <f t="shared" si="82"/>
        <v>4257</v>
      </c>
      <c r="LS62" s="218">
        <f t="shared" si="82"/>
        <v>4257</v>
      </c>
      <c r="LT62" s="218">
        <f t="shared" si="82"/>
        <v>4257</v>
      </c>
      <c r="LU62" s="218">
        <f t="shared" si="82"/>
        <v>4257</v>
      </c>
      <c r="LV62" s="218">
        <f t="shared" si="82"/>
        <v>4257</v>
      </c>
      <c r="LW62" s="218">
        <f t="shared" si="82"/>
        <v>4257</v>
      </c>
      <c r="LX62" s="218">
        <f t="shared" si="82"/>
        <v>4257</v>
      </c>
      <c r="LY62" s="218">
        <f t="shared" si="82"/>
        <v>4257</v>
      </c>
      <c r="LZ62" s="218">
        <f t="shared" si="82"/>
        <v>4257</v>
      </c>
      <c r="MA62" s="218">
        <f t="shared" si="82"/>
        <v>4257</v>
      </c>
      <c r="MB62" s="218">
        <f t="shared" si="82"/>
        <v>4257</v>
      </c>
      <c r="MC62" s="218">
        <f t="shared" si="82"/>
        <v>4257</v>
      </c>
      <c r="MD62" s="218">
        <f t="shared" si="82"/>
        <v>4257</v>
      </c>
      <c r="ME62" s="218">
        <f t="shared" si="82"/>
        <v>4257</v>
      </c>
      <c r="MF62" s="218">
        <f t="shared" si="82"/>
        <v>4257</v>
      </c>
      <c r="MG62" s="218">
        <f t="shared" si="82"/>
        <v>4257</v>
      </c>
      <c r="MH62" s="218">
        <f t="shared" si="82"/>
        <v>4257</v>
      </c>
      <c r="MI62" s="218">
        <f t="shared" si="82"/>
        <v>4257</v>
      </c>
      <c r="MJ62" s="218">
        <f t="shared" si="82"/>
        <v>4257</v>
      </c>
      <c r="MK62" s="218">
        <f t="shared" si="82"/>
        <v>4257</v>
      </c>
      <c r="ML62" s="218">
        <f t="shared" si="82"/>
        <v>4257</v>
      </c>
      <c r="MM62" s="218">
        <f t="shared" si="82"/>
        <v>4257</v>
      </c>
      <c r="MN62" s="218">
        <f t="shared" si="82"/>
        <v>4257</v>
      </c>
      <c r="MO62" s="218">
        <f t="shared" si="82"/>
        <v>4257</v>
      </c>
      <c r="MP62" s="218">
        <f t="shared" si="82"/>
        <v>4257</v>
      </c>
      <c r="MQ62" s="218">
        <f t="shared" si="82"/>
        <v>4257</v>
      </c>
      <c r="MR62" s="218">
        <f t="shared" si="82"/>
        <v>4257</v>
      </c>
      <c r="MS62" s="218">
        <f t="shared" si="82"/>
        <v>4257</v>
      </c>
      <c r="MT62" s="218">
        <f t="shared" si="82"/>
        <v>4257</v>
      </c>
      <c r="MU62" s="218">
        <f t="shared" si="82"/>
        <v>4257</v>
      </c>
      <c r="MV62" s="218">
        <f t="shared" si="82"/>
        <v>4257</v>
      </c>
      <c r="MW62" s="218">
        <f t="shared" si="82"/>
        <v>4257</v>
      </c>
      <c r="MX62" s="218">
        <f t="shared" si="82"/>
        <v>4257</v>
      </c>
      <c r="MY62" s="218">
        <f t="shared" si="82"/>
        <v>4257</v>
      </c>
      <c r="MZ62" s="218">
        <f t="shared" si="82"/>
        <v>4257</v>
      </c>
      <c r="NA62" s="218">
        <f t="shared" si="82"/>
        <v>4257</v>
      </c>
      <c r="NB62" s="218">
        <f t="shared" si="82"/>
        <v>4257</v>
      </c>
      <c r="NC62" s="218">
        <f t="shared" si="82"/>
        <v>4257</v>
      </c>
      <c r="ND62" s="218">
        <f t="shared" si="82"/>
        <v>4257</v>
      </c>
      <c r="NE62" s="218">
        <f t="shared" si="82"/>
        <v>4257</v>
      </c>
      <c r="NF62" s="218">
        <f t="shared" si="82"/>
        <v>4257</v>
      </c>
      <c r="NG62" s="218">
        <f t="shared" si="82"/>
        <v>4257</v>
      </c>
      <c r="NH62" s="218">
        <f t="shared" si="82"/>
        <v>4257</v>
      </c>
      <c r="NI62" s="218">
        <f t="shared" si="82"/>
        <v>4257</v>
      </c>
      <c r="NJ62" s="218">
        <f t="shared" si="82"/>
        <v>4257</v>
      </c>
      <c r="NK62" s="218">
        <f t="shared" si="82"/>
        <v>4257</v>
      </c>
      <c r="NL62" s="218">
        <f t="shared" si="82"/>
        <v>4257</v>
      </c>
      <c r="NM62" s="218">
        <f t="shared" si="82"/>
        <v>4257</v>
      </c>
      <c r="NN62" s="218">
        <f t="shared" si="82"/>
        <v>4257</v>
      </c>
      <c r="NO62" s="218">
        <f t="shared" si="82"/>
        <v>4257</v>
      </c>
      <c r="NP62" s="218">
        <f t="shared" si="82"/>
        <v>4257</v>
      </c>
      <c r="NQ62" s="218">
        <f t="shared" si="82"/>
        <v>4257</v>
      </c>
      <c r="NR62" s="218">
        <f t="shared" si="82"/>
        <v>4257</v>
      </c>
      <c r="NS62" s="218">
        <f t="shared" si="82"/>
        <v>4257</v>
      </c>
      <c r="NT62" s="218">
        <f t="shared" si="82"/>
        <v>4257</v>
      </c>
      <c r="NU62" s="218">
        <f t="shared" si="82"/>
        <v>4257</v>
      </c>
      <c r="NV62" s="218">
        <f t="shared" si="82"/>
        <v>4257</v>
      </c>
      <c r="NW62" s="218">
        <f t="shared" si="82"/>
        <v>4257</v>
      </c>
      <c r="NX62" s="218">
        <f t="shared" si="82"/>
        <v>4257</v>
      </c>
      <c r="NY62" s="218">
        <f t="shared" si="82"/>
        <v>4257</v>
      </c>
      <c r="NZ62" s="218">
        <f t="shared" si="82"/>
        <v>4257</v>
      </c>
      <c r="OA62" s="218">
        <f t="shared" ref="OA62:QL62" si="83">NZ62+OA61</f>
        <v>4257</v>
      </c>
      <c r="OB62" s="218">
        <f t="shared" si="83"/>
        <v>4257</v>
      </c>
      <c r="OC62" s="218">
        <f t="shared" si="83"/>
        <v>4257</v>
      </c>
      <c r="OD62" s="218">
        <f t="shared" si="83"/>
        <v>4257</v>
      </c>
      <c r="OE62" s="218">
        <f t="shared" si="83"/>
        <v>4257</v>
      </c>
      <c r="OF62" s="218">
        <f t="shared" si="83"/>
        <v>4257</v>
      </c>
      <c r="OG62" s="218">
        <f t="shared" si="83"/>
        <v>4257</v>
      </c>
      <c r="OH62" s="218">
        <f t="shared" si="83"/>
        <v>4257</v>
      </c>
      <c r="OI62" s="218">
        <f t="shared" si="83"/>
        <v>4257</v>
      </c>
      <c r="OJ62" s="218">
        <f t="shared" si="83"/>
        <v>4257</v>
      </c>
      <c r="OK62" s="218">
        <f t="shared" si="83"/>
        <v>4257</v>
      </c>
      <c r="OL62" s="218">
        <f t="shared" si="83"/>
        <v>4257</v>
      </c>
      <c r="OM62" s="218">
        <f t="shared" si="83"/>
        <v>4257</v>
      </c>
      <c r="ON62" s="218">
        <f t="shared" si="83"/>
        <v>4257</v>
      </c>
      <c r="OO62" s="218">
        <f t="shared" si="83"/>
        <v>4257</v>
      </c>
      <c r="OP62" s="218">
        <f t="shared" si="83"/>
        <v>4257</v>
      </c>
      <c r="OQ62" s="218">
        <f t="shared" si="83"/>
        <v>4257</v>
      </c>
      <c r="OR62" s="218">
        <f t="shared" si="83"/>
        <v>4257</v>
      </c>
      <c r="OS62" s="218">
        <f t="shared" si="83"/>
        <v>4257</v>
      </c>
      <c r="OT62" s="218">
        <f t="shared" si="83"/>
        <v>4257</v>
      </c>
      <c r="OU62" s="218">
        <f t="shared" si="83"/>
        <v>4257</v>
      </c>
      <c r="OV62" s="218">
        <f t="shared" si="83"/>
        <v>4257</v>
      </c>
      <c r="OW62" s="218">
        <f t="shared" si="83"/>
        <v>4257</v>
      </c>
      <c r="OX62" s="218">
        <f t="shared" si="83"/>
        <v>4257</v>
      </c>
      <c r="OY62" s="218">
        <f t="shared" si="83"/>
        <v>4257</v>
      </c>
      <c r="OZ62" s="218">
        <f t="shared" si="83"/>
        <v>4257</v>
      </c>
      <c r="PA62" s="218">
        <f t="shared" si="83"/>
        <v>4257</v>
      </c>
      <c r="PB62" s="218">
        <f t="shared" si="83"/>
        <v>4257</v>
      </c>
      <c r="PC62" s="218">
        <f t="shared" si="83"/>
        <v>4257</v>
      </c>
      <c r="PD62" s="218">
        <f t="shared" si="83"/>
        <v>4257</v>
      </c>
      <c r="PE62" s="218">
        <f t="shared" si="83"/>
        <v>4257</v>
      </c>
      <c r="PF62" s="218">
        <f t="shared" si="83"/>
        <v>4257</v>
      </c>
      <c r="PG62" s="218">
        <f t="shared" si="83"/>
        <v>4257</v>
      </c>
      <c r="PH62" s="218">
        <f t="shared" si="83"/>
        <v>4257</v>
      </c>
      <c r="PI62" s="218">
        <f t="shared" si="83"/>
        <v>4257</v>
      </c>
      <c r="PJ62" s="218">
        <f t="shared" si="83"/>
        <v>4257</v>
      </c>
      <c r="PK62" s="218">
        <f t="shared" si="83"/>
        <v>4257</v>
      </c>
      <c r="PL62" s="218">
        <f t="shared" si="83"/>
        <v>4257</v>
      </c>
      <c r="PM62" s="218">
        <f t="shared" si="83"/>
        <v>4257</v>
      </c>
      <c r="PN62" s="218">
        <f t="shared" si="83"/>
        <v>4257</v>
      </c>
      <c r="PO62" s="218">
        <f t="shared" si="83"/>
        <v>4257</v>
      </c>
      <c r="PP62" s="218">
        <f t="shared" si="83"/>
        <v>4257</v>
      </c>
      <c r="PQ62" s="218">
        <f t="shared" si="83"/>
        <v>4257</v>
      </c>
      <c r="PR62" s="218">
        <f t="shared" si="83"/>
        <v>4257</v>
      </c>
      <c r="PS62" s="218">
        <f t="shared" si="83"/>
        <v>4257</v>
      </c>
      <c r="PT62" s="218">
        <f t="shared" si="83"/>
        <v>4257</v>
      </c>
      <c r="PU62" s="218">
        <f t="shared" si="83"/>
        <v>4257</v>
      </c>
      <c r="PV62" s="218">
        <f t="shared" si="83"/>
        <v>4257</v>
      </c>
      <c r="PW62" s="218">
        <f t="shared" si="83"/>
        <v>4257</v>
      </c>
      <c r="PX62" s="218">
        <f t="shared" si="83"/>
        <v>4257</v>
      </c>
      <c r="PY62" s="218">
        <f t="shared" si="83"/>
        <v>4257</v>
      </c>
      <c r="PZ62" s="218">
        <f t="shared" si="83"/>
        <v>4257</v>
      </c>
      <c r="QA62" s="218">
        <f t="shared" si="83"/>
        <v>4257</v>
      </c>
      <c r="QB62" s="218">
        <f t="shared" si="83"/>
        <v>4257</v>
      </c>
      <c r="QC62" s="218">
        <f t="shared" si="83"/>
        <v>4257</v>
      </c>
      <c r="QD62" s="218">
        <f t="shared" si="83"/>
        <v>4257</v>
      </c>
      <c r="QE62" s="218">
        <f t="shared" si="83"/>
        <v>4257</v>
      </c>
      <c r="QF62" s="218">
        <f t="shared" si="83"/>
        <v>4257</v>
      </c>
      <c r="QG62" s="218">
        <f t="shared" si="83"/>
        <v>4257</v>
      </c>
      <c r="QH62" s="218">
        <f t="shared" si="83"/>
        <v>4257</v>
      </c>
      <c r="QI62" s="218">
        <f t="shared" si="83"/>
        <v>4257</v>
      </c>
      <c r="QJ62" s="218">
        <f t="shared" si="83"/>
        <v>4257</v>
      </c>
      <c r="QK62" s="218">
        <f t="shared" si="83"/>
        <v>4257</v>
      </c>
      <c r="QL62" s="218">
        <f t="shared" si="83"/>
        <v>4257</v>
      </c>
      <c r="QM62" s="218">
        <f t="shared" ref="QM62:SX62" si="84">QL62+QM61</f>
        <v>4257</v>
      </c>
      <c r="QN62" s="218">
        <f t="shared" si="84"/>
        <v>4257</v>
      </c>
      <c r="QO62" s="218">
        <f t="shared" si="84"/>
        <v>4257</v>
      </c>
      <c r="QP62" s="218">
        <f t="shared" si="84"/>
        <v>4257</v>
      </c>
      <c r="QQ62" s="218">
        <f t="shared" si="84"/>
        <v>4257</v>
      </c>
      <c r="QR62" s="218">
        <f t="shared" si="84"/>
        <v>4257</v>
      </c>
      <c r="QS62" s="218">
        <f t="shared" si="84"/>
        <v>4257</v>
      </c>
      <c r="QT62" s="218">
        <f t="shared" si="84"/>
        <v>4257</v>
      </c>
      <c r="QU62" s="218">
        <f t="shared" si="84"/>
        <v>4257</v>
      </c>
      <c r="QV62" s="218">
        <f t="shared" si="84"/>
        <v>4257</v>
      </c>
      <c r="QW62" s="218">
        <f t="shared" si="84"/>
        <v>4257</v>
      </c>
      <c r="QX62" s="218">
        <f t="shared" si="84"/>
        <v>4257</v>
      </c>
      <c r="QY62" s="218">
        <f t="shared" si="84"/>
        <v>4257</v>
      </c>
      <c r="QZ62" s="218">
        <f t="shared" si="84"/>
        <v>4257</v>
      </c>
      <c r="RA62" s="218">
        <f t="shared" si="84"/>
        <v>4257</v>
      </c>
      <c r="RB62" s="218">
        <f t="shared" si="84"/>
        <v>4257</v>
      </c>
      <c r="RC62" s="218">
        <f t="shared" si="84"/>
        <v>4257</v>
      </c>
      <c r="RD62" s="218">
        <f t="shared" si="84"/>
        <v>4257</v>
      </c>
      <c r="RE62" s="218">
        <f t="shared" si="84"/>
        <v>4257</v>
      </c>
      <c r="RF62" s="218">
        <f t="shared" si="84"/>
        <v>4257</v>
      </c>
      <c r="RG62" s="218">
        <f t="shared" si="84"/>
        <v>4257</v>
      </c>
      <c r="RH62" s="218">
        <f t="shared" si="84"/>
        <v>4257</v>
      </c>
      <c r="RI62" s="218">
        <f t="shared" si="84"/>
        <v>4257</v>
      </c>
      <c r="RJ62" s="218">
        <f t="shared" si="84"/>
        <v>4257</v>
      </c>
      <c r="RK62" s="218">
        <f t="shared" si="84"/>
        <v>4257</v>
      </c>
      <c r="RL62" s="218">
        <f t="shared" si="84"/>
        <v>4257</v>
      </c>
      <c r="RM62" s="218">
        <f t="shared" si="84"/>
        <v>4257</v>
      </c>
      <c r="RN62" s="218">
        <f t="shared" si="84"/>
        <v>4257</v>
      </c>
      <c r="RO62" s="218">
        <f t="shared" si="84"/>
        <v>4257</v>
      </c>
      <c r="RP62" s="218">
        <f t="shared" si="84"/>
        <v>4257</v>
      </c>
      <c r="RQ62" s="218">
        <f t="shared" si="84"/>
        <v>4257</v>
      </c>
      <c r="RR62" s="218">
        <f t="shared" si="84"/>
        <v>4257</v>
      </c>
      <c r="RS62" s="218">
        <f t="shared" si="84"/>
        <v>4257</v>
      </c>
      <c r="RT62" s="218">
        <f t="shared" si="84"/>
        <v>4257</v>
      </c>
      <c r="RU62" s="218">
        <f t="shared" si="84"/>
        <v>4257</v>
      </c>
      <c r="RV62" s="218">
        <f t="shared" si="84"/>
        <v>4257</v>
      </c>
      <c r="RW62" s="218">
        <f t="shared" si="84"/>
        <v>4257</v>
      </c>
      <c r="RX62" s="218">
        <f t="shared" si="84"/>
        <v>4257</v>
      </c>
      <c r="RY62" s="218">
        <f t="shared" si="84"/>
        <v>4257</v>
      </c>
      <c r="RZ62" s="218">
        <f t="shared" si="84"/>
        <v>4257</v>
      </c>
      <c r="SA62" s="218">
        <f t="shared" si="84"/>
        <v>4257</v>
      </c>
      <c r="SB62" s="218">
        <f t="shared" si="84"/>
        <v>4257</v>
      </c>
      <c r="SC62" s="218">
        <f t="shared" si="84"/>
        <v>4257</v>
      </c>
      <c r="SD62" s="218">
        <f t="shared" si="84"/>
        <v>4257</v>
      </c>
      <c r="SE62" s="218">
        <f t="shared" si="84"/>
        <v>4257</v>
      </c>
      <c r="SF62" s="218">
        <f t="shared" si="84"/>
        <v>4257</v>
      </c>
      <c r="SG62" s="218">
        <f t="shared" si="84"/>
        <v>4257</v>
      </c>
      <c r="SH62" s="218">
        <f t="shared" si="84"/>
        <v>4257</v>
      </c>
      <c r="SI62" s="218">
        <f t="shared" si="84"/>
        <v>4257</v>
      </c>
      <c r="SJ62" s="218">
        <f t="shared" si="84"/>
        <v>4257</v>
      </c>
      <c r="SK62" s="218">
        <f t="shared" si="84"/>
        <v>4257</v>
      </c>
      <c r="SL62" s="218">
        <f t="shared" si="84"/>
        <v>4257</v>
      </c>
      <c r="SM62" s="218">
        <f t="shared" si="84"/>
        <v>4257</v>
      </c>
      <c r="SN62" s="218">
        <f t="shared" si="84"/>
        <v>4257</v>
      </c>
      <c r="SO62" s="218">
        <f t="shared" si="84"/>
        <v>4257</v>
      </c>
      <c r="SP62" s="218">
        <f t="shared" si="84"/>
        <v>4257</v>
      </c>
      <c r="SQ62" s="218">
        <f t="shared" si="84"/>
        <v>4257</v>
      </c>
      <c r="SR62" s="218">
        <f t="shared" si="84"/>
        <v>4257</v>
      </c>
      <c r="SS62" s="218">
        <f t="shared" si="84"/>
        <v>4257</v>
      </c>
      <c r="ST62" s="218">
        <f t="shared" si="84"/>
        <v>4257</v>
      </c>
      <c r="SU62" s="218">
        <f t="shared" si="84"/>
        <v>4257</v>
      </c>
      <c r="SV62" s="218">
        <f t="shared" si="84"/>
        <v>4257</v>
      </c>
      <c r="SW62" s="218">
        <f t="shared" si="84"/>
        <v>4257</v>
      </c>
      <c r="SX62" s="218">
        <f t="shared" si="84"/>
        <v>4257</v>
      </c>
      <c r="SY62" s="218">
        <f t="shared" ref="SY62:US62" si="85">SX62+SY61</f>
        <v>4257</v>
      </c>
      <c r="SZ62" s="218">
        <f t="shared" si="85"/>
        <v>4257</v>
      </c>
      <c r="TA62" s="218">
        <f t="shared" si="85"/>
        <v>4257</v>
      </c>
      <c r="TB62" s="218">
        <f t="shared" si="85"/>
        <v>4257</v>
      </c>
      <c r="TC62" s="218">
        <f t="shared" si="85"/>
        <v>4257</v>
      </c>
      <c r="TD62" s="218">
        <f t="shared" si="85"/>
        <v>4257</v>
      </c>
      <c r="TE62" s="218">
        <f t="shared" si="85"/>
        <v>4257</v>
      </c>
      <c r="TF62" s="218">
        <f t="shared" si="85"/>
        <v>4257</v>
      </c>
      <c r="TG62" s="218">
        <f t="shared" si="85"/>
        <v>4257</v>
      </c>
      <c r="TH62" s="218">
        <f t="shared" si="85"/>
        <v>4257</v>
      </c>
      <c r="TI62" s="218">
        <f t="shared" si="85"/>
        <v>4257</v>
      </c>
      <c r="TJ62" s="218">
        <f t="shared" si="85"/>
        <v>4257</v>
      </c>
      <c r="TK62" s="218">
        <f t="shared" si="85"/>
        <v>4257</v>
      </c>
      <c r="TL62" s="218">
        <f t="shared" si="85"/>
        <v>4257</v>
      </c>
      <c r="TM62" s="218">
        <f t="shared" si="85"/>
        <v>4257</v>
      </c>
      <c r="TN62" s="218">
        <f t="shared" si="85"/>
        <v>4257</v>
      </c>
      <c r="TO62" s="218">
        <f t="shared" si="85"/>
        <v>4257</v>
      </c>
      <c r="TP62" s="218">
        <f t="shared" si="85"/>
        <v>4257</v>
      </c>
      <c r="TQ62" s="218">
        <f t="shared" si="85"/>
        <v>4257</v>
      </c>
      <c r="TR62" s="218">
        <f t="shared" si="85"/>
        <v>4257</v>
      </c>
      <c r="TS62" s="218">
        <f t="shared" si="85"/>
        <v>4257</v>
      </c>
      <c r="TT62" s="218">
        <f t="shared" si="85"/>
        <v>4257</v>
      </c>
      <c r="TU62" s="218">
        <f t="shared" si="85"/>
        <v>4257</v>
      </c>
      <c r="TV62" s="218">
        <f t="shared" si="85"/>
        <v>4257</v>
      </c>
      <c r="TW62" s="218">
        <f t="shared" si="85"/>
        <v>4257</v>
      </c>
      <c r="TX62" s="218">
        <f t="shared" si="85"/>
        <v>4257</v>
      </c>
      <c r="TY62" s="218">
        <f t="shared" si="85"/>
        <v>4257</v>
      </c>
      <c r="TZ62" s="218">
        <f t="shared" si="85"/>
        <v>4257</v>
      </c>
      <c r="UA62" s="218">
        <f t="shared" si="85"/>
        <v>4257</v>
      </c>
      <c r="UB62" s="218">
        <f t="shared" si="85"/>
        <v>4257</v>
      </c>
      <c r="UC62" s="218">
        <f t="shared" si="85"/>
        <v>4257</v>
      </c>
      <c r="UD62" s="218">
        <f t="shared" si="85"/>
        <v>4257</v>
      </c>
      <c r="UE62" s="218">
        <f t="shared" si="85"/>
        <v>4257</v>
      </c>
      <c r="UF62" s="218">
        <f t="shared" si="85"/>
        <v>4257</v>
      </c>
      <c r="UG62" s="218">
        <f t="shared" si="85"/>
        <v>4257</v>
      </c>
      <c r="UH62" s="218">
        <f t="shared" si="85"/>
        <v>4257</v>
      </c>
      <c r="UI62" s="218">
        <f t="shared" si="85"/>
        <v>4257</v>
      </c>
      <c r="UJ62" s="218">
        <f t="shared" si="85"/>
        <v>4257</v>
      </c>
      <c r="UK62" s="218">
        <f t="shared" si="85"/>
        <v>4257</v>
      </c>
      <c r="UL62" s="218">
        <f t="shared" si="85"/>
        <v>4257</v>
      </c>
      <c r="UM62" s="218">
        <f t="shared" si="85"/>
        <v>4257</v>
      </c>
      <c r="UN62" s="218">
        <f t="shared" si="85"/>
        <v>4257</v>
      </c>
      <c r="UO62" s="218">
        <f t="shared" si="85"/>
        <v>4257</v>
      </c>
      <c r="UP62" s="218">
        <f t="shared" si="85"/>
        <v>4257</v>
      </c>
      <c r="UQ62" s="218">
        <f t="shared" si="85"/>
        <v>4257</v>
      </c>
      <c r="UR62" s="218">
        <f t="shared" si="85"/>
        <v>4257</v>
      </c>
      <c r="US62" s="218">
        <f t="shared" si="85"/>
        <v>4257</v>
      </c>
    </row>
    <row r="63" spans="2:572" x14ac:dyDescent="0.3">
      <c r="B63" s="223" t="s">
        <v>111</v>
      </c>
      <c r="C63" s="224"/>
    </row>
    <row r="64" spans="2:572" x14ac:dyDescent="0.3">
      <c r="B64" s="225">
        <v>44116</v>
      </c>
      <c r="C64" s="226" t="s">
        <v>110</v>
      </c>
    </row>
    <row r="65" spans="2:3" x14ac:dyDescent="0.3">
      <c r="B65" s="225">
        <v>44137</v>
      </c>
      <c r="C65" s="226" t="s">
        <v>109</v>
      </c>
    </row>
    <row r="66" spans="2:3" x14ac:dyDescent="0.3">
      <c r="B66" s="225">
        <v>44150</v>
      </c>
      <c r="C66" s="226" t="s">
        <v>108</v>
      </c>
    </row>
    <row r="67" spans="2:3" x14ac:dyDescent="0.3">
      <c r="B67" s="225">
        <v>44189</v>
      </c>
      <c r="C67" s="226" t="s">
        <v>107</v>
      </c>
    </row>
    <row r="68" spans="2:3" x14ac:dyDescent="0.3">
      <c r="B68" s="225">
        <v>44190</v>
      </c>
      <c r="C68" s="226" t="s">
        <v>106</v>
      </c>
    </row>
    <row r="69" spans="2:3" x14ac:dyDescent="0.3">
      <c r="B69" s="225">
        <v>44196</v>
      </c>
      <c r="C69" s="226" t="s">
        <v>105</v>
      </c>
    </row>
    <row r="70" spans="2:3" x14ac:dyDescent="0.3">
      <c r="B70" s="225">
        <v>43831</v>
      </c>
      <c r="C70" s="226" t="s">
        <v>104</v>
      </c>
    </row>
    <row r="71" spans="2:3" x14ac:dyDescent="0.3">
      <c r="B71" s="225">
        <v>43886</v>
      </c>
      <c r="C71" s="226" t="s">
        <v>103</v>
      </c>
    </row>
    <row r="72" spans="2:3" x14ac:dyDescent="0.3">
      <c r="B72" s="225">
        <v>43887</v>
      </c>
      <c r="C72" s="226" t="s">
        <v>102</v>
      </c>
    </row>
    <row r="73" spans="2:3" x14ac:dyDescent="0.3">
      <c r="B73" s="225">
        <v>43931</v>
      </c>
      <c r="C73" s="226" t="s">
        <v>101</v>
      </c>
    </row>
    <row r="74" spans="2:3" x14ac:dyDescent="0.3">
      <c r="B74" s="225">
        <v>43952</v>
      </c>
      <c r="C74" s="226" t="s">
        <v>100</v>
      </c>
    </row>
    <row r="75" spans="2:3" x14ac:dyDescent="0.3">
      <c r="B75" s="225">
        <v>44081</v>
      </c>
      <c r="C75" s="226" t="s">
        <v>99</v>
      </c>
    </row>
    <row r="76" spans="2:3" x14ac:dyDescent="0.3">
      <c r="B76" s="225"/>
      <c r="C76" s="226"/>
    </row>
    <row r="77" spans="2:3" x14ac:dyDescent="0.3">
      <c r="B77" s="227"/>
      <c r="C77" s="226"/>
    </row>
    <row r="78" spans="2:3" x14ac:dyDescent="0.3">
      <c r="B78" s="228"/>
      <c r="C78" s="229"/>
    </row>
  </sheetData>
  <mergeCells count="168">
    <mergeCell ref="UK15:UQ15"/>
    <mergeCell ref="PH15:PN15"/>
    <mergeCell ref="PO15:PU15"/>
    <mergeCell ref="PV15:QB15"/>
    <mergeCell ref="QC15:QI15"/>
    <mergeCell ref="QJ15:QP15"/>
    <mergeCell ref="QQ15:QW15"/>
    <mergeCell ref="RZ15:SF15"/>
    <mergeCell ref="SG15:SM15"/>
    <mergeCell ref="SN15:ST15"/>
    <mergeCell ref="MW15:NC15"/>
    <mergeCell ref="ND15:NJ15"/>
    <mergeCell ref="NK15:NQ15"/>
    <mergeCell ref="LN15:LT15"/>
    <mergeCell ref="TB15:TH15"/>
    <mergeCell ref="TI15:TO15"/>
    <mergeCell ref="TP15:TV15"/>
    <mergeCell ref="TW15:UC15"/>
    <mergeCell ref="UD15:UJ15"/>
    <mergeCell ref="SU15:TA15"/>
    <mergeCell ref="QX15:RD15"/>
    <mergeCell ref="RE15:RK15"/>
    <mergeCell ref="RL15:RR15"/>
    <mergeCell ref="NR15:NX15"/>
    <mergeCell ref="NY15:OE15"/>
    <mergeCell ref="OF15:OL15"/>
    <mergeCell ref="OM15:OS15"/>
    <mergeCell ref="OT15:OZ15"/>
    <mergeCell ref="PA15:PG15"/>
    <mergeCell ref="RS15:RY15"/>
    <mergeCell ref="DZ15:EF15"/>
    <mergeCell ref="HM15:HS15"/>
    <mergeCell ref="HT15:HZ15"/>
    <mergeCell ref="IA15:IG15"/>
    <mergeCell ref="IH15:IN15"/>
    <mergeCell ref="FI15:FO15"/>
    <mergeCell ref="FP15:FV15"/>
    <mergeCell ref="FW15:GC15"/>
    <mergeCell ref="GD15:GJ15"/>
    <mergeCell ref="GK15:GQ15"/>
    <mergeCell ref="GR15:GX15"/>
    <mergeCell ref="LG11:LM11"/>
    <mergeCell ref="LN11:LT11"/>
    <mergeCell ref="LU11:MA11"/>
    <mergeCell ref="MB11:MH11"/>
    <mergeCell ref="MI11:MO11"/>
    <mergeCell ref="MP11:MV11"/>
    <mergeCell ref="FB11:FH11"/>
    <mergeCell ref="LU15:MA15"/>
    <mergeCell ref="MB15:MH15"/>
    <mergeCell ref="MI15:MO15"/>
    <mergeCell ref="MP15:MV15"/>
    <mergeCell ref="LG15:LM15"/>
    <mergeCell ref="JQ15:JW15"/>
    <mergeCell ref="JX15:KD15"/>
    <mergeCell ref="KE15:KK15"/>
    <mergeCell ref="KL15:KR15"/>
    <mergeCell ref="KS15:KY15"/>
    <mergeCell ref="KZ15:LF15"/>
    <mergeCell ref="BA15:BG15"/>
    <mergeCell ref="BH15:BN15"/>
    <mergeCell ref="BO15:BU15"/>
    <mergeCell ref="JQ11:JW11"/>
    <mergeCell ref="JX11:KD11"/>
    <mergeCell ref="FW11:GC11"/>
    <mergeCell ref="GD11:GJ11"/>
    <mergeCell ref="GK11:GQ11"/>
    <mergeCell ref="GR11:GX11"/>
    <mergeCell ref="GY11:HE11"/>
    <mergeCell ref="HF11:HL11"/>
    <mergeCell ref="IO11:IU11"/>
    <mergeCell ref="IV11:JB11"/>
    <mergeCell ref="EG15:EM15"/>
    <mergeCell ref="EN15:ET15"/>
    <mergeCell ref="EU15:FA15"/>
    <mergeCell ref="BV15:CB15"/>
    <mergeCell ref="CC15:CI15"/>
    <mergeCell ref="CJ15:CP15"/>
    <mergeCell ref="CQ15:CW15"/>
    <mergeCell ref="CX15:DD15"/>
    <mergeCell ref="DE15:DK15"/>
    <mergeCell ref="DL15:DR15"/>
    <mergeCell ref="DS15:DY15"/>
    <mergeCell ref="UD11:UJ11"/>
    <mergeCell ref="RE11:RK11"/>
    <mergeCell ref="RL11:RR11"/>
    <mergeCell ref="SU11:TA11"/>
    <mergeCell ref="PV11:QB11"/>
    <mergeCell ref="DL11:DR11"/>
    <mergeCell ref="K11:Q11"/>
    <mergeCell ref="R11:X11"/>
    <mergeCell ref="Y11:AE11"/>
    <mergeCell ref="AF11:AL11"/>
    <mergeCell ref="AM11:AS11"/>
    <mergeCell ref="MW11:NC11"/>
    <mergeCell ref="ND11:NJ11"/>
    <mergeCell ref="NK11:NQ11"/>
    <mergeCell ref="CX11:DD11"/>
    <mergeCell ref="DE11:DK11"/>
    <mergeCell ref="TB11:TH11"/>
    <mergeCell ref="TI11:TO11"/>
    <mergeCell ref="NY11:OE11"/>
    <mergeCell ref="OF11:OL11"/>
    <mergeCell ref="OM11:OS11"/>
    <mergeCell ref="OT11:OZ11"/>
    <mergeCell ref="PA11:PG11"/>
    <mergeCell ref="PH11:PN11"/>
    <mergeCell ref="E13:E14"/>
    <mergeCell ref="F11:J11"/>
    <mergeCell ref="AT11:AZ11"/>
    <mergeCell ref="EU11:FA11"/>
    <mergeCell ref="FI11:FO11"/>
    <mergeCell ref="DS11:DY11"/>
    <mergeCell ref="BA11:BG11"/>
    <mergeCell ref="BH11:BN11"/>
    <mergeCell ref="BO11:BU11"/>
    <mergeCell ref="BV11:CB11"/>
    <mergeCell ref="CC11:CI11"/>
    <mergeCell ref="CJ11:CP11"/>
    <mergeCell ref="CQ11:CW11"/>
    <mergeCell ref="F15:J15"/>
    <mergeCell ref="K15:Q15"/>
    <mergeCell ref="R15:X15"/>
    <mergeCell ref="Y15:AE15"/>
    <mergeCell ref="KE11:KK11"/>
    <mergeCell ref="KL11:KR11"/>
    <mergeCell ref="HM11:HS11"/>
    <mergeCell ref="HT11:HZ11"/>
    <mergeCell ref="IA11:IG11"/>
    <mergeCell ref="EN11:ET11"/>
    <mergeCell ref="FB15:FH15"/>
    <mergeCell ref="IO15:IU15"/>
    <mergeCell ref="IV15:JB15"/>
    <mergeCell ref="JC15:JI15"/>
    <mergeCell ref="JJ15:JP15"/>
    <mergeCell ref="IH11:IN11"/>
    <mergeCell ref="FP11:FV11"/>
    <mergeCell ref="JJ11:JP11"/>
    <mergeCell ref="JC11:JI11"/>
    <mergeCell ref="GY15:HE15"/>
    <mergeCell ref="HF15:HL15"/>
    <mergeCell ref="AF15:AL15"/>
    <mergeCell ref="AM15:AS15"/>
    <mergeCell ref="AT15:AZ15"/>
    <mergeCell ref="B2:US2"/>
    <mergeCell ref="B3:US3"/>
    <mergeCell ref="B4:US4"/>
    <mergeCell ref="B9:US9"/>
    <mergeCell ref="B11:B12"/>
    <mergeCell ref="C11:D12"/>
    <mergeCell ref="DZ11:EF11"/>
    <mergeCell ref="EG11:EM11"/>
    <mergeCell ref="KS11:KY11"/>
    <mergeCell ref="KZ11:LF11"/>
    <mergeCell ref="E11:E12"/>
    <mergeCell ref="NR11:NX11"/>
    <mergeCell ref="TP11:TV11"/>
    <mergeCell ref="TW11:UC11"/>
    <mergeCell ref="QC11:QI11"/>
    <mergeCell ref="QJ11:QP11"/>
    <mergeCell ref="QQ11:QW11"/>
    <mergeCell ref="QX11:RD11"/>
    <mergeCell ref="UK11:UQ11"/>
    <mergeCell ref="RS11:RY11"/>
    <mergeCell ref="RZ11:SF11"/>
    <mergeCell ref="SG11:SM11"/>
    <mergeCell ref="SN11:ST11"/>
    <mergeCell ref="PO11:PU11"/>
  </mergeCells>
  <conditionalFormatting sqref="F12:L14">
    <cfRule type="cellIs" dxfId="146" priority="1" operator="equal">
      <formula>0</formula>
    </cfRule>
  </conditionalFormatting>
  <conditionalFormatting sqref="F16:Q16 AS16 Y17:AA21 AH17:AJ21 Y23:AA53 AH23:AJ53 AM17:US17 AM18:EA21 EC18:US21 AM23:EA50 EC23:US50 AM51:US53 F17:O18 P17:V21 F19:G21 I19:J21 M19:O21 F23:G35 I23:J35 M23:O35 P23:V53 F36:O53">
    <cfRule type="expression" dxfId="145" priority="469">
      <formula>F$13="dom"</formula>
    </cfRule>
  </conditionalFormatting>
  <conditionalFormatting sqref="F16:Q16 AS16 Y17:AA21 AH17:AJ21 Y23:AA53 AH23:AJ53">
    <cfRule type="expression" dxfId="144" priority="468">
      <formula>OR($B$64=F$14,$B$65=F$14,$B$66=F$14,$B$67=F$14,$B$68=F$14,$B$69=F$14,$B$70=F$14,$B$71=F$14,$B$72=F$14,$B$73=F$14,$B$74=F$14,$B$75=F$14,$B$76=F$14,$B$77=F$14,$B$78=F$14)</formula>
    </cfRule>
  </conditionalFormatting>
  <conditionalFormatting sqref="F17:V21 F23:V53">
    <cfRule type="expression" dxfId="143" priority="5">
      <formula>OR($B$64=F$14,$B$65=F$14,$B$66=F$14,$B$67=F$14,$B$68=F$14,$B$69=F$14,$B$70=F$14,$B$71=F$14,$B$72=F$14,$B$73=F$14,$B$74=F$14,$B$75=F$14,$B$76=F$14,$B$77=F$14,$B$78=F$14)</formula>
    </cfRule>
  </conditionalFormatting>
  <conditionalFormatting sqref="H19:H21 H23:H35">
    <cfRule type="expression" dxfId="142" priority="10">
      <formula>H$13="dom"</formula>
    </cfRule>
  </conditionalFormatting>
  <conditionalFormatting sqref="K19:L21 K23:L35">
    <cfRule type="expression" dxfId="141" priority="6">
      <formula>K$13="dom"</formula>
    </cfRule>
  </conditionalFormatting>
  <conditionalFormatting sqref="L8 P8 T8 X8 AB8 AF8 AJ8 AN8 AR8 AV8:AZ8 BD8 BH8 BL8:BP8 BT8 UM8 UQ8">
    <cfRule type="cellIs" dxfId="140" priority="467" operator="equal">
      <formula>"d"</formula>
    </cfRule>
  </conditionalFormatting>
  <conditionalFormatting sqref="M13:US14">
    <cfRule type="cellIs" dxfId="139" priority="15" operator="equal">
      <formula>0</formula>
    </cfRule>
  </conditionalFormatting>
  <conditionalFormatting sqref="M12:UZ12">
    <cfRule type="cellIs" dxfId="138" priority="13" operator="equal">
      <formula>0</formula>
    </cfRule>
  </conditionalFormatting>
  <conditionalFormatting sqref="R16:X16 W17:X21 W23:X53">
    <cfRule type="expression" dxfId="137" priority="472">
      <formula>OR($B$64=Q$14,$B$65=Q$14,$B$66=Q$14,$B$67=Q$14,$B$68=Q$14,$B$69=Q$14,$B$70=Q$14,$B$71=Q$14,$B$72=Q$14,$B$73=Q$14,$B$74=Q$14,$B$75=Q$14,$B$76=Q$14,$B$77=Q$14,$B$78=Q$14)</formula>
    </cfRule>
    <cfRule type="expression" dxfId="136" priority="473">
      <formula>Q$13="dom"</formula>
    </cfRule>
  </conditionalFormatting>
  <conditionalFormatting sqref="S13:S14">
    <cfRule type="cellIs" dxfId="135" priority="407" operator="equal">
      <formula>"d"</formula>
    </cfRule>
  </conditionalFormatting>
  <conditionalFormatting sqref="Y16:AK16 AM16:AR16 AT16 AV16:UU16 AL16:AL21 AB17:AG21 AK17:AK21 AB23:AG53 AK23:AL53">
    <cfRule type="expression" dxfId="134" priority="492">
      <formula>OR($B$64=W$14,$B$65=W$14,$B$66=W$14,$B$67=W$14,$B$68=W$14,$B$69=W$14,$B$70=W$14,$B$71=W$14,$B$72=W$14,$B$73=W$14,$B$74=W$14,$B$75=W$14,$B$76=W$14,$B$77=W$14,$B$78=W$14)</formula>
    </cfRule>
    <cfRule type="expression" dxfId="133" priority="493">
      <formula>W$13="dom"</formula>
    </cfRule>
  </conditionalFormatting>
  <conditionalFormatting sqref="Z13:Z14">
    <cfRule type="cellIs" dxfId="132" priority="403" operator="equal">
      <formula>"d"</formula>
    </cfRule>
  </conditionalFormatting>
  <conditionalFormatting sqref="AG13:AG14">
    <cfRule type="cellIs" dxfId="131" priority="397" operator="equal">
      <formula>"d"</formula>
    </cfRule>
  </conditionalFormatting>
  <conditionalFormatting sqref="AM17:US21 AM23:US53">
    <cfRule type="expression" dxfId="130" priority="11">
      <formula>OR($B$64=AM$14,$B$65=AM$14,$B$66=AM$14,$B$67=AM$14,$B$68=AM$14,$B$69=AM$14,$B$70=AM$14,$B$71=AM$14,$B$72=AM$14,$B$73=AM$14,$B$74=AM$14,$B$75=AM$14,$B$76=AM$14,$B$77=AM$14,$B$78=AM$14)</formula>
    </cfRule>
  </conditionalFormatting>
  <conditionalFormatting sqref="AN13:AN14">
    <cfRule type="cellIs" dxfId="129" priority="392" operator="equal">
      <formula>"d"</formula>
    </cfRule>
  </conditionalFormatting>
  <conditionalFormatting sqref="AU13:AU14">
    <cfRule type="cellIs" dxfId="128" priority="388" operator="equal">
      <formula>"d"</formula>
    </cfRule>
  </conditionalFormatting>
  <conditionalFormatting sqref="BB13:BB14">
    <cfRule type="cellIs" dxfId="127" priority="382" operator="equal">
      <formula>"d"</formula>
    </cfRule>
  </conditionalFormatting>
  <conditionalFormatting sqref="BI13:BI14">
    <cfRule type="cellIs" dxfId="126" priority="377" operator="equal">
      <formula>"d"</formula>
    </cfRule>
  </conditionalFormatting>
  <conditionalFormatting sqref="BP13:BP14">
    <cfRule type="cellIs" dxfId="125" priority="373" operator="equal">
      <formula>"d"</formula>
    </cfRule>
  </conditionalFormatting>
  <conditionalFormatting sqref="BW13:BW14">
    <cfRule type="cellIs" dxfId="124" priority="367" operator="equal">
      <formula>"d"</formula>
    </cfRule>
  </conditionalFormatting>
  <conditionalFormatting sqref="BX8 CB8">
    <cfRule type="cellIs" dxfId="123" priority="459" operator="equal">
      <formula>"d"</formula>
    </cfRule>
  </conditionalFormatting>
  <conditionalFormatting sqref="CD13:CD14">
    <cfRule type="cellIs" dxfId="122" priority="362" operator="equal">
      <formula>"d"</formula>
    </cfRule>
  </conditionalFormatting>
  <conditionalFormatting sqref="CE8 CI8">
    <cfRule type="cellIs" dxfId="121" priority="460" operator="equal">
      <formula>"d"</formula>
    </cfRule>
  </conditionalFormatting>
  <conditionalFormatting sqref="CK13:CK14">
    <cfRule type="cellIs" dxfId="120" priority="358" operator="equal">
      <formula>"d"</formula>
    </cfRule>
  </conditionalFormatting>
  <conditionalFormatting sqref="CL8 CP8">
    <cfRule type="cellIs" dxfId="119" priority="461" operator="equal">
      <formula>"d"</formula>
    </cfRule>
  </conditionalFormatting>
  <conditionalFormatting sqref="CR13:CR14">
    <cfRule type="cellIs" dxfId="118" priority="352" operator="equal">
      <formula>"d"</formula>
    </cfRule>
  </conditionalFormatting>
  <conditionalFormatting sqref="CS8 CW8">
    <cfRule type="cellIs" dxfId="117" priority="454" operator="equal">
      <formula>"d"</formula>
    </cfRule>
  </conditionalFormatting>
  <conditionalFormatting sqref="CY13:CY14">
    <cfRule type="cellIs" dxfId="116" priority="347" operator="equal">
      <formula>"d"</formula>
    </cfRule>
  </conditionalFormatting>
  <conditionalFormatting sqref="CZ8 DD8">
    <cfRule type="cellIs" dxfId="115" priority="455" operator="equal">
      <formula>"d"</formula>
    </cfRule>
  </conditionalFormatting>
  <conditionalFormatting sqref="DF13:DF14">
    <cfRule type="cellIs" dxfId="114" priority="343" operator="equal">
      <formula>"d"</formula>
    </cfRule>
  </conditionalFormatting>
  <conditionalFormatting sqref="DG8 DK8">
    <cfRule type="cellIs" dxfId="113" priority="456" operator="equal">
      <formula>"d"</formula>
    </cfRule>
  </conditionalFormatting>
  <conditionalFormatting sqref="DM13:DM14">
    <cfRule type="cellIs" dxfId="112" priority="337" operator="equal">
      <formula>"d"</formula>
    </cfRule>
  </conditionalFormatting>
  <conditionalFormatting sqref="DN8 DR8">
    <cfRule type="cellIs" dxfId="111" priority="457" operator="equal">
      <formula>"d"</formula>
    </cfRule>
  </conditionalFormatting>
  <conditionalFormatting sqref="DT13:DT14">
    <cfRule type="cellIs" dxfId="110" priority="332" operator="equal">
      <formula>"d"</formula>
    </cfRule>
  </conditionalFormatting>
  <conditionalFormatting sqref="DU8 DY8">
    <cfRule type="cellIs" dxfId="109" priority="458" operator="equal">
      <formula>"d"</formula>
    </cfRule>
  </conditionalFormatting>
  <conditionalFormatting sqref="EA13:EA14">
    <cfRule type="cellIs" dxfId="108" priority="328" operator="equal">
      <formula>"d"</formula>
    </cfRule>
  </conditionalFormatting>
  <conditionalFormatting sqref="EB8 EF8">
    <cfRule type="cellIs" dxfId="107" priority="462" operator="equal">
      <formula>"d"</formula>
    </cfRule>
  </conditionalFormatting>
  <conditionalFormatting sqref="EB18:EB21 EB23:EB50">
    <cfRule type="expression" dxfId="106" priority="12">
      <formula>EB$13="dom"</formula>
    </cfRule>
  </conditionalFormatting>
  <conditionalFormatting sqref="EH13:EH14">
    <cfRule type="cellIs" dxfId="105" priority="322" operator="equal">
      <formula>"d"</formula>
    </cfRule>
  </conditionalFormatting>
  <conditionalFormatting sqref="EI8 EM8">
    <cfRule type="cellIs" dxfId="104" priority="463" operator="equal">
      <formula>"d"</formula>
    </cfRule>
  </conditionalFormatting>
  <conditionalFormatting sqref="EO13:EO14">
    <cfRule type="cellIs" dxfId="103" priority="317" operator="equal">
      <formula>"d"</formula>
    </cfRule>
  </conditionalFormatting>
  <conditionalFormatting sqref="EP8 ET8">
    <cfRule type="cellIs" dxfId="102" priority="464" operator="equal">
      <formula>"d"</formula>
    </cfRule>
  </conditionalFormatting>
  <conditionalFormatting sqref="EV13:EV14">
    <cfRule type="cellIs" dxfId="101" priority="313" operator="equal">
      <formula>"d"</formula>
    </cfRule>
  </conditionalFormatting>
  <conditionalFormatting sqref="EW8 FA8">
    <cfRule type="cellIs" dxfId="100" priority="465" operator="equal">
      <formula>"d"</formula>
    </cfRule>
  </conditionalFormatting>
  <conditionalFormatting sqref="FC13:FC14">
    <cfRule type="cellIs" dxfId="99" priority="307" operator="equal">
      <formula>"d"</formula>
    </cfRule>
  </conditionalFormatting>
  <conditionalFormatting sqref="FD8 FH8">
    <cfRule type="cellIs" dxfId="98" priority="446" operator="equal">
      <formula>"d"</formula>
    </cfRule>
  </conditionalFormatting>
  <conditionalFormatting sqref="FJ13:FJ14">
    <cfRule type="cellIs" dxfId="97" priority="302" operator="equal">
      <formula>"d"</formula>
    </cfRule>
  </conditionalFormatting>
  <conditionalFormatting sqref="FK8 FO8">
    <cfRule type="cellIs" dxfId="96" priority="447" operator="equal">
      <formula>"d"</formula>
    </cfRule>
  </conditionalFormatting>
  <conditionalFormatting sqref="FQ13:FQ14">
    <cfRule type="cellIs" dxfId="95" priority="298" operator="equal">
      <formula>"d"</formula>
    </cfRule>
  </conditionalFormatting>
  <conditionalFormatting sqref="FR8 FV8">
    <cfRule type="cellIs" dxfId="94" priority="448" operator="equal">
      <formula>"d"</formula>
    </cfRule>
  </conditionalFormatting>
  <conditionalFormatting sqref="FX13:FX14">
    <cfRule type="cellIs" dxfId="93" priority="292" operator="equal">
      <formula>"d"</formula>
    </cfRule>
  </conditionalFormatting>
  <conditionalFormatting sqref="FY8 GC8">
    <cfRule type="cellIs" dxfId="92" priority="449" operator="equal">
      <formula>"d"</formula>
    </cfRule>
  </conditionalFormatting>
  <conditionalFormatting sqref="GE13:GE14">
    <cfRule type="cellIs" dxfId="91" priority="287" operator="equal">
      <formula>"d"</formula>
    </cfRule>
  </conditionalFormatting>
  <conditionalFormatting sqref="GF8 GJ8">
    <cfRule type="cellIs" dxfId="90" priority="450" operator="equal">
      <formula>"d"</formula>
    </cfRule>
  </conditionalFormatting>
  <conditionalFormatting sqref="GL13:GL14">
    <cfRule type="cellIs" dxfId="89" priority="283" operator="equal">
      <formula>"d"</formula>
    </cfRule>
  </conditionalFormatting>
  <conditionalFormatting sqref="GM8 GQ8">
    <cfRule type="cellIs" dxfId="88" priority="451" operator="equal">
      <formula>"d"</formula>
    </cfRule>
  </conditionalFormatting>
  <conditionalFormatting sqref="GS13:GS14">
    <cfRule type="cellIs" dxfId="87" priority="277" operator="equal">
      <formula>"d"</formula>
    </cfRule>
  </conditionalFormatting>
  <conditionalFormatting sqref="GT8 GX8">
    <cfRule type="cellIs" dxfId="86" priority="452" operator="equal">
      <formula>"d"</formula>
    </cfRule>
  </conditionalFormatting>
  <conditionalFormatting sqref="GZ13:GZ14">
    <cfRule type="cellIs" dxfId="85" priority="272" operator="equal">
      <formula>"d"</formula>
    </cfRule>
  </conditionalFormatting>
  <conditionalFormatting sqref="HA8 HE8">
    <cfRule type="cellIs" dxfId="84" priority="453" operator="equal">
      <formula>"d"</formula>
    </cfRule>
  </conditionalFormatting>
  <conditionalFormatting sqref="HG13:HG14">
    <cfRule type="cellIs" dxfId="83" priority="268" operator="equal">
      <formula>"d"</formula>
    </cfRule>
  </conditionalFormatting>
  <conditionalFormatting sqref="HK8 HO8 HS8 HW8 IA8 IE8 II8 IM8 IQ8:IU8 IY8 JC8 JG8:JK8 JO8">
    <cfRule type="cellIs" dxfId="82" priority="445" operator="equal">
      <formula>"d"</formula>
    </cfRule>
  </conditionalFormatting>
  <conditionalFormatting sqref="HN13:HN14">
    <cfRule type="cellIs" dxfId="81" priority="262" operator="equal">
      <formula>"d"</formula>
    </cfRule>
  </conditionalFormatting>
  <conditionalFormatting sqref="HU13:HU14">
    <cfRule type="cellIs" dxfId="80" priority="257" operator="equal">
      <formula>"d"</formula>
    </cfRule>
  </conditionalFormatting>
  <conditionalFormatting sqref="IB13:IB14">
    <cfRule type="cellIs" dxfId="79" priority="253" operator="equal">
      <formula>"d"</formula>
    </cfRule>
  </conditionalFormatting>
  <conditionalFormatting sqref="II13:II14">
    <cfRule type="cellIs" dxfId="78" priority="247" operator="equal">
      <formula>"d"</formula>
    </cfRule>
  </conditionalFormatting>
  <conditionalFormatting sqref="IP13:IP14">
    <cfRule type="cellIs" dxfId="77" priority="242" operator="equal">
      <formula>"d"</formula>
    </cfRule>
  </conditionalFormatting>
  <conditionalFormatting sqref="IW13:IW14">
    <cfRule type="cellIs" dxfId="76" priority="238" operator="equal">
      <formula>"d"</formula>
    </cfRule>
  </conditionalFormatting>
  <conditionalFormatting sqref="JD13:JD14">
    <cfRule type="cellIs" dxfId="75" priority="232" operator="equal">
      <formula>"d"</formula>
    </cfRule>
  </conditionalFormatting>
  <conditionalFormatting sqref="JK13:JK14">
    <cfRule type="cellIs" dxfId="74" priority="227" operator="equal">
      <formula>"d"</formula>
    </cfRule>
  </conditionalFormatting>
  <conditionalFormatting sqref="JR13:JR14">
    <cfRule type="cellIs" dxfId="73" priority="223" operator="equal">
      <formula>"d"</formula>
    </cfRule>
  </conditionalFormatting>
  <conditionalFormatting sqref="JS8 JW8">
    <cfRule type="cellIs" dxfId="72" priority="438" operator="equal">
      <formula>"d"</formula>
    </cfRule>
  </conditionalFormatting>
  <conditionalFormatting sqref="JY13:JY14">
    <cfRule type="cellIs" dxfId="71" priority="217" operator="equal">
      <formula>"d"</formula>
    </cfRule>
  </conditionalFormatting>
  <conditionalFormatting sqref="JZ8 KD8">
    <cfRule type="cellIs" dxfId="70" priority="439" operator="equal">
      <formula>"d"</formula>
    </cfRule>
  </conditionalFormatting>
  <conditionalFormatting sqref="KF13:KF14">
    <cfRule type="cellIs" dxfId="69" priority="212" operator="equal">
      <formula>"d"</formula>
    </cfRule>
  </conditionalFormatting>
  <conditionalFormatting sqref="KG8 KK8">
    <cfRule type="cellIs" dxfId="68" priority="440" operator="equal">
      <formula>"d"</formula>
    </cfRule>
  </conditionalFormatting>
  <conditionalFormatting sqref="KM13:KM14">
    <cfRule type="cellIs" dxfId="67" priority="208" operator="equal">
      <formula>"d"</formula>
    </cfRule>
  </conditionalFormatting>
  <conditionalFormatting sqref="KN8 KR8">
    <cfRule type="cellIs" dxfId="66" priority="433" operator="equal">
      <formula>"d"</formula>
    </cfRule>
  </conditionalFormatting>
  <conditionalFormatting sqref="KT13:KT14">
    <cfRule type="cellIs" dxfId="65" priority="202" operator="equal">
      <formula>"d"</formula>
    </cfRule>
  </conditionalFormatting>
  <conditionalFormatting sqref="KU8 KY8">
    <cfRule type="cellIs" dxfId="64" priority="434" operator="equal">
      <formula>"d"</formula>
    </cfRule>
  </conditionalFormatting>
  <conditionalFormatting sqref="LA13:LA14">
    <cfRule type="cellIs" dxfId="63" priority="197" operator="equal">
      <formula>"d"</formula>
    </cfRule>
  </conditionalFormatting>
  <conditionalFormatting sqref="LB8 LF8">
    <cfRule type="cellIs" dxfId="62" priority="435" operator="equal">
      <formula>"d"</formula>
    </cfRule>
  </conditionalFormatting>
  <conditionalFormatting sqref="LH13:LH14">
    <cfRule type="cellIs" dxfId="61" priority="193" operator="equal">
      <formula>"d"</formula>
    </cfRule>
  </conditionalFormatting>
  <conditionalFormatting sqref="LI8 LM8">
    <cfRule type="cellIs" dxfId="60" priority="436" operator="equal">
      <formula>"d"</formula>
    </cfRule>
  </conditionalFormatting>
  <conditionalFormatting sqref="LO13:LO14">
    <cfRule type="cellIs" dxfId="59" priority="187" operator="equal">
      <formula>"d"</formula>
    </cfRule>
  </conditionalFormatting>
  <conditionalFormatting sqref="LP8 LT8">
    <cfRule type="cellIs" dxfId="58" priority="437" operator="equal">
      <formula>"d"</formula>
    </cfRule>
  </conditionalFormatting>
  <conditionalFormatting sqref="LV13:LV14">
    <cfRule type="cellIs" dxfId="57" priority="182" operator="equal">
      <formula>"d"</formula>
    </cfRule>
  </conditionalFormatting>
  <conditionalFormatting sqref="LW8 MA8">
    <cfRule type="cellIs" dxfId="56" priority="441" operator="equal">
      <formula>"d"</formula>
    </cfRule>
  </conditionalFormatting>
  <conditionalFormatting sqref="MC13:MC14">
    <cfRule type="cellIs" dxfId="55" priority="178" operator="equal">
      <formula>"d"</formula>
    </cfRule>
  </conditionalFormatting>
  <conditionalFormatting sqref="MD8 MH8">
    <cfRule type="cellIs" dxfId="54" priority="442" operator="equal">
      <formula>"d"</formula>
    </cfRule>
  </conditionalFormatting>
  <conditionalFormatting sqref="MJ13:MJ14">
    <cfRule type="cellIs" dxfId="53" priority="172" operator="equal">
      <formula>"d"</formula>
    </cfRule>
  </conditionalFormatting>
  <conditionalFormatting sqref="MK8 MO8">
    <cfRule type="cellIs" dxfId="52" priority="443" operator="equal">
      <formula>"d"</formula>
    </cfRule>
  </conditionalFormatting>
  <conditionalFormatting sqref="MQ13:MQ14">
    <cfRule type="cellIs" dxfId="51" priority="167" operator="equal">
      <formula>"d"</formula>
    </cfRule>
  </conditionalFormatting>
  <conditionalFormatting sqref="MR8 MV8">
    <cfRule type="cellIs" dxfId="50" priority="444" operator="equal">
      <formula>"d"</formula>
    </cfRule>
  </conditionalFormatting>
  <conditionalFormatting sqref="MX13:MX14">
    <cfRule type="cellIs" dxfId="49" priority="163" operator="equal">
      <formula>"d"</formula>
    </cfRule>
  </conditionalFormatting>
  <conditionalFormatting sqref="MY8 NC8">
    <cfRule type="cellIs" dxfId="48" priority="425" operator="equal">
      <formula>"d"</formula>
    </cfRule>
  </conditionalFormatting>
  <conditionalFormatting sqref="NE13:NE14">
    <cfRule type="cellIs" dxfId="47" priority="157" operator="equal">
      <formula>"d"</formula>
    </cfRule>
  </conditionalFormatting>
  <conditionalFormatting sqref="NF8 NJ8">
    <cfRule type="cellIs" dxfId="46" priority="426" operator="equal">
      <formula>"d"</formula>
    </cfRule>
  </conditionalFormatting>
  <conditionalFormatting sqref="NL13:NL14">
    <cfRule type="cellIs" dxfId="45" priority="152" operator="equal">
      <formula>"d"</formula>
    </cfRule>
  </conditionalFormatting>
  <conditionalFormatting sqref="NM8 NQ8">
    <cfRule type="cellIs" dxfId="44" priority="427" operator="equal">
      <formula>"d"</formula>
    </cfRule>
  </conditionalFormatting>
  <conditionalFormatting sqref="NS13:NS14">
    <cfRule type="cellIs" dxfId="43" priority="148" operator="equal">
      <formula>"d"</formula>
    </cfRule>
  </conditionalFormatting>
  <conditionalFormatting sqref="NT8 NX8">
    <cfRule type="cellIs" dxfId="42" priority="428" operator="equal">
      <formula>"d"</formula>
    </cfRule>
  </conditionalFormatting>
  <conditionalFormatting sqref="NZ13:NZ14">
    <cfRule type="cellIs" dxfId="41" priority="142" operator="equal">
      <formula>"d"</formula>
    </cfRule>
  </conditionalFormatting>
  <conditionalFormatting sqref="OA8 OE8">
    <cfRule type="cellIs" dxfId="40" priority="429" operator="equal">
      <formula>"d"</formula>
    </cfRule>
  </conditionalFormatting>
  <conditionalFormatting sqref="OG13:OG14">
    <cfRule type="cellIs" dxfId="39" priority="137" operator="equal">
      <formula>"d"</formula>
    </cfRule>
  </conditionalFormatting>
  <conditionalFormatting sqref="OH8 OL8">
    <cfRule type="cellIs" dxfId="38" priority="430" operator="equal">
      <formula>"d"</formula>
    </cfRule>
  </conditionalFormatting>
  <conditionalFormatting sqref="ON13:ON14">
    <cfRule type="cellIs" dxfId="37" priority="133" operator="equal">
      <formula>"d"</formula>
    </cfRule>
  </conditionalFormatting>
  <conditionalFormatting sqref="OO8 OS8">
    <cfRule type="cellIs" dxfId="36" priority="431" operator="equal">
      <formula>"d"</formula>
    </cfRule>
  </conditionalFormatting>
  <conditionalFormatting sqref="OU13:OU14">
    <cfRule type="cellIs" dxfId="35" priority="127" operator="equal">
      <formula>"d"</formula>
    </cfRule>
  </conditionalFormatting>
  <conditionalFormatting sqref="OV8 OZ8">
    <cfRule type="cellIs" dxfId="34" priority="432" operator="equal">
      <formula>"d"</formula>
    </cfRule>
  </conditionalFormatting>
  <conditionalFormatting sqref="PB13:PB14">
    <cfRule type="cellIs" dxfId="33" priority="122" operator="equal">
      <formula>"d"</formula>
    </cfRule>
  </conditionalFormatting>
  <conditionalFormatting sqref="PF8 PJ8 PN8 PR8 PV8 PZ8 QD8 QH8 QL8:QP8 QT8 QX8 RB8:RF8 RJ8">
    <cfRule type="cellIs" dxfId="32" priority="424" operator="equal">
      <formula>"d"</formula>
    </cfRule>
  </conditionalFormatting>
  <conditionalFormatting sqref="PI13:PI14">
    <cfRule type="cellIs" dxfId="31" priority="118" operator="equal">
      <formula>"d"</formula>
    </cfRule>
  </conditionalFormatting>
  <conditionalFormatting sqref="PP13:PP14">
    <cfRule type="cellIs" dxfId="30" priority="112" operator="equal">
      <formula>"d"</formula>
    </cfRule>
  </conditionalFormatting>
  <conditionalFormatting sqref="PW13:PW14">
    <cfRule type="cellIs" dxfId="29" priority="107" operator="equal">
      <formula>"d"</formula>
    </cfRule>
  </conditionalFormatting>
  <conditionalFormatting sqref="QD13:QD14">
    <cfRule type="cellIs" dxfId="28" priority="103" operator="equal">
      <formula>"d"</formula>
    </cfRule>
  </conditionalFormatting>
  <conditionalFormatting sqref="QK13:QK14">
    <cfRule type="cellIs" dxfId="27" priority="97" operator="equal">
      <formula>"d"</formula>
    </cfRule>
  </conditionalFormatting>
  <conditionalFormatting sqref="QR13:QR14">
    <cfRule type="cellIs" dxfId="26" priority="92" operator="equal">
      <formula>"d"</formula>
    </cfRule>
  </conditionalFormatting>
  <conditionalFormatting sqref="QY13:QY14">
    <cfRule type="cellIs" dxfId="25" priority="88" operator="equal">
      <formula>"d"</formula>
    </cfRule>
  </conditionalFormatting>
  <conditionalFormatting sqref="RF13:RF14">
    <cfRule type="cellIs" dxfId="24" priority="82" operator="equal">
      <formula>"d"</formula>
    </cfRule>
  </conditionalFormatting>
  <conditionalFormatting sqref="RM13:RM14">
    <cfRule type="cellIs" dxfId="23" priority="77" operator="equal">
      <formula>"d"</formula>
    </cfRule>
  </conditionalFormatting>
  <conditionalFormatting sqref="RN8 RR8">
    <cfRule type="cellIs" dxfId="22" priority="419" operator="equal">
      <formula>"d"</formula>
    </cfRule>
  </conditionalFormatting>
  <conditionalFormatting sqref="RT13:RT14">
    <cfRule type="cellIs" dxfId="21" priority="73" operator="equal">
      <formula>"d"</formula>
    </cfRule>
  </conditionalFormatting>
  <conditionalFormatting sqref="RU8 RY8">
    <cfRule type="cellIs" dxfId="20" priority="420" operator="equal">
      <formula>"d"</formula>
    </cfRule>
  </conditionalFormatting>
  <conditionalFormatting sqref="SA13:SA14">
    <cfRule type="cellIs" dxfId="19" priority="67" operator="equal">
      <formula>"d"</formula>
    </cfRule>
  </conditionalFormatting>
  <conditionalFormatting sqref="SB8 SF8">
    <cfRule type="cellIs" dxfId="18" priority="421" operator="equal">
      <formula>"d"</formula>
    </cfRule>
  </conditionalFormatting>
  <conditionalFormatting sqref="SH13:SH14">
    <cfRule type="cellIs" dxfId="17" priority="62" operator="equal">
      <formula>"d"</formula>
    </cfRule>
  </conditionalFormatting>
  <conditionalFormatting sqref="SI8 SM8">
    <cfRule type="cellIs" dxfId="16" priority="414" operator="equal">
      <formula>"d"</formula>
    </cfRule>
  </conditionalFormatting>
  <conditionalFormatting sqref="SO13:SO14">
    <cfRule type="cellIs" dxfId="15" priority="58" operator="equal">
      <formula>"d"</formula>
    </cfRule>
  </conditionalFormatting>
  <conditionalFormatting sqref="SP8 ST8">
    <cfRule type="cellIs" dxfId="14" priority="415" operator="equal">
      <formula>"d"</formula>
    </cfRule>
  </conditionalFormatting>
  <conditionalFormatting sqref="SV13:SV14">
    <cfRule type="cellIs" dxfId="13" priority="52" operator="equal">
      <formula>"d"</formula>
    </cfRule>
  </conditionalFormatting>
  <conditionalFormatting sqref="SW8 TA8">
    <cfRule type="cellIs" dxfId="12" priority="416" operator="equal">
      <formula>"d"</formula>
    </cfRule>
  </conditionalFormatting>
  <conditionalFormatting sqref="TC13:TC14">
    <cfRule type="cellIs" dxfId="11" priority="47" operator="equal">
      <formula>"d"</formula>
    </cfRule>
  </conditionalFormatting>
  <conditionalFormatting sqref="TD8 TH8">
    <cfRule type="cellIs" dxfId="10" priority="417" operator="equal">
      <formula>"d"</formula>
    </cfRule>
  </conditionalFormatting>
  <conditionalFormatting sqref="TJ13:TJ14">
    <cfRule type="cellIs" dxfId="9" priority="43" operator="equal">
      <formula>"d"</formula>
    </cfRule>
  </conditionalFormatting>
  <conditionalFormatting sqref="TK8 TO8">
    <cfRule type="cellIs" dxfId="8" priority="418" operator="equal">
      <formula>"d"</formula>
    </cfRule>
  </conditionalFormatting>
  <conditionalFormatting sqref="TQ13:TQ14">
    <cfRule type="cellIs" dxfId="7" priority="37" operator="equal">
      <formula>"d"</formula>
    </cfRule>
  </conditionalFormatting>
  <conditionalFormatting sqref="TR8 TV8">
    <cfRule type="cellIs" dxfId="6" priority="422" operator="equal">
      <formula>"d"</formula>
    </cfRule>
  </conditionalFormatting>
  <conditionalFormatting sqref="TX13:TX14">
    <cfRule type="cellIs" dxfId="5" priority="32" operator="equal">
      <formula>"d"</formula>
    </cfRule>
  </conditionalFormatting>
  <conditionalFormatting sqref="TY8 UC8">
    <cfRule type="cellIs" dxfId="4" priority="423" operator="equal">
      <formula>"d"</formula>
    </cfRule>
  </conditionalFormatting>
  <conditionalFormatting sqref="UE13:UE14">
    <cfRule type="cellIs" dxfId="3" priority="28" operator="equal">
      <formula>"d"</formula>
    </cfRule>
  </conditionalFormatting>
  <conditionalFormatting sqref="UF8 UJ8">
    <cfRule type="cellIs" dxfId="2" priority="413" operator="equal">
      <formula>"d"</formula>
    </cfRule>
  </conditionalFormatting>
  <conditionalFormatting sqref="UL13:UL14">
    <cfRule type="cellIs" dxfId="1" priority="22" operator="equal">
      <formula>"d"</formula>
    </cfRule>
  </conditionalFormatting>
  <conditionalFormatting sqref="US13:US14">
    <cfRule type="cellIs" dxfId="0" priority="17" operator="equal">
      <formula>"d"</formula>
    </cfRule>
  </conditionalFormatting>
  <printOptions horizontalCentered="1"/>
  <pageMargins left="0.23622047244094491" right="0.23622047244094491" top="0.35433070866141736" bottom="0.35433070866141736" header="0.31496062992125984" footer="0.31496062992125984"/>
  <pageSetup paperSize="8" scale="10" fitToHeight="0" orientation="landscape" r:id="rId1"/>
  <headerFooter differentFirst="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5</vt:i4>
      </vt:variant>
    </vt:vector>
  </HeadingPairs>
  <TitlesOfParts>
    <vt:vector size="9" baseType="lpstr">
      <vt:lpstr>REFIS</vt:lpstr>
      <vt:lpstr>DADOS</vt:lpstr>
      <vt:lpstr>PMO PREV</vt:lpstr>
      <vt:lpstr>PMO REAL</vt:lpstr>
      <vt:lpstr>'PMO PREV'!Area_de_impressao</vt:lpstr>
      <vt:lpstr>'PMO REAL'!Area_de_impressao</vt:lpstr>
      <vt:lpstr>REFIS!Area_de_impressao</vt:lpstr>
      <vt:lpstr>'PMO PREV'!Titulos_de_impressao</vt:lpstr>
      <vt:lpstr>'PMO REAL'!Titulos_de_impressao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Felipe  Alves</cp:lastModifiedBy>
  <cp:lastPrinted>2026-02-20T20:24:06Z</cp:lastPrinted>
  <dcterms:created xsi:type="dcterms:W3CDTF">2020-05-14T16:33:37Z</dcterms:created>
  <dcterms:modified xsi:type="dcterms:W3CDTF">2026-02-20T20:38:25Z</dcterms:modified>
</cp:coreProperties>
</file>